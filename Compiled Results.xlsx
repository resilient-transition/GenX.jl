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oderick/PycharmProjects/resilient-transition/GenX.jl/"/>
    </mc:Choice>
  </mc:AlternateContent>
  <xr:revisionPtr revIDLastSave="0" documentId="8_{53EDE358-FEF2-5D4C-B79F-325B977475B7}" xr6:coauthVersionLast="47" xr6:coauthVersionMax="47" xr10:uidLastSave="{00000000-0000-0000-0000-000000000000}"/>
  <bookViews>
    <workbookView xWindow="19040" yWindow="-21100" windowWidth="38400" windowHeight="21100" activeTab="1" xr2:uid="{A0757144-4B64-B84D-96A4-F10D8C417F8B}"/>
  </bookViews>
  <sheets>
    <sheet name="Summary" sheetId="1" r:id="rId1"/>
    <sheet name="IRP Plan (default)" sheetId="94" r:id="rId2"/>
  </sheets>
  <externalReferences>
    <externalReference r:id="rId3"/>
    <externalReference r:id="rId4"/>
  </externalReferences>
  <definedNames>
    <definedName name="_xlnm._FilterDatabase" localSheetId="1" hidden="1">'IRP Plan (default)'!$C$77:$FU$135</definedName>
    <definedName name="_xlnm._FilterDatabase" localSheetId="0" hidden="1">Summary!$A$31:$AE$232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ctiveYear" localSheetId="1">'[1]GenX Settings'!$H$33</definedName>
    <definedName name="ActiveYear">'[2]GenX Settings'!$H$33</definedName>
    <definedName name="AEO" localSheetId="1">'[1]GenX Settings'!$C$24</definedName>
    <definedName name="AEO">'[2]GenX Settings'!$C$24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llowEconomicRetirements" localSheetId="1">'[1]GenX Settings'!$C$10</definedName>
    <definedName name="AllowEconomicRetirements">'[2]GenX Settings'!$C$10</definedName>
    <definedName name="AllowInvestments" localSheetId="1">'[1]GenX Settings'!$C$11</definedName>
    <definedName name="AllowInvestments">'[2]GenX Settings'!$C$11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BuildRate" localSheetId="1">'[1]GenX Settings'!$C$23</definedName>
    <definedName name="BuildRate">'[2]GenX Settings'!$C$23</definedName>
    <definedName name="capacities" localSheetId="1">'IRP Plan (default)'!$AI$77:$BI$135</definedName>
    <definedName name="capacities">#REF!</definedName>
    <definedName name="capacities_multi_stage" localSheetId="1">'IRP Plan (default)'!$G$77:$AG$135</definedName>
    <definedName name="capacities_multi_stage">#REF!</definedName>
    <definedName name="CaseName">'[1]GenX Settings'!$C$5</definedName>
    <definedName name="CES" localSheetId="1">'[1]GenX Settings'!$C$26</definedName>
    <definedName name="CES">'[2]GenX Settings'!$C$26</definedName>
    <definedName name="cfs" localSheetId="1">'IRP Plan (default)'!$DO$77:$EO$135</definedName>
    <definedName name="cfs">#REF!</definedName>
    <definedName name="ChartRange">_xlfn._TRO_TRAILING(Summary!$C$31:$R$174)</definedName>
    <definedName name="Clusters" localSheetId="1">[1]Lists!$H$2:$H$14</definedName>
    <definedName name="Clusters">[2]Lists!$H$2:$H$14</definedName>
    <definedName name="costs_multi_stage" localSheetId="1">'IRP Plan (default)'!$EU$77:$FU$135</definedName>
    <definedName name="costs_multi_stage">#REF!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emissions">#REF!</definedName>
    <definedName name="EnablePCM" localSheetId="1">'[1]GenX Settings'!$C$34</definedName>
    <definedName name="EnablePCM">'[2]GenX Settings'!$C$34</definedName>
    <definedName name="EnablePRM" localSheetId="1">'[1]GenX Settings'!$C$15</definedName>
    <definedName name="EnablePRM">'[2]GenX Settings'!$C$15</definedName>
    <definedName name="EnforceMinCFs" localSheetId="1">'[1]GenX Settings'!$C$16</definedName>
    <definedName name="EnforceMinCFs">'[2]GenX Settings'!$C$16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GasCapEx" localSheetId="1">'[1]GenX Settings'!$C$14</definedName>
    <definedName name="GasCapEx">'[2]GenX Settings'!$C$14</definedName>
    <definedName name="generation" localSheetId="1">'IRP Plan (default)'!$BK$77:$CK$135</definedName>
    <definedName name="generation">#REF!</definedName>
    <definedName name="HighDSM" localSheetId="1">'[1]GenX Settings'!$C$27</definedName>
    <definedName name="HighDSM">'[2]GenX Settings'!$C$27</definedName>
    <definedName name="HigherStorageELCCs" localSheetId="1">'[1]GenX Settings'!$C$22</definedName>
    <definedName name="HigherStorageELCCs">'[2]GenX Settings'!$C$22</definedName>
    <definedName name="HTML_CodePage" hidden="1">437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ncludePlannedResources" localSheetId="1">'[1]GenX Settings'!$C$9</definedName>
    <definedName name="IncludePlannedResources">'[2]GenX Settings'!$C$9</definedName>
    <definedName name="IncludePTC" localSheetId="1">'[1]GenX Settings'!$C$13</definedName>
    <definedName name="IncludePTC">'[2]GenX Settings'!$C$13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MaxWind" localSheetId="1">'[1]GenX Settings'!$C$20</definedName>
    <definedName name="MaxWind">'[2]GenX Settings'!$C$20</definedName>
    <definedName name="MinCoalNewGas" localSheetId="1">'[1]GenX Settings'!$C$21</definedName>
    <definedName name="MinCoalNewGas">'[2]GenX Settings'!$C$21</definedName>
    <definedName name="MinSolar">'[1]GenX Settings'!$C$28</definedName>
    <definedName name="MinWind">'[1]GenX Settings'!#REF!</definedName>
    <definedName name="NoBuildsBefore" localSheetId="1">'[1]GenX Settings'!$C$18</definedName>
    <definedName name="NoBuildsBefore">'[2]GenX Settings'!$C$18</definedName>
    <definedName name="NoNewGasYear" localSheetId="1">'[1]GenX Settings'!$C$19</definedName>
    <definedName name="NoNewGasYear">'[2]GenX Settings'!$C$19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PCMYear" localSheetId="1">'[1]GenX Settings'!#REF!</definedName>
    <definedName name="PCMYear">'[2]GenX Settings'!#REF!</definedName>
    <definedName name="PlantSpecificFuelPrices" localSheetId="1">'[1]GenX Settings'!$C$12</definedName>
    <definedName name="PlantSpecificFuelPrices">'[2]GenX Settings'!$C$12</definedName>
    <definedName name="_xlnm.Print_Titles">#N/A</definedName>
    <definedName name="ResultsName" localSheetId="1">'IRP Plan (default)'!$C$1</definedName>
    <definedName name="ResultsName">#REF!</definedName>
    <definedName name="summaryCES">#REF!</definedName>
    <definedName name="summaryCosts" localSheetId="1">'IRP Plan (default)'!$EV$43:$FU$46</definedName>
    <definedName name="summaryCosts">#REF!</definedName>
    <definedName name="summaryEmissions">#REF!</definedName>
    <definedName name="summaryGeneration" localSheetId="1">'IRP Plan (default)'!$BL$43:$CK$55</definedName>
    <definedName name="summaryGeneration">#REF!</definedName>
    <definedName name="summaryNewBuild" localSheetId="1">'IRP Plan (default)'!$AJ$43:$BI$55</definedName>
    <definedName name="summaryNewBuild">#REF!</definedName>
    <definedName name="summaryTotalBuild" localSheetId="1">'IRP Plan (default)'!$H$43:$AG$55</definedName>
    <definedName name="summaryTotalBuild">#REF!</definedName>
    <definedName name="system\Demand_data.csv...3...ffill" localSheetId="1">OFFSET('[1]GenX Loads'!$I$10:$M$10,,,'IRP Plan (default)'!Timesteps+1)</definedName>
    <definedName name="system\Demand_data.csv...3...ffill">OFFSET('[2]GenX Loads'!$I$10:$M$10,,,Timesteps+1)</definedName>
    <definedName name="system\Fuels_data.csv...1...ffill" localSheetId="1">OFFSET('[1]GenX Fuels'!$AR$6:$BK$6,,,'IRP Plan (default)'!Timesteps+2)</definedName>
    <definedName name="system\Fuels_data.csv...1...ffill">OFFSET('[2]GenX Fuels'!$AR$6:$BK$6,,,Timesteps+2)</definedName>
    <definedName name="system\Generators_variability.csv...1...ffill" localSheetId="1">OFFSET('[1]Resource Profiles'!$C$5:$N$5,,,'IRP Plan (default)'!Timesteps+1)</definedName>
    <definedName name="system\Generators_variability.csv...1...ffill">OFFSET('[2]Resource Profiles'!$C$5:$N$5,,,Timesteps+1)</definedName>
    <definedName name="SystemWACC" localSheetId="1">'[1]GenX Settings'!$H$42</definedName>
    <definedName name="SystemWACC">'[2]GenX Settings'!$H$42</definedName>
    <definedName name="Timesteps" localSheetId="1">'[1]GenX Settings'!$C$35</definedName>
    <definedName name="Timesteps">'[2]GenX Settings'!$C$35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Zones" localSheetId="1">'[1]GenX System'!$C$17:$C$20</definedName>
    <definedName name="Zones">'[2]GenX System'!$C$17:$C$20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D44" i="1" s="1"/>
  <c r="D50" i="1" s="1"/>
  <c r="D56" i="1" s="1"/>
  <c r="D62" i="1" s="1"/>
  <c r="D68" i="1" s="1"/>
  <c r="D74" i="1" s="1"/>
  <c r="D80" i="1" s="1"/>
  <c r="D86" i="1" s="1"/>
  <c r="D92" i="1" s="1"/>
  <c r="D98" i="1" s="1"/>
  <c r="D104" i="1" s="1"/>
  <c r="D110" i="1" s="1"/>
  <c r="D116" i="1" s="1"/>
  <c r="D122" i="1" s="1"/>
  <c r="D128" i="1" s="1"/>
  <c r="D134" i="1" s="1"/>
  <c r="D140" i="1" s="1"/>
  <c r="D146" i="1" s="1"/>
  <c r="D152" i="1" s="1"/>
  <c r="D158" i="1" s="1"/>
  <c r="D164" i="1" s="1"/>
  <c r="D170" i="1" s="1"/>
  <c r="D176" i="1" s="1"/>
  <c r="S37" i="1"/>
  <c r="S36" i="1"/>
  <c r="S35" i="1"/>
  <c r="S34" i="1"/>
  <c r="S33" i="1"/>
  <c r="D33" i="1"/>
  <c r="D39" i="1" s="1"/>
  <c r="D45" i="1" s="1"/>
  <c r="D51" i="1" s="1"/>
  <c r="D57" i="1" s="1"/>
  <c r="D63" i="1" s="1"/>
  <c r="D69" i="1" s="1"/>
  <c r="D75" i="1" s="1"/>
  <c r="D81" i="1" s="1"/>
  <c r="D87" i="1" s="1"/>
  <c r="D93" i="1" s="1"/>
  <c r="D99" i="1" s="1"/>
  <c r="D105" i="1" s="1"/>
  <c r="D111" i="1" s="1"/>
  <c r="D117" i="1" s="1"/>
  <c r="D123" i="1" s="1"/>
  <c r="D129" i="1" s="1"/>
  <c r="D135" i="1" s="1"/>
  <c r="D141" i="1" s="1"/>
  <c r="D147" i="1" s="1"/>
  <c r="D153" i="1" s="1"/>
  <c r="D159" i="1" s="1"/>
  <c r="D165" i="1" s="1"/>
  <c r="D171" i="1" s="1"/>
  <c r="D177" i="1" s="1"/>
  <c r="T32" i="1"/>
  <c r="S32" i="1"/>
  <c r="T33" i="1" l="1"/>
  <c r="D34" i="1"/>
  <c r="D35" i="1" l="1"/>
  <c r="D40" i="1"/>
  <c r="T34" i="1"/>
  <c r="D46" i="1" l="1"/>
  <c r="D52" i="1" s="1"/>
  <c r="D58" i="1" s="1"/>
  <c r="D64" i="1" s="1"/>
  <c r="D70" i="1" s="1"/>
  <c r="D76" i="1" s="1"/>
  <c r="D82" i="1" s="1"/>
  <c r="D88" i="1" s="1"/>
  <c r="D94" i="1" s="1"/>
  <c r="D100" i="1" s="1"/>
  <c r="D106" i="1" s="1"/>
  <c r="D112" i="1" s="1"/>
  <c r="D118" i="1" s="1"/>
  <c r="D124" i="1" s="1"/>
  <c r="D130" i="1" s="1"/>
  <c r="D136" i="1" s="1"/>
  <c r="D142" i="1" s="1"/>
  <c r="D148" i="1" s="1"/>
  <c r="D154" i="1" s="1"/>
  <c r="D160" i="1" s="1"/>
  <c r="D166" i="1" s="1"/>
  <c r="D172" i="1" s="1"/>
  <c r="D178" i="1" s="1"/>
  <c r="D36" i="1"/>
  <c r="D41" i="1"/>
  <c r="D47" i="1" s="1"/>
  <c r="D53" i="1" s="1"/>
  <c r="D59" i="1" s="1"/>
  <c r="D65" i="1" s="1"/>
  <c r="D71" i="1" s="1"/>
  <c r="D77" i="1" s="1"/>
  <c r="D83" i="1" s="1"/>
  <c r="D89" i="1" s="1"/>
  <c r="D95" i="1" s="1"/>
  <c r="D101" i="1" s="1"/>
  <c r="D107" i="1" s="1"/>
  <c r="D113" i="1" s="1"/>
  <c r="D119" i="1" s="1"/>
  <c r="D125" i="1" s="1"/>
  <c r="D131" i="1" s="1"/>
  <c r="D137" i="1" s="1"/>
  <c r="D143" i="1" s="1"/>
  <c r="D149" i="1" s="1"/>
  <c r="D155" i="1" s="1"/>
  <c r="D161" i="1" s="1"/>
  <c r="D167" i="1" s="1"/>
  <c r="D173" i="1" s="1"/>
  <c r="D179" i="1" s="1"/>
  <c r="T35" i="1"/>
  <c r="D37" i="1" l="1"/>
  <c r="D42" i="1"/>
  <c r="D48" i="1" s="1"/>
  <c r="D54" i="1" s="1"/>
  <c r="D60" i="1" s="1"/>
  <c r="D66" i="1" s="1"/>
  <c r="D72" i="1" s="1"/>
  <c r="D78" i="1" s="1"/>
  <c r="D84" i="1" s="1"/>
  <c r="D90" i="1" s="1"/>
  <c r="D96" i="1" s="1"/>
  <c r="D102" i="1" s="1"/>
  <c r="D108" i="1" s="1"/>
  <c r="D114" i="1" s="1"/>
  <c r="D120" i="1" s="1"/>
  <c r="D126" i="1" s="1"/>
  <c r="D132" i="1" s="1"/>
  <c r="D138" i="1" s="1"/>
  <c r="D144" i="1" s="1"/>
  <c r="D150" i="1" s="1"/>
  <c r="D156" i="1" s="1"/>
  <c r="D162" i="1" s="1"/>
  <c r="D168" i="1" s="1"/>
  <c r="D174" i="1" s="1"/>
  <c r="D180" i="1" s="1"/>
  <c r="T36" i="1"/>
  <c r="T37" i="1" l="1"/>
  <c r="D43" i="1"/>
  <c r="D49" i="1" l="1"/>
  <c r="D55" i="1" s="1"/>
  <c r="D61" i="1" s="1"/>
  <c r="D67" i="1" s="1"/>
  <c r="D73" i="1" s="1"/>
  <c r="D79" i="1" s="1"/>
  <c r="D85" i="1" s="1"/>
  <c r="D91" i="1" s="1"/>
  <c r="D97" i="1" s="1"/>
  <c r="D103" i="1" s="1"/>
  <c r="D109" i="1" s="1"/>
  <c r="D115" i="1" s="1"/>
  <c r="D121" i="1" s="1"/>
  <c r="D127" i="1" s="1"/>
  <c r="D133" i="1" s="1"/>
  <c r="D139" i="1" s="1"/>
  <c r="D145" i="1" s="1"/>
  <c r="D151" i="1" s="1"/>
  <c r="D157" i="1" s="1"/>
  <c r="D163" i="1" s="1"/>
  <c r="D169" i="1" s="1"/>
  <c r="D175" i="1" s="1"/>
  <c r="D181" i="1" s="1"/>
  <c r="T175" i="1" l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A51" i="1" a="1"/>
  <c r="A55" i="1" a="1"/>
  <c r="A43" i="1" a="1"/>
  <c r="A49" i="1" a="1"/>
  <c r="A45" i="1" a="1"/>
  <c r="A47" i="1" a="1"/>
  <c r="A39" i="1" a="1"/>
  <c r="A54" i="1" a="1"/>
  <c r="A42" i="1" a="1"/>
  <c r="A33" i="1" a="1"/>
  <c r="A40" i="1" a="1"/>
  <c r="A52" i="1" a="1"/>
  <c r="A50" i="1" a="1"/>
  <c r="A46" i="1" a="1"/>
  <c r="A37" i="1" a="1"/>
  <c r="A44" i="1" a="1"/>
  <c r="A48" i="1" a="1"/>
  <c r="A35" i="1" a="1"/>
  <c r="A38" i="1" a="1"/>
  <c r="A41" i="1" a="1"/>
  <c r="A34" i="1" a="1"/>
  <c r="A53" i="1" a="1"/>
  <c r="A43" i="1" l="1"/>
  <c r="A50" i="1"/>
  <c r="A38" i="1"/>
  <c r="A49" i="1"/>
  <c r="A44" i="1"/>
  <c r="A55" i="1"/>
  <c r="A37" i="1"/>
  <c r="A48" i="1"/>
  <c r="A47" i="1"/>
  <c r="A54" i="1"/>
  <c r="A53" i="1"/>
  <c r="A35" i="1"/>
  <c r="A52" i="1"/>
  <c r="A34" i="1"/>
  <c r="A42" i="1"/>
  <c r="A41" i="1"/>
  <c r="A46" i="1"/>
  <c r="A40" i="1"/>
  <c r="A51" i="1"/>
  <c r="A45" i="1"/>
  <c r="A39" i="1"/>
  <c r="A33" i="1"/>
  <c r="C179" i="1" l="1"/>
  <c r="C181" i="1"/>
  <c r="C180" i="1"/>
  <c r="C177" i="1"/>
  <c r="C178" i="1"/>
  <c r="C119" i="1" l="1"/>
  <c r="C136" i="1"/>
  <c r="C140" i="1"/>
  <c r="C153" i="1"/>
  <c r="C122" i="1"/>
  <c r="C164" i="1"/>
  <c r="C120" i="1"/>
  <c r="C169" i="1"/>
  <c r="C115" i="1"/>
  <c r="C151" i="1"/>
  <c r="C142" i="1"/>
  <c r="C132" i="1"/>
  <c r="C116" i="1"/>
  <c r="C146" i="1"/>
  <c r="C155" i="1"/>
  <c r="C147" i="1"/>
  <c r="C166" i="1"/>
  <c r="C139" i="1"/>
  <c r="C176" i="1"/>
  <c r="C173" i="1"/>
  <c r="C144" i="1"/>
  <c r="C150" i="1"/>
  <c r="C124" i="1"/>
  <c r="C127" i="1"/>
  <c r="C156" i="1"/>
  <c r="C126" i="1"/>
  <c r="C143" i="1"/>
  <c r="C141" i="1"/>
  <c r="C168" i="1"/>
  <c r="C145" i="1"/>
  <c r="C135" i="1"/>
  <c r="C113" i="1"/>
  <c r="C159" i="1"/>
  <c r="C158" i="1"/>
  <c r="C162" i="1"/>
  <c r="C157" i="1"/>
  <c r="C123" i="1"/>
  <c r="C165" i="1"/>
  <c r="C111" i="1"/>
  <c r="C171" i="1"/>
  <c r="C125" i="1"/>
  <c r="C121" i="1"/>
  <c r="C133" i="1"/>
  <c r="C131" i="1"/>
  <c r="C138" i="1"/>
  <c r="C129" i="1"/>
  <c r="C175" i="1"/>
  <c r="C149" i="1"/>
  <c r="C148" i="1"/>
  <c r="C172" i="1"/>
  <c r="C114" i="1"/>
  <c r="C112" i="1"/>
  <c r="C152" i="1"/>
  <c r="C170" i="1"/>
  <c r="C134" i="1"/>
  <c r="C137" i="1"/>
  <c r="C128" i="1"/>
  <c r="C161" i="1"/>
  <c r="C117" i="1"/>
  <c r="C130" i="1"/>
  <c r="C118" i="1"/>
  <c r="C154" i="1"/>
  <c r="C167" i="1"/>
  <c r="C163" i="1"/>
  <c r="C160" i="1"/>
  <c r="C174" i="1"/>
  <c r="C75" i="1"/>
  <c r="C81" i="1"/>
  <c r="C85" i="1"/>
  <c r="C77" i="1"/>
  <c r="C65" i="1"/>
  <c r="C64" i="1"/>
  <c r="C88" i="1"/>
  <c r="C72" i="1"/>
  <c r="C84" i="1"/>
  <c r="C108" i="1"/>
  <c r="C102" i="1"/>
  <c r="C63" i="1"/>
  <c r="C83" i="1"/>
  <c r="C98" i="1"/>
  <c r="C74" i="1"/>
  <c r="C80" i="1"/>
  <c r="C66" i="1"/>
  <c r="C110" i="1"/>
  <c r="C79" i="1"/>
  <c r="C109" i="1"/>
  <c r="C69" i="1"/>
  <c r="C73" i="1"/>
  <c r="C68" i="1"/>
  <c r="C105" i="1"/>
  <c r="C103" i="1"/>
  <c r="C90" i="1"/>
  <c r="C91" i="1"/>
  <c r="C71" i="1"/>
  <c r="C97" i="1"/>
  <c r="C86" i="1"/>
  <c r="C70" i="1"/>
  <c r="C67" i="1"/>
  <c r="C107" i="1"/>
  <c r="C96" i="1"/>
  <c r="C100" i="1"/>
  <c r="C89" i="1"/>
  <c r="C93" i="1"/>
  <c r="C106" i="1"/>
  <c r="C94" i="1"/>
  <c r="C104" i="1"/>
  <c r="C78" i="1"/>
  <c r="C99" i="1"/>
  <c r="C82" i="1"/>
  <c r="C92" i="1"/>
  <c r="C76" i="1"/>
  <c r="C95" i="1"/>
  <c r="C101" i="1"/>
  <c r="C87" i="1"/>
  <c r="AJ192" i="94"/>
  <c r="AJ191" i="94"/>
  <c r="AJ176" i="94"/>
  <c r="I57" i="94"/>
  <c r="J57" i="94" s="1"/>
  <c r="K57" i="94" s="1"/>
  <c r="L57" i="94" s="1"/>
  <c r="M57" i="94" s="1"/>
  <c r="N57" i="94" s="1"/>
  <c r="O57" i="94" s="1"/>
  <c r="P57" i="94" s="1"/>
  <c r="Q57" i="94" s="1"/>
  <c r="R57" i="94" s="1"/>
  <c r="S57" i="94" s="1"/>
  <c r="T57" i="94" s="1"/>
  <c r="U57" i="94" s="1"/>
  <c r="V57" i="94" s="1"/>
  <c r="W57" i="94" s="1"/>
  <c r="X57" i="94" s="1"/>
  <c r="Y57" i="94" s="1"/>
  <c r="Z57" i="94" s="1"/>
  <c r="AA57" i="94" s="1"/>
  <c r="AB57" i="94" s="1"/>
  <c r="AC57" i="94" s="1"/>
  <c r="AD57" i="94" s="1"/>
  <c r="AE57" i="94" s="1"/>
  <c r="AF57" i="94" s="1"/>
  <c r="AG57" i="94" s="1"/>
  <c r="CM55" i="94"/>
  <c r="BK55" i="94"/>
  <c r="AI55" i="94"/>
  <c r="CM54" i="94"/>
  <c r="BK54" i="94"/>
  <c r="AI54" i="94"/>
  <c r="CM53" i="94"/>
  <c r="BK53" i="94"/>
  <c r="AI53" i="94"/>
  <c r="CM52" i="94"/>
  <c r="BK52" i="94"/>
  <c r="AI52" i="94"/>
  <c r="CM51" i="94"/>
  <c r="BK51" i="94"/>
  <c r="AI51" i="94"/>
  <c r="CM50" i="94"/>
  <c r="BK50" i="94"/>
  <c r="AI50" i="94"/>
  <c r="CM49" i="94"/>
  <c r="BK49" i="94"/>
  <c r="AI49" i="94"/>
  <c r="CM48" i="94"/>
  <c r="BK48" i="94"/>
  <c r="AI48" i="94"/>
  <c r="CM47" i="94"/>
  <c r="BK47" i="94"/>
  <c r="AI47" i="94"/>
  <c r="EV46" i="94"/>
  <c r="DO46" i="94"/>
  <c r="CM46" i="94"/>
  <c r="BK46" i="94"/>
  <c r="AI46" i="94"/>
  <c r="EV45" i="94"/>
  <c r="DO45" i="94"/>
  <c r="CM45" i="94"/>
  <c r="BK45" i="94"/>
  <c r="AI45" i="94"/>
  <c r="DO44" i="94"/>
  <c r="CM44" i="94"/>
  <c r="BK44" i="94"/>
  <c r="AI44" i="94"/>
  <c r="DO43" i="94"/>
  <c r="CM43" i="94"/>
  <c r="BK43" i="94"/>
  <c r="AI43" i="94"/>
  <c r="EW42" i="94"/>
  <c r="DQ42" i="94"/>
  <c r="DR42" i="94" s="1"/>
  <c r="DS42" i="94" s="1"/>
  <c r="DT42" i="94" s="1"/>
  <c r="DU42" i="94" s="1"/>
  <c r="DV42" i="94" s="1"/>
  <c r="DW42" i="94" s="1"/>
  <c r="DX42" i="94" s="1"/>
  <c r="DY42" i="94" s="1"/>
  <c r="DZ42" i="94" s="1"/>
  <c r="EA42" i="94" s="1"/>
  <c r="EB42" i="94" s="1"/>
  <c r="EC42" i="94" s="1"/>
  <c r="ED42" i="94" s="1"/>
  <c r="EE42" i="94" s="1"/>
  <c r="EF42" i="94" s="1"/>
  <c r="EG42" i="94" s="1"/>
  <c r="EH42" i="94" s="1"/>
  <c r="EI42" i="94" s="1"/>
  <c r="EJ42" i="94" s="1"/>
  <c r="EK42" i="94" s="1"/>
  <c r="EL42" i="94" s="1"/>
  <c r="EM42" i="94" s="1"/>
  <c r="EN42" i="94" s="1"/>
  <c r="EO42" i="94" s="1"/>
  <c r="CO42" i="94"/>
  <c r="CP42" i="94" s="1"/>
  <c r="CQ42" i="94" s="1"/>
  <c r="CR42" i="94" s="1"/>
  <c r="CS42" i="94" s="1"/>
  <c r="CT42" i="94" s="1"/>
  <c r="CU42" i="94" s="1"/>
  <c r="CV42" i="94" s="1"/>
  <c r="CW42" i="94" s="1"/>
  <c r="CX42" i="94" s="1"/>
  <c r="CY42" i="94" s="1"/>
  <c r="CZ42" i="94" s="1"/>
  <c r="DA42" i="94" s="1"/>
  <c r="DB42" i="94" s="1"/>
  <c r="DC42" i="94" s="1"/>
  <c r="DD42" i="94" s="1"/>
  <c r="DE42" i="94" s="1"/>
  <c r="DF42" i="94" s="1"/>
  <c r="DG42" i="94" s="1"/>
  <c r="DH42" i="94" s="1"/>
  <c r="DI42" i="94" s="1"/>
  <c r="DJ42" i="94" s="1"/>
  <c r="DK42" i="94" s="1"/>
  <c r="DL42" i="94" s="1"/>
  <c r="DM42" i="94" s="1"/>
  <c r="CM42" i="94"/>
  <c r="BM42" i="94"/>
  <c r="BK42" i="94"/>
  <c r="AK42" i="94"/>
  <c r="AL42" i="94" s="1"/>
  <c r="AI42" i="94"/>
  <c r="I42" i="94"/>
  <c r="G42" i="94"/>
  <c r="EV41" i="94"/>
  <c r="EW41" i="94" s="1"/>
  <c r="EX41" i="94" s="1"/>
  <c r="EY41" i="94" s="1"/>
  <c r="EZ41" i="94" s="1"/>
  <c r="FA41" i="94" s="1"/>
  <c r="FB41" i="94" s="1"/>
  <c r="FC41" i="94" s="1"/>
  <c r="FD41" i="94" s="1"/>
  <c r="FE41" i="94" s="1"/>
  <c r="FF41" i="94" s="1"/>
  <c r="FG41" i="94" s="1"/>
  <c r="FH41" i="94" s="1"/>
  <c r="FI41" i="94" s="1"/>
  <c r="FJ41" i="94" s="1"/>
  <c r="FK41" i="94" s="1"/>
  <c r="FL41" i="94" s="1"/>
  <c r="FM41" i="94" s="1"/>
  <c r="FN41" i="94" s="1"/>
  <c r="FO41" i="94" s="1"/>
  <c r="FP41" i="94" s="1"/>
  <c r="FQ41" i="94" s="1"/>
  <c r="FR41" i="94" s="1"/>
  <c r="FS41" i="94" s="1"/>
  <c r="FT41" i="94" s="1"/>
  <c r="FU40" i="94" s="1"/>
  <c r="I130" i="1"/>
  <c r="E163" i="1"/>
  <c r="E121" i="1"/>
  <c r="F180" i="1"/>
  <c r="G69" i="1"/>
  <c r="K162" i="1"/>
  <c r="E146" i="1"/>
  <c r="L161" i="1"/>
  <c r="L151" i="1"/>
  <c r="H66" i="1"/>
  <c r="L72" i="1"/>
  <c r="G114" i="1"/>
  <c r="G161" i="1"/>
  <c r="F158" i="1"/>
  <c r="G70" i="1"/>
  <c r="L142" i="1"/>
  <c r="G94" i="1"/>
  <c r="K151" i="1"/>
  <c r="L137" i="1"/>
  <c r="L128" i="1"/>
  <c r="J180" i="1"/>
  <c r="I159" i="1"/>
  <c r="J142" i="1"/>
  <c r="L93" i="1"/>
  <c r="J77" i="1"/>
  <c r="I144" i="1"/>
  <c r="J102" i="1"/>
  <c r="H173" i="1"/>
  <c r="G146" i="1"/>
  <c r="I72" i="1"/>
  <c r="G135" i="1"/>
  <c r="F163" i="1"/>
  <c r="L67" i="1"/>
  <c r="I165" i="1"/>
  <c r="K166" i="1"/>
  <c r="I180" i="1"/>
  <c r="E62" i="1"/>
  <c r="G159" i="1"/>
  <c r="J156" i="1"/>
  <c r="F165" i="1"/>
  <c r="F159" i="1"/>
  <c r="J135" i="1"/>
  <c r="K163" i="1"/>
  <c r="E96" i="1"/>
  <c r="E79" i="1"/>
  <c r="K86" i="1"/>
  <c r="L156" i="1"/>
  <c r="G179" i="1"/>
  <c r="L179" i="1"/>
  <c r="I64" i="1"/>
  <c r="H103" i="1"/>
  <c r="G120" i="1"/>
  <c r="K119" i="1"/>
  <c r="F62" i="1"/>
  <c r="E157" i="1"/>
  <c r="L155" i="1"/>
  <c r="I181" i="1"/>
  <c r="F98" i="1"/>
  <c r="L102" i="1"/>
  <c r="F75" i="1"/>
  <c r="G100" i="1"/>
  <c r="E167" i="1"/>
  <c r="H139" i="1"/>
  <c r="F120" i="1"/>
  <c r="I147" i="1"/>
  <c r="E149" i="1"/>
  <c r="F152" i="1"/>
  <c r="E68" i="1"/>
  <c r="H97" i="1"/>
  <c r="K155" i="1"/>
  <c r="H154" i="1"/>
  <c r="I177" i="1"/>
  <c r="E176" i="1"/>
  <c r="K66" i="1"/>
  <c r="F154" i="1"/>
  <c r="L181" i="1"/>
  <c r="G154" i="1"/>
  <c r="H177" i="1"/>
  <c r="H131" i="1"/>
  <c r="G166" i="1"/>
  <c r="K129" i="1"/>
  <c r="G163" i="1"/>
  <c r="A32" i="1" a="1"/>
  <c r="F134" i="1"/>
  <c r="I112" i="1"/>
  <c r="I157" i="1"/>
  <c r="E147" i="1"/>
  <c r="J99" i="1"/>
  <c r="E165" i="1"/>
  <c r="I145" i="1"/>
  <c r="K74" i="1"/>
  <c r="G181" i="1"/>
  <c r="F103" i="1"/>
  <c r="H140" i="1"/>
  <c r="H77" i="1"/>
  <c r="G153" i="1"/>
  <c r="E92" i="1"/>
  <c r="G116" i="1"/>
  <c r="F161" i="1"/>
  <c r="E178" i="1"/>
  <c r="K96" i="1"/>
  <c r="H158" i="1"/>
  <c r="G118" i="1"/>
  <c r="L133" i="1"/>
  <c r="E169" i="1"/>
  <c r="G140" i="1"/>
  <c r="I79" i="1"/>
  <c r="J128" i="1"/>
  <c r="L140" i="1"/>
  <c r="L115" i="1"/>
  <c r="G142" i="1"/>
  <c r="G175" i="1"/>
  <c r="J177" i="1"/>
  <c r="G167" i="1"/>
  <c r="F119" i="1"/>
  <c r="K78" i="1"/>
  <c r="L174" i="1"/>
  <c r="J138" i="1"/>
  <c r="K121" i="1"/>
  <c r="K72" i="1"/>
  <c r="G110" i="1"/>
  <c r="J119" i="1"/>
  <c r="F147" i="1"/>
  <c r="F87" i="1"/>
  <c r="J130" i="1"/>
  <c r="E120" i="1"/>
  <c r="H71" i="1"/>
  <c r="F91" i="1"/>
  <c r="H163" i="1"/>
  <c r="F176" i="1"/>
  <c r="G130" i="1"/>
  <c r="K116" i="1"/>
  <c r="F92" i="1"/>
  <c r="H166" i="1"/>
  <c r="L113" i="1"/>
  <c r="L78" i="1"/>
  <c r="I167" i="1"/>
  <c r="J154" i="1"/>
  <c r="L162" i="1"/>
  <c r="G170" i="1"/>
  <c r="K97" i="1"/>
  <c r="J169" i="1"/>
  <c r="G174" i="1"/>
  <c r="H176" i="1"/>
  <c r="L70" i="1"/>
  <c r="H111" i="1"/>
  <c r="J158" i="1"/>
  <c r="K177" i="1"/>
  <c r="H130" i="1"/>
  <c r="L74" i="1"/>
  <c r="E181" i="1"/>
  <c r="E150" i="1"/>
  <c r="F167" i="1"/>
  <c r="E119" i="1"/>
  <c r="L163" i="1"/>
  <c r="G68" i="1"/>
  <c r="L89" i="1"/>
  <c r="K167" i="1"/>
  <c r="E148" i="1"/>
  <c r="L173" i="1"/>
  <c r="K157" i="1"/>
  <c r="J152" i="1"/>
  <c r="K100" i="1"/>
  <c r="J65" i="1"/>
  <c r="G92" i="1"/>
  <c r="E129" i="1"/>
  <c r="J90" i="1"/>
  <c r="H63" i="1"/>
  <c r="J71" i="1"/>
  <c r="E87" i="1"/>
  <c r="H138" i="1"/>
  <c r="F68" i="1"/>
  <c r="G177" i="1"/>
  <c r="E67" i="1"/>
  <c r="L159" i="1"/>
  <c r="E93" i="1"/>
  <c r="L94" i="1"/>
  <c r="L117" i="1"/>
  <c r="E95" i="1"/>
  <c r="G134" i="1"/>
  <c r="F139" i="1"/>
  <c r="K76" i="1"/>
  <c r="K69" i="1"/>
  <c r="I169" i="1"/>
  <c r="F143" i="1"/>
  <c r="J93" i="1"/>
  <c r="I148" i="1"/>
  <c r="E100" i="1"/>
  <c r="K152" i="1"/>
  <c r="L100" i="1"/>
  <c r="K68" i="1"/>
  <c r="J78" i="1"/>
  <c r="G112" i="1"/>
  <c r="F148" i="1"/>
  <c r="H67" i="1"/>
  <c r="G168" i="1"/>
  <c r="I135" i="1"/>
  <c r="L168" i="1"/>
  <c r="L65" i="1"/>
  <c r="K95" i="1"/>
  <c r="F137" i="1"/>
  <c r="K110" i="1"/>
  <c r="G157" i="1"/>
  <c r="J134" i="1"/>
  <c r="I116" i="1"/>
  <c r="H144" i="1"/>
  <c r="J145" i="1"/>
  <c r="J118" i="1"/>
  <c r="F96" i="1"/>
  <c r="E78" i="1"/>
  <c r="J168" i="1"/>
  <c r="K153" i="1"/>
  <c r="F110" i="1"/>
  <c r="K170" i="1"/>
  <c r="H74" i="1"/>
  <c r="H168" i="1"/>
  <c r="J164" i="1"/>
  <c r="J172" i="1"/>
  <c r="H62" i="1"/>
  <c r="E134" i="1"/>
  <c r="J132" i="1"/>
  <c r="I88" i="1"/>
  <c r="F138" i="1"/>
  <c r="E102" i="1"/>
  <c r="F79" i="1"/>
  <c r="G63" i="1"/>
  <c r="J121" i="1"/>
  <c r="H102" i="1"/>
  <c r="G65" i="1"/>
  <c r="K179" i="1"/>
  <c r="I66" i="1"/>
  <c r="H162" i="1"/>
  <c r="G97" i="1"/>
  <c r="J96" i="1"/>
  <c r="I90" i="1"/>
  <c r="K156" i="1"/>
  <c r="E114" i="1"/>
  <c r="F146" i="1"/>
  <c r="F121" i="1"/>
  <c r="G136" i="1"/>
  <c r="H92" i="1"/>
  <c r="G88" i="1"/>
  <c r="E77" i="1"/>
  <c r="I78" i="1"/>
  <c r="I69" i="1"/>
  <c r="J166" i="1"/>
  <c r="G91" i="1"/>
  <c r="J115" i="1"/>
  <c r="I74" i="1"/>
  <c r="K128" i="1"/>
  <c r="E97" i="1"/>
  <c r="E145" i="1"/>
  <c r="F140" i="1"/>
  <c r="H76" i="1"/>
  <c r="J70" i="1"/>
  <c r="E66" i="1"/>
  <c r="I75" i="1"/>
  <c r="I142" i="1"/>
  <c r="K144" i="1"/>
  <c r="F100" i="1"/>
  <c r="F136" i="1"/>
  <c r="E130" i="1"/>
  <c r="E128" i="1"/>
  <c r="E140" i="1"/>
  <c r="L138" i="1"/>
  <c r="G74" i="1"/>
  <c r="G173" i="1"/>
  <c r="E69" i="1"/>
  <c r="I98" i="1"/>
  <c r="G77" i="1"/>
  <c r="K64" i="1"/>
  <c r="E175" i="1"/>
  <c r="G145" i="1"/>
  <c r="E138" i="1"/>
  <c r="I87" i="1"/>
  <c r="E99" i="1"/>
  <c r="E71" i="1"/>
  <c r="G101" i="1"/>
  <c r="I103" i="1"/>
  <c r="I68" i="1"/>
  <c r="G87" i="1"/>
  <c r="F72" i="1"/>
  <c r="H134" i="1"/>
  <c r="E70" i="1"/>
  <c r="K71" i="1"/>
  <c r="L165" i="1"/>
  <c r="G96" i="1"/>
  <c r="L170" i="1"/>
  <c r="L79" i="1"/>
  <c r="K103" i="1"/>
  <c r="E172" i="1"/>
  <c r="F181" i="1"/>
  <c r="J129" i="1"/>
  <c r="K154" i="1"/>
  <c r="I152" i="1"/>
  <c r="J111" i="1"/>
  <c r="I140" i="1"/>
  <c r="J110" i="1"/>
  <c r="E164" i="1"/>
  <c r="L171" i="1"/>
  <c r="I65" i="1"/>
  <c r="G137" i="1"/>
  <c r="E110" i="1"/>
  <c r="E65" i="1"/>
  <c r="G76" i="1"/>
  <c r="I138" i="1"/>
  <c r="G62" i="1"/>
  <c r="H119" i="1"/>
  <c r="G86" i="1"/>
  <c r="K65" i="1"/>
  <c r="L148" i="1"/>
  <c r="W32" i="1"/>
  <c r="I161" i="1"/>
  <c r="G138" i="1"/>
  <c r="J136" i="1"/>
  <c r="L172" i="1"/>
  <c r="F113" i="1"/>
  <c r="L75" i="1"/>
  <c r="I156" i="1"/>
  <c r="F74" i="1"/>
  <c r="K140" i="1"/>
  <c r="H153" i="1"/>
  <c r="J139" i="1"/>
  <c r="G147" i="1"/>
  <c r="I164" i="1"/>
  <c r="I162" i="1"/>
  <c r="I114" i="1"/>
  <c r="F67" i="1"/>
  <c r="K161" i="1"/>
  <c r="G169" i="1"/>
  <c r="F112" i="1"/>
  <c r="I100" i="1"/>
  <c r="F172" i="1"/>
  <c r="F66" i="1"/>
  <c r="I173" i="1"/>
  <c r="J170" i="1"/>
  <c r="H91" i="1"/>
  <c r="K115" i="1"/>
  <c r="H79" i="1"/>
  <c r="J167" i="1"/>
  <c r="I129" i="1"/>
  <c r="J137" i="1"/>
  <c r="K88" i="1"/>
  <c r="L157" i="1"/>
  <c r="F131" i="1"/>
  <c r="H171" i="1"/>
  <c r="L143" i="1"/>
  <c r="H146" i="1"/>
  <c r="J117" i="1"/>
  <c r="L164" i="1"/>
  <c r="F156" i="1"/>
  <c r="E166" i="1"/>
  <c r="L73" i="1"/>
  <c r="E117" i="1"/>
  <c r="L114" i="1"/>
  <c r="E94" i="1"/>
  <c r="J79" i="1"/>
  <c r="I176" i="1"/>
  <c r="J66" i="1"/>
  <c r="H169" i="1"/>
  <c r="K62" i="1"/>
  <c r="J97" i="1"/>
  <c r="L66" i="1"/>
  <c r="J161" i="1"/>
  <c r="G164" i="1"/>
  <c r="L132" i="1"/>
  <c r="K138" i="1"/>
  <c r="G89" i="1"/>
  <c r="E161" i="1"/>
  <c r="I111" i="1"/>
  <c r="K90" i="1"/>
  <c r="G93" i="1"/>
  <c r="J94" i="1"/>
  <c r="L129" i="1"/>
  <c r="J72" i="1"/>
  <c r="I95" i="1"/>
  <c r="H120" i="1"/>
  <c r="L180" i="1"/>
  <c r="I170" i="1"/>
  <c r="K117" i="1"/>
  <c r="F160" i="1"/>
  <c r="E180" i="1"/>
  <c r="G143" i="1"/>
  <c r="G121" i="1"/>
  <c r="K112" i="1"/>
  <c r="J151" i="1"/>
  <c r="H172" i="1"/>
  <c r="J101" i="1"/>
  <c r="K75" i="1"/>
  <c r="J181" i="1"/>
  <c r="I73" i="1"/>
  <c r="E88" i="1"/>
  <c r="H142" i="1"/>
  <c r="L68" i="1"/>
  <c r="J143" i="1"/>
  <c r="L76" i="1"/>
  <c r="E144" i="1"/>
  <c r="K142" i="1"/>
  <c r="G139" i="1"/>
  <c r="I168" i="1"/>
  <c r="F95" i="1"/>
  <c r="K131" i="1"/>
  <c r="J92" i="1"/>
  <c r="J179" i="1"/>
  <c r="L112" i="1"/>
  <c r="I155" i="1"/>
  <c r="H68" i="1"/>
  <c r="E142" i="1"/>
  <c r="L136" i="1"/>
  <c r="K181" i="1"/>
  <c r="I158" i="1"/>
  <c r="E159" i="1"/>
  <c r="H164" i="1"/>
  <c r="F89" i="1"/>
  <c r="E101" i="1"/>
  <c r="E73" i="1"/>
  <c r="G113" i="1"/>
  <c r="H175" i="1"/>
  <c r="K101" i="1"/>
  <c r="G128" i="1"/>
  <c r="K132" i="1"/>
  <c r="F149" i="1"/>
  <c r="F166" i="1"/>
  <c r="L86" i="1"/>
  <c r="F157" i="1"/>
  <c r="F132" i="1"/>
  <c r="K145" i="1"/>
  <c r="H89" i="1"/>
  <c r="F70" i="1"/>
  <c r="E63" i="1"/>
  <c r="K87" i="1"/>
  <c r="I172" i="1"/>
  <c r="G141" i="1"/>
  <c r="J89" i="1"/>
  <c r="H117" i="1"/>
  <c r="K178" i="1"/>
  <c r="H99" i="1"/>
  <c r="F88" i="1"/>
  <c r="E135" i="1"/>
  <c r="F171" i="1"/>
  <c r="H179" i="1"/>
  <c r="K91" i="1"/>
  <c r="E156" i="1"/>
  <c r="I131" i="1"/>
  <c r="J64" i="1"/>
  <c r="K175" i="1"/>
  <c r="I96" i="1"/>
  <c r="H75" i="1"/>
  <c r="I178" i="1"/>
  <c r="H98" i="1"/>
  <c r="J146" i="1"/>
  <c r="J95" i="1"/>
  <c r="F94" i="1"/>
  <c r="H135" i="1"/>
  <c r="K165" i="1"/>
  <c r="K118" i="1"/>
  <c r="J68" i="1"/>
  <c r="H155" i="1"/>
  <c r="E86" i="1"/>
  <c r="I117" i="1"/>
  <c r="J73" i="1"/>
  <c r="K164" i="1"/>
  <c r="K146" i="1"/>
  <c r="K176" i="1"/>
  <c r="K120" i="1"/>
  <c r="H161" i="1"/>
  <c r="H128" i="1"/>
  <c r="I113" i="1"/>
  <c r="J162" i="1"/>
  <c r="G160" i="1"/>
  <c r="H178" i="1"/>
  <c r="F169" i="1"/>
  <c r="I134" i="1"/>
  <c r="E91" i="1"/>
  <c r="K173" i="1"/>
  <c r="J157" i="1"/>
  <c r="G95" i="1"/>
  <c r="K137" i="1"/>
  <c r="G144" i="1"/>
  <c r="L87" i="1"/>
  <c r="F101" i="1"/>
  <c r="H141" i="1"/>
  <c r="G119" i="1"/>
  <c r="G75" i="1"/>
  <c r="I71" i="1"/>
  <c r="G151" i="1"/>
  <c r="F175" i="1"/>
  <c r="H133" i="1"/>
  <c r="I128" i="1"/>
  <c r="E179" i="1"/>
  <c r="L154" i="1"/>
  <c r="L111" i="1"/>
  <c r="E153" i="1"/>
  <c r="J75" i="1"/>
  <c r="J148" i="1"/>
  <c r="I94" i="1"/>
  <c r="F178" i="1"/>
  <c r="F97" i="1"/>
  <c r="E168" i="1"/>
  <c r="I146" i="1"/>
  <c r="J150" i="1"/>
  <c r="L147" i="1"/>
  <c r="L119" i="1"/>
  <c r="F99" i="1"/>
  <c r="K136" i="1"/>
  <c r="H116" i="1"/>
  <c r="I143" i="1"/>
  <c r="G102" i="1"/>
  <c r="I70" i="1"/>
  <c r="H129" i="1"/>
  <c r="I166" i="1"/>
  <c r="L178" i="1"/>
  <c r="H170" i="1"/>
  <c r="F86" i="1"/>
  <c r="L110" i="1"/>
  <c r="F142" i="1"/>
  <c r="H148" i="1"/>
  <c r="F69" i="1"/>
  <c r="G79" i="1"/>
  <c r="L116" i="1"/>
  <c r="G178" i="1"/>
  <c r="J160" i="1"/>
  <c r="I171" i="1"/>
  <c r="G148" i="1"/>
  <c r="G67" i="1"/>
  <c r="J98" i="1"/>
  <c r="L166" i="1"/>
  <c r="K130" i="1"/>
  <c r="H156" i="1"/>
  <c r="E118" i="1"/>
  <c r="H93" i="1"/>
  <c r="I179" i="1"/>
  <c r="K158" i="1"/>
  <c r="K102" i="1"/>
  <c r="L141" i="1"/>
  <c r="L103" i="1"/>
  <c r="G149" i="1"/>
  <c r="H115" i="1"/>
  <c r="F115" i="1"/>
  <c r="E139" i="1"/>
  <c r="F118" i="1"/>
  <c r="G155" i="1"/>
  <c r="J88" i="1"/>
  <c r="I150" i="1"/>
  <c r="H90" i="1"/>
  <c r="J100" i="1"/>
  <c r="G152" i="1"/>
  <c r="I91" i="1"/>
  <c r="F164" i="1"/>
  <c r="G162" i="1"/>
  <c r="J91" i="1"/>
  <c r="J174" i="1"/>
  <c r="I62" i="1"/>
  <c r="I149" i="1"/>
  <c r="J87" i="1"/>
  <c r="H180" i="1"/>
  <c r="G172" i="1"/>
  <c r="L97" i="1"/>
  <c r="H136" i="1"/>
  <c r="F116" i="1"/>
  <c r="H88" i="1"/>
  <c r="I153" i="1"/>
  <c r="H113" i="1"/>
  <c r="L77" i="1"/>
  <c r="L131" i="1"/>
  <c r="K92" i="1"/>
  <c r="H157" i="1"/>
  <c r="F162" i="1"/>
  <c r="L99" i="1"/>
  <c r="K93" i="1"/>
  <c r="L150" i="1"/>
  <c r="F78" i="1"/>
  <c r="J176" i="1"/>
  <c r="H94" i="1"/>
  <c r="F65" i="1"/>
  <c r="K79" i="1"/>
  <c r="H167" i="1"/>
  <c r="I154" i="1"/>
  <c r="I133" i="1"/>
  <c r="G99" i="1"/>
  <c r="H96" i="1"/>
  <c r="E133" i="1"/>
  <c r="J74" i="1"/>
  <c r="G66" i="1"/>
  <c r="G90" i="1"/>
  <c r="H145" i="1"/>
  <c r="F77" i="1"/>
  <c r="F135" i="1"/>
  <c r="L139" i="1"/>
  <c r="L169" i="1"/>
  <c r="G111" i="1"/>
  <c r="K67" i="1"/>
  <c r="J159" i="1"/>
  <c r="H160" i="1"/>
  <c r="K99" i="1"/>
  <c r="E173" i="1"/>
  <c r="F102" i="1"/>
  <c r="I174" i="1"/>
  <c r="E75" i="1"/>
  <c r="E116" i="1"/>
  <c r="E143" i="1"/>
  <c r="L90" i="1"/>
  <c r="J120" i="1"/>
  <c r="E74" i="1"/>
  <c r="K160" i="1"/>
  <c r="K70" i="1"/>
  <c r="L62" i="1"/>
  <c r="J147" i="1"/>
  <c r="K174" i="1"/>
  <c r="J140" i="1"/>
  <c r="L149" i="1"/>
  <c r="H143" i="1"/>
  <c r="E131" i="1"/>
  <c r="F90" i="1"/>
  <c r="K139" i="1"/>
  <c r="L91" i="1"/>
  <c r="E112" i="1"/>
  <c r="I92" i="1"/>
  <c r="K77" i="1"/>
  <c r="E76" i="1"/>
  <c r="K168" i="1"/>
  <c r="J63" i="1"/>
  <c r="L160" i="1"/>
  <c r="L152" i="1"/>
  <c r="H100" i="1"/>
  <c r="J141" i="1"/>
  <c r="I120" i="1"/>
  <c r="F151" i="1"/>
  <c r="E90" i="1"/>
  <c r="H150" i="1"/>
  <c r="G158" i="1"/>
  <c r="K172" i="1"/>
  <c r="F179" i="1"/>
  <c r="F155" i="1"/>
  <c r="G78" i="1"/>
  <c r="F168" i="1"/>
  <c r="J178" i="1"/>
  <c r="K98" i="1"/>
  <c r="F129" i="1"/>
  <c r="L63" i="1"/>
  <c r="L118" i="1"/>
  <c r="G165" i="1"/>
  <c r="E64" i="1"/>
  <c r="F117" i="1"/>
  <c r="J144" i="1"/>
  <c r="K89" i="1"/>
  <c r="F63" i="1"/>
  <c r="J173" i="1"/>
  <c r="F177" i="1"/>
  <c r="H64" i="1"/>
  <c r="H78" i="1"/>
  <c r="X32" i="1"/>
  <c r="J155" i="1"/>
  <c r="E170" i="1"/>
  <c r="I76" i="1"/>
  <c r="K133" i="1"/>
  <c r="J175" i="1"/>
  <c r="L135" i="1"/>
  <c r="I63" i="1"/>
  <c r="G176" i="1"/>
  <c r="F174" i="1"/>
  <c r="K111" i="1"/>
  <c r="I139" i="1"/>
  <c r="H137" i="1"/>
  <c r="G131" i="1"/>
  <c r="G133" i="1"/>
  <c r="I119" i="1"/>
  <c r="J133" i="1"/>
  <c r="J69" i="1"/>
  <c r="H70" i="1"/>
  <c r="I163" i="1"/>
  <c r="J67" i="1"/>
  <c r="K148" i="1"/>
  <c r="G132" i="1"/>
  <c r="K169" i="1"/>
  <c r="K73" i="1"/>
  <c r="G73" i="1"/>
  <c r="I115" i="1"/>
  <c r="H118" i="1"/>
  <c r="L95" i="1"/>
  <c r="F93" i="1"/>
  <c r="G72" i="1"/>
  <c r="I136" i="1"/>
  <c r="J165" i="1"/>
  <c r="L121" i="1"/>
  <c r="L158" i="1"/>
  <c r="I93" i="1"/>
  <c r="J116" i="1"/>
  <c r="G103" i="1"/>
  <c r="F133" i="1"/>
  <c r="L175" i="1"/>
  <c r="J114" i="1"/>
  <c r="F71" i="1"/>
  <c r="F170" i="1"/>
  <c r="F153" i="1"/>
  <c r="E89" i="1"/>
  <c r="E111" i="1"/>
  <c r="L146" i="1"/>
  <c r="F144" i="1"/>
  <c r="K94" i="1"/>
  <c r="E154" i="1"/>
  <c r="L130" i="1"/>
  <c r="E115" i="1"/>
  <c r="I132" i="1"/>
  <c r="K150" i="1"/>
  <c r="G150" i="1"/>
  <c r="F128" i="1"/>
  <c r="E98" i="1"/>
  <c r="E72" i="1"/>
  <c r="H69" i="1"/>
  <c r="E158" i="1"/>
  <c r="E162" i="1"/>
  <c r="L64" i="1"/>
  <c r="G115" i="1"/>
  <c r="H101" i="1"/>
  <c r="L153" i="1"/>
  <c r="L98" i="1"/>
  <c r="H65" i="1"/>
  <c r="F173" i="1"/>
  <c r="E171" i="1"/>
  <c r="L176" i="1"/>
  <c r="F76" i="1"/>
  <c r="L144" i="1"/>
  <c r="H110" i="1"/>
  <c r="H159" i="1"/>
  <c r="H132" i="1"/>
  <c r="I97" i="1"/>
  <c r="K180" i="1"/>
  <c r="G129" i="1"/>
  <c r="G180" i="1"/>
  <c r="J113" i="1"/>
  <c r="J171" i="1"/>
  <c r="J86" i="1"/>
  <c r="I160" i="1"/>
  <c r="I77" i="1"/>
  <c r="K141" i="1"/>
  <c r="E137" i="1"/>
  <c r="H174" i="1"/>
  <c r="I137" i="1"/>
  <c r="L96" i="1"/>
  <c r="H149" i="1"/>
  <c r="K159" i="1"/>
  <c r="I89" i="1"/>
  <c r="G156" i="1"/>
  <c r="E155" i="1"/>
  <c r="H95" i="1"/>
  <c r="J153" i="1"/>
  <c r="K63" i="1"/>
  <c r="I151" i="1"/>
  <c r="E174" i="1"/>
  <c r="E152" i="1"/>
  <c r="I141" i="1"/>
  <c r="H112" i="1"/>
  <c r="I110" i="1"/>
  <c r="L177" i="1"/>
  <c r="H147" i="1"/>
  <c r="E177" i="1"/>
  <c r="F145" i="1"/>
  <c r="E132" i="1"/>
  <c r="H152" i="1"/>
  <c r="H181" i="1"/>
  <c r="J163" i="1"/>
  <c r="I102" i="1"/>
  <c r="G171" i="1"/>
  <c r="L167" i="1"/>
  <c r="H165" i="1"/>
  <c r="J103" i="1"/>
  <c r="E160" i="1"/>
  <c r="L92" i="1"/>
  <c r="I175" i="1"/>
  <c r="K171" i="1"/>
  <c r="K147" i="1"/>
  <c r="H73" i="1"/>
  <c r="I99" i="1"/>
  <c r="E103" i="1"/>
  <c r="AE112" i="1" l="1"/>
  <c r="AE133" i="1"/>
  <c r="AE63" i="1"/>
  <c r="AE68" i="1"/>
  <c r="AE141" i="1"/>
  <c r="AE113" i="1"/>
  <c r="AE76" i="1"/>
  <c r="AE119" i="1"/>
  <c r="AE142" i="1"/>
  <c r="AE87" i="1"/>
  <c r="AE90" i="1"/>
  <c r="AE86" i="1"/>
  <c r="AE97" i="1"/>
  <c r="AE132" i="1"/>
  <c r="AE70" i="1"/>
  <c r="AE151" i="1"/>
  <c r="AE75" i="1"/>
  <c r="AE74" i="1"/>
  <c r="AE79" i="1"/>
  <c r="AE174" i="1"/>
  <c r="AE98" i="1"/>
  <c r="AE62" i="1"/>
  <c r="AE114" i="1"/>
  <c r="AE149" i="1"/>
  <c r="AE175" i="1"/>
  <c r="AE117" i="1"/>
  <c r="AE153" i="1"/>
  <c r="AE131" i="1"/>
  <c r="AE148" i="1"/>
  <c r="AE168" i="1"/>
  <c r="AE181" i="1"/>
  <c r="AE169" i="1"/>
  <c r="AE64" i="1"/>
  <c r="AE179" i="1"/>
  <c r="AE163" i="1"/>
  <c r="AE157" i="1"/>
  <c r="AE170" i="1"/>
  <c r="AE146" i="1"/>
  <c r="AE92" i="1"/>
  <c r="AE137" i="1"/>
  <c r="AE99" i="1"/>
  <c r="AE171" i="1"/>
  <c r="AE165" i="1"/>
  <c r="AE111" i="1"/>
  <c r="AE164" i="1"/>
  <c r="AE102" i="1"/>
  <c r="AE159" i="1"/>
  <c r="AE178" i="1"/>
  <c r="AE156" i="1"/>
  <c r="AE180" i="1"/>
  <c r="AE94" i="1"/>
  <c r="AE93" i="1"/>
  <c r="AE155" i="1"/>
  <c r="AE162" i="1"/>
  <c r="AE152" i="1"/>
  <c r="AE144" i="1"/>
  <c r="AE91" i="1"/>
  <c r="AE128" i="1"/>
  <c r="AE78" i="1"/>
  <c r="AE140" i="1"/>
  <c r="AE129" i="1"/>
  <c r="AE103" i="1"/>
  <c r="AE110" i="1"/>
  <c r="AE150" i="1"/>
  <c r="AE158" i="1"/>
  <c r="AE147" i="1"/>
  <c r="AE160" i="1"/>
  <c r="AE66" i="1"/>
  <c r="AE100" i="1"/>
  <c r="AE72" i="1"/>
  <c r="AE166" i="1"/>
  <c r="AE138" i="1"/>
  <c r="AE161" i="1"/>
  <c r="AE121" i="1"/>
  <c r="AE96" i="1"/>
  <c r="AE167" i="1"/>
  <c r="AE130" i="1"/>
  <c r="AE95" i="1"/>
  <c r="AE173" i="1"/>
  <c r="AE73" i="1"/>
  <c r="AE172" i="1"/>
  <c r="AE139" i="1"/>
  <c r="AE115" i="1"/>
  <c r="AE135" i="1"/>
  <c r="AE118" i="1"/>
  <c r="AE143" i="1"/>
  <c r="AE67" i="1"/>
  <c r="AE77" i="1"/>
  <c r="AE177" i="1"/>
  <c r="AE116" i="1"/>
  <c r="AE65" i="1"/>
  <c r="AE176" i="1"/>
  <c r="AE89" i="1"/>
  <c r="AE154" i="1"/>
  <c r="AE136" i="1"/>
  <c r="EW46" i="94"/>
  <c r="A32" i="1"/>
  <c r="B38" i="1" s="1" a="1"/>
  <c r="J42" i="94"/>
  <c r="EW45" i="94"/>
  <c r="AM42" i="94"/>
  <c r="FV40" i="94"/>
  <c r="FW40" i="94" s="1"/>
  <c r="FX40" i="94" s="1"/>
  <c r="FY40" i="94" s="1"/>
  <c r="FZ40" i="94" s="1"/>
  <c r="GA40" i="94" s="1"/>
  <c r="GB40" i="94" s="1"/>
  <c r="GC40" i="94" s="1"/>
  <c r="GD40" i="94" s="1"/>
  <c r="GE40" i="94" s="1"/>
  <c r="GF40" i="94" s="1"/>
  <c r="GG40" i="94" s="1"/>
  <c r="GH40" i="94" s="1"/>
  <c r="GI40" i="94" s="1"/>
  <c r="GJ40" i="94" s="1"/>
  <c r="GK40" i="94" s="1"/>
  <c r="GL40" i="94" s="1"/>
  <c r="GM40" i="94" s="1"/>
  <c r="GN40" i="94" s="1"/>
  <c r="GO40" i="94" s="1"/>
  <c r="GP40" i="94" s="1"/>
  <c r="GQ40" i="94" s="1"/>
  <c r="GR40" i="94" s="1"/>
  <c r="GS40" i="94" s="1"/>
  <c r="EX42" i="94"/>
  <c r="BN42" i="94"/>
  <c r="A2" i="1"/>
  <c r="R31" i="1"/>
  <c r="F64" i="1"/>
  <c r="L134" i="1"/>
  <c r="F150" i="1"/>
  <c r="E141" i="1"/>
  <c r="F114" i="1"/>
  <c r="K135" i="1"/>
  <c r="H72" i="1"/>
  <c r="E113" i="1"/>
  <c r="J76" i="1"/>
  <c r="G71" i="1"/>
  <c r="F111" i="1"/>
  <c r="A31" i="1" a="1"/>
  <c r="L145" i="1"/>
  <c r="H151" i="1"/>
  <c r="J112" i="1"/>
  <c r="L71" i="1"/>
  <c r="I101" i="1"/>
  <c r="K114" i="1"/>
  <c r="F73" i="1"/>
  <c r="I86" i="1"/>
  <c r="G117" i="1"/>
  <c r="J131" i="1"/>
  <c r="H86" i="1"/>
  <c r="K113" i="1"/>
  <c r="I67" i="1"/>
  <c r="J62" i="1"/>
  <c r="L120" i="1"/>
  <c r="F141" i="1"/>
  <c r="L88" i="1"/>
  <c r="J149" i="1"/>
  <c r="E136" i="1"/>
  <c r="H87" i="1"/>
  <c r="K143" i="1"/>
  <c r="K149" i="1"/>
  <c r="H114" i="1"/>
  <c r="F130" i="1"/>
  <c r="I121" i="1"/>
  <c r="I118" i="1"/>
  <c r="L101" i="1"/>
  <c r="H121" i="1"/>
  <c r="G64" i="1"/>
  <c r="E151" i="1"/>
  <c r="K134" i="1"/>
  <c r="G98" i="1"/>
  <c r="L69" i="1"/>
  <c r="AE69" i="1" l="1"/>
  <c r="AE71" i="1"/>
  <c r="AE88" i="1"/>
  <c r="AE120" i="1"/>
  <c r="AE145" i="1"/>
  <c r="AE101" i="1"/>
  <c r="AE134" i="1"/>
  <c r="B38" i="1"/>
  <c r="C39" i="1" s="1"/>
  <c r="C57" i="1"/>
  <c r="C44" i="1"/>
  <c r="C47" i="1"/>
  <c r="C51" i="1"/>
  <c r="C53" i="1"/>
  <c r="C48" i="1"/>
  <c r="C61" i="1"/>
  <c r="C40" i="1"/>
  <c r="C62" i="1"/>
  <c r="C54" i="1"/>
  <c r="C45" i="1"/>
  <c r="C52" i="1"/>
  <c r="C41" i="1"/>
  <c r="C58" i="1"/>
  <c r="C43" i="1"/>
  <c r="C56" i="1"/>
  <c r="C55" i="1"/>
  <c r="C42" i="1"/>
  <c r="C46" i="1"/>
  <c r="C60" i="1"/>
  <c r="C50" i="1"/>
  <c r="C49" i="1"/>
  <c r="C59" i="1"/>
  <c r="S175" i="1"/>
  <c r="C187" i="1"/>
  <c r="S187" i="1" s="1"/>
  <c r="C199" i="1"/>
  <c r="S199" i="1" s="1"/>
  <c r="C211" i="1"/>
  <c r="S211" i="1" s="1"/>
  <c r="C185" i="1"/>
  <c r="S185" i="1" s="1"/>
  <c r="C202" i="1"/>
  <c r="S202" i="1" s="1"/>
  <c r="C215" i="1"/>
  <c r="S215" i="1" s="1"/>
  <c r="C219" i="1"/>
  <c r="S219" i="1" s="1"/>
  <c r="S180" i="1"/>
  <c r="C189" i="1"/>
  <c r="S189" i="1" s="1"/>
  <c r="C206" i="1"/>
  <c r="S206" i="1" s="1"/>
  <c r="C210" i="1"/>
  <c r="S210" i="1" s="1"/>
  <c r="S177" i="1"/>
  <c r="C193" i="1"/>
  <c r="S193" i="1" s="1"/>
  <c r="C197" i="1"/>
  <c r="S197" i="1" s="1"/>
  <c r="C214" i="1"/>
  <c r="S214" i="1" s="1"/>
  <c r="C182" i="1"/>
  <c r="S182" i="1" s="1"/>
  <c r="C188" i="1"/>
  <c r="S188" i="1" s="1"/>
  <c r="C205" i="1"/>
  <c r="S205" i="1" s="1"/>
  <c r="C184" i="1"/>
  <c r="S184" i="1" s="1"/>
  <c r="C192" i="1"/>
  <c r="S192" i="1" s="1"/>
  <c r="S179" i="1"/>
  <c r="S181" i="1"/>
  <c r="C220" i="1"/>
  <c r="S220" i="1" s="1"/>
  <c r="C201" i="1"/>
  <c r="S201" i="1" s="1"/>
  <c r="C209" i="1"/>
  <c r="S209" i="1" s="1"/>
  <c r="C229" i="1"/>
  <c r="S229" i="1" s="1"/>
  <c r="C186" i="1"/>
  <c r="S186" i="1" s="1"/>
  <c r="C190" i="1"/>
  <c r="S190" i="1" s="1"/>
  <c r="C218" i="1"/>
  <c r="S218" i="1" s="1"/>
  <c r="C228" i="1"/>
  <c r="S228" i="1" s="1"/>
  <c r="C198" i="1"/>
  <c r="S198" i="1" s="1"/>
  <c r="S176" i="1"/>
  <c r="C212" i="1"/>
  <c r="S212" i="1" s="1"/>
  <c r="C221" i="1"/>
  <c r="S221" i="1" s="1"/>
  <c r="C223" i="1"/>
  <c r="S223" i="1" s="1"/>
  <c r="C227" i="1"/>
  <c r="S227" i="1" s="1"/>
  <c r="C196" i="1"/>
  <c r="S196" i="1" s="1"/>
  <c r="C226" i="1"/>
  <c r="S226" i="1" s="1"/>
  <c r="C183" i="1"/>
  <c r="S183" i="1" s="1"/>
  <c r="C194" i="1"/>
  <c r="S194" i="1" s="1"/>
  <c r="C195" i="1"/>
  <c r="S195" i="1" s="1"/>
  <c r="C207" i="1"/>
  <c r="S207" i="1" s="1"/>
  <c r="C213" i="1"/>
  <c r="S213" i="1" s="1"/>
  <c r="C225" i="1"/>
  <c r="S225" i="1" s="1"/>
  <c r="C216" i="1"/>
  <c r="S216" i="1" s="1"/>
  <c r="S178" i="1"/>
  <c r="C203" i="1"/>
  <c r="S203" i="1" s="1"/>
  <c r="C208" i="1"/>
  <c r="S208" i="1" s="1"/>
  <c r="C224" i="1"/>
  <c r="S224" i="1" s="1"/>
  <c r="C191" i="1"/>
  <c r="S191" i="1" s="1"/>
  <c r="C200" i="1"/>
  <c r="S200" i="1" s="1"/>
  <c r="C204" i="1"/>
  <c r="S204" i="1" s="1"/>
  <c r="C217" i="1"/>
  <c r="S217" i="1" s="1"/>
  <c r="C222" i="1"/>
  <c r="S222" i="1" s="1"/>
  <c r="K42" i="94"/>
  <c r="FU41" i="94"/>
  <c r="BO42" i="94"/>
  <c r="EX45" i="94"/>
  <c r="EY42" i="94"/>
  <c r="EX46" i="94"/>
  <c r="AN42" i="94"/>
  <c r="T81" i="1"/>
  <c r="T82" i="1"/>
  <c r="T80" i="1"/>
  <c r="A31" i="1"/>
  <c r="T40" i="1"/>
  <c r="H50" i="1"/>
  <c r="J229" i="1"/>
  <c r="O206" i="1"/>
  <c r="I196" i="1"/>
  <c r="W219" i="1"/>
  <c r="AA182" i="1"/>
  <c r="Q184" i="1"/>
  <c r="N224" i="1"/>
  <c r="U210" i="1"/>
  <c r="F193" i="1"/>
  <c r="K212" i="1"/>
  <c r="X196" i="1"/>
  <c r="F203" i="1"/>
  <c r="F188" i="1"/>
  <c r="H49" i="1"/>
  <c r="E194" i="1"/>
  <c r="H210" i="1"/>
  <c r="AA219" i="1"/>
  <c r="J195" i="1"/>
  <c r="X217" i="1"/>
  <c r="P219" i="1"/>
  <c r="H59" i="1"/>
  <c r="N206" i="1"/>
  <c r="J219" i="1"/>
  <c r="X192" i="1"/>
  <c r="K228" i="1"/>
  <c r="N203" i="1"/>
  <c r="G210" i="1"/>
  <c r="Q221" i="1"/>
  <c r="K53" i="1"/>
  <c r="L185" i="1"/>
  <c r="M219" i="1"/>
  <c r="H188" i="1"/>
  <c r="F212" i="1"/>
  <c r="F182" i="1"/>
  <c r="W211" i="1"/>
  <c r="O221" i="1"/>
  <c r="V200" i="1"/>
  <c r="H228" i="1"/>
  <c r="W191" i="1"/>
  <c r="I192" i="1"/>
  <c r="AA198" i="1"/>
  <c r="V226" i="1"/>
  <c r="I189" i="1"/>
  <c r="M228" i="1"/>
  <c r="J213" i="1"/>
  <c r="I200" i="1"/>
  <c r="K206" i="1"/>
  <c r="I205" i="1"/>
  <c r="V183" i="1"/>
  <c r="U209" i="1"/>
  <c r="V210" i="1"/>
  <c r="O192" i="1"/>
  <c r="G196" i="1"/>
  <c r="AA224" i="1"/>
  <c r="X207" i="1"/>
  <c r="Q226" i="1"/>
  <c r="N202" i="1"/>
  <c r="V178" i="1"/>
  <c r="M218" i="1"/>
  <c r="X205" i="1"/>
  <c r="N217" i="1"/>
  <c r="J51" i="1"/>
  <c r="G185" i="1"/>
  <c r="Q213" i="1"/>
  <c r="H192" i="1"/>
  <c r="V225" i="1"/>
  <c r="G212" i="1"/>
  <c r="F54" i="1"/>
  <c r="L225" i="1"/>
  <c r="E184" i="1"/>
  <c r="H44" i="1"/>
  <c r="N210" i="1"/>
  <c r="M229" i="1"/>
  <c r="I195" i="1"/>
  <c r="N180" i="1"/>
  <c r="F202" i="1"/>
  <c r="M203" i="1"/>
  <c r="W208" i="1"/>
  <c r="P223" i="1"/>
  <c r="E202" i="1"/>
  <c r="H202" i="1"/>
  <c r="J217" i="1"/>
  <c r="G49" i="1"/>
  <c r="V197" i="1"/>
  <c r="O176" i="1"/>
  <c r="K220" i="1"/>
  <c r="H53" i="1"/>
  <c r="H216" i="1"/>
  <c r="N229" i="1"/>
  <c r="E198" i="1"/>
  <c r="P212" i="1"/>
  <c r="AA183" i="1"/>
  <c r="W175" i="1"/>
  <c r="Q219" i="1"/>
  <c r="U192" i="1"/>
  <c r="N185" i="1"/>
  <c r="F183" i="1"/>
  <c r="F45" i="1"/>
  <c r="G220" i="1"/>
  <c r="N218" i="1"/>
  <c r="I45" i="1"/>
  <c r="M208" i="1"/>
  <c r="W181" i="1"/>
  <c r="I197" i="1"/>
  <c r="I229" i="1"/>
  <c r="U208" i="1"/>
  <c r="F57" i="1"/>
  <c r="H190" i="1"/>
  <c r="G217" i="1"/>
  <c r="J214" i="1"/>
  <c r="J226" i="1"/>
  <c r="G203" i="1"/>
  <c r="E189" i="1"/>
  <c r="G182" i="1"/>
  <c r="E49" i="1"/>
  <c r="F214" i="1"/>
  <c r="O175" i="1"/>
  <c r="U190" i="1"/>
  <c r="X187" i="1"/>
  <c r="M178" i="1"/>
  <c r="L197" i="1"/>
  <c r="U180" i="1"/>
  <c r="Q175" i="1"/>
  <c r="I222" i="1"/>
  <c r="I227" i="1"/>
  <c r="G51" i="1"/>
  <c r="I220" i="1"/>
  <c r="N227" i="1"/>
  <c r="H61" i="1"/>
  <c r="O214" i="1"/>
  <c r="M194" i="1"/>
  <c r="L214" i="1"/>
  <c r="I212" i="1"/>
  <c r="V184" i="1"/>
  <c r="V203" i="1"/>
  <c r="F205" i="1"/>
  <c r="H48" i="1"/>
  <c r="P175" i="1"/>
  <c r="G214" i="1"/>
  <c r="N186" i="1"/>
  <c r="E221" i="1"/>
  <c r="E186" i="1"/>
  <c r="K60" i="1"/>
  <c r="M192" i="1"/>
  <c r="P220" i="1"/>
  <c r="O186" i="1"/>
  <c r="J228" i="1"/>
  <c r="I56" i="1"/>
  <c r="X212" i="1"/>
  <c r="U200" i="1"/>
  <c r="U218" i="1"/>
  <c r="P213" i="1"/>
  <c r="X222" i="1"/>
  <c r="F190" i="1"/>
  <c r="L190" i="1"/>
  <c r="X181" i="1"/>
  <c r="H215" i="1"/>
  <c r="N215" i="1"/>
  <c r="W180" i="1"/>
  <c r="G211" i="1"/>
  <c r="K188" i="1"/>
  <c r="L58" i="1"/>
  <c r="F48" i="1"/>
  <c r="K222" i="1"/>
  <c r="X199" i="1"/>
  <c r="U198" i="1"/>
  <c r="O188" i="1"/>
  <c r="P188" i="1"/>
  <c r="P201" i="1"/>
  <c r="J56" i="1"/>
  <c r="E187" i="1"/>
  <c r="P205" i="1"/>
  <c r="H185" i="1"/>
  <c r="Q212" i="1"/>
  <c r="F206" i="1"/>
  <c r="U216" i="1"/>
  <c r="V206" i="1"/>
  <c r="V223" i="1"/>
  <c r="V176" i="1"/>
  <c r="E48" i="1"/>
  <c r="AA193" i="1"/>
  <c r="F227" i="1"/>
  <c r="L194" i="1"/>
  <c r="P211" i="1"/>
  <c r="E207" i="1"/>
  <c r="K195" i="1"/>
  <c r="O204" i="1"/>
  <c r="G44" i="1"/>
  <c r="AA209" i="1"/>
  <c r="K218" i="1"/>
  <c r="M200" i="1"/>
  <c r="E45" i="1"/>
  <c r="F60" i="1"/>
  <c r="H223" i="1"/>
  <c r="AA185" i="1"/>
  <c r="K185" i="1"/>
  <c r="K197" i="1"/>
  <c r="X213" i="1"/>
  <c r="P198" i="1"/>
  <c r="H46" i="1"/>
  <c r="G189" i="1"/>
  <c r="F218" i="1"/>
  <c r="E44" i="1"/>
  <c r="E205" i="1"/>
  <c r="H222" i="1"/>
  <c r="O202" i="1"/>
  <c r="AA178" i="1"/>
  <c r="M215" i="1"/>
  <c r="L187" i="1"/>
  <c r="F213" i="1"/>
  <c r="Q211" i="1"/>
  <c r="X185" i="1"/>
  <c r="F61" i="1"/>
  <c r="L221" i="1"/>
  <c r="H197" i="1"/>
  <c r="Q179" i="1"/>
  <c r="J215" i="1"/>
  <c r="W177" i="1"/>
  <c r="L204" i="1"/>
  <c r="W224" i="1"/>
  <c r="Q228" i="1"/>
  <c r="M227" i="1"/>
  <c r="I217" i="1"/>
  <c r="Q223" i="1"/>
  <c r="X201" i="1"/>
  <c r="M206" i="1"/>
  <c r="E217" i="1"/>
  <c r="N199" i="1"/>
  <c r="H208" i="1"/>
  <c r="X176" i="1"/>
  <c r="F219" i="1"/>
  <c r="P202" i="1"/>
  <c r="U197" i="1"/>
  <c r="G219" i="1"/>
  <c r="AA208" i="1"/>
  <c r="W182" i="1"/>
  <c r="G61" i="1"/>
  <c r="Q193" i="1"/>
  <c r="AA207" i="1"/>
  <c r="X208" i="1"/>
  <c r="P228" i="1"/>
  <c r="I54" i="1"/>
  <c r="X229" i="1"/>
  <c r="E190" i="1"/>
  <c r="N176" i="1"/>
  <c r="P190" i="1"/>
  <c r="K55" i="1"/>
  <c r="O185" i="1"/>
  <c r="I194" i="1"/>
  <c r="E46" i="1"/>
  <c r="G215" i="1"/>
  <c r="J188" i="1"/>
  <c r="W184" i="1"/>
  <c r="H57" i="1"/>
  <c r="L47" i="1"/>
  <c r="I215" i="1"/>
  <c r="Q196" i="1"/>
  <c r="AA186" i="1"/>
  <c r="K214" i="1"/>
  <c r="O220" i="1"/>
  <c r="F189" i="1"/>
  <c r="N178" i="1"/>
  <c r="P196" i="1"/>
  <c r="W204" i="1"/>
  <c r="O205" i="1"/>
  <c r="G191" i="1"/>
  <c r="J193" i="1"/>
  <c r="K227" i="1"/>
  <c r="F46" i="1"/>
  <c r="G184" i="1"/>
  <c r="K203" i="1"/>
  <c r="L200" i="1"/>
  <c r="O197" i="1"/>
  <c r="V216" i="1"/>
  <c r="J54" i="1"/>
  <c r="O198" i="1"/>
  <c r="W199" i="1"/>
  <c r="U183" i="1"/>
  <c r="H204" i="1"/>
  <c r="Q187" i="1"/>
  <c r="E200" i="1"/>
  <c r="U182" i="1"/>
  <c r="W225" i="1"/>
  <c r="J200" i="1"/>
  <c r="G186" i="1"/>
  <c r="M185" i="1"/>
  <c r="L53" i="1"/>
  <c r="U217" i="1"/>
  <c r="E212" i="1"/>
  <c r="J216" i="1"/>
  <c r="M188" i="1"/>
  <c r="U221" i="1"/>
  <c r="O187" i="1"/>
  <c r="Q206" i="1"/>
  <c r="F196" i="1"/>
  <c r="G59" i="1"/>
  <c r="X223" i="1"/>
  <c r="X193" i="1"/>
  <c r="G223" i="1"/>
  <c r="N228" i="1"/>
  <c r="K61" i="1"/>
  <c r="P200" i="1"/>
  <c r="AA206" i="1"/>
  <c r="M204" i="1"/>
  <c r="J211" i="1"/>
  <c r="U213" i="1"/>
  <c r="W200" i="1"/>
  <c r="O178" i="1"/>
  <c r="E203" i="1"/>
  <c r="H195" i="1"/>
  <c r="H182" i="1"/>
  <c r="U225" i="1"/>
  <c r="V195" i="1"/>
  <c r="N214" i="1"/>
  <c r="L48" i="1"/>
  <c r="W209" i="1"/>
  <c r="V192" i="1"/>
  <c r="F210" i="1"/>
  <c r="M205" i="1"/>
  <c r="N175" i="1"/>
  <c r="P194" i="1"/>
  <c r="K202" i="1"/>
  <c r="I53" i="1"/>
  <c r="V185" i="1"/>
  <c r="Q177" i="1"/>
  <c r="I60" i="1"/>
  <c r="L196" i="1"/>
  <c r="L49" i="1"/>
  <c r="E219" i="1"/>
  <c r="E209" i="1"/>
  <c r="F53" i="1"/>
  <c r="M198" i="1"/>
  <c r="F208" i="1"/>
  <c r="F50" i="1"/>
  <c r="P176" i="1"/>
  <c r="V177" i="1"/>
  <c r="L218" i="1"/>
  <c r="M224" i="1"/>
  <c r="X195" i="1"/>
  <c r="X210" i="1"/>
  <c r="F211" i="1"/>
  <c r="J207" i="1"/>
  <c r="W205" i="1"/>
  <c r="K191" i="1"/>
  <c r="J184" i="1"/>
  <c r="O218" i="1"/>
  <c r="M182" i="1"/>
  <c r="F199" i="1"/>
  <c r="L203" i="1"/>
  <c r="V219" i="1"/>
  <c r="M225" i="1"/>
  <c r="I204" i="1"/>
  <c r="E60" i="1"/>
  <c r="AA220" i="1"/>
  <c r="J53" i="1"/>
  <c r="O213" i="1"/>
  <c r="AA184" i="1"/>
  <c r="P221" i="1"/>
  <c r="H184" i="1"/>
  <c r="I184" i="1"/>
  <c r="N190" i="1"/>
  <c r="F216" i="1"/>
  <c r="X206" i="1"/>
  <c r="P193" i="1"/>
  <c r="F52" i="1"/>
  <c r="AA181" i="1"/>
  <c r="V194" i="1"/>
  <c r="W183" i="1"/>
  <c r="N221" i="1"/>
  <c r="E185" i="1"/>
  <c r="M210" i="1"/>
  <c r="Q229" i="1"/>
  <c r="Q218" i="1"/>
  <c r="N225" i="1"/>
  <c r="L52" i="1"/>
  <c r="W228" i="1"/>
  <c r="J204" i="1"/>
  <c r="O193" i="1"/>
  <c r="O179" i="1"/>
  <c r="W194" i="1"/>
  <c r="X219" i="1"/>
  <c r="AA176" i="1"/>
  <c r="E213" i="1"/>
  <c r="G208" i="1"/>
  <c r="V207" i="1"/>
  <c r="L191" i="1"/>
  <c r="H219" i="1"/>
  <c r="L54" i="1"/>
  <c r="Q222" i="1"/>
  <c r="I218" i="1"/>
  <c r="G221" i="1"/>
  <c r="H193" i="1"/>
  <c r="L60" i="1"/>
  <c r="O194" i="1"/>
  <c r="L188" i="1"/>
  <c r="P197" i="1"/>
  <c r="M184" i="1"/>
  <c r="X225" i="1"/>
  <c r="N196" i="1"/>
  <c r="N192" i="1"/>
  <c r="E199" i="1"/>
  <c r="F215" i="1"/>
  <c r="N184" i="1"/>
  <c r="L46" i="1"/>
  <c r="J205" i="1"/>
  <c r="W197" i="1"/>
  <c r="AA200" i="1"/>
  <c r="I210" i="1"/>
  <c r="U189" i="1"/>
  <c r="L215" i="1"/>
  <c r="P224" i="1"/>
  <c r="E58" i="1"/>
  <c r="O208" i="1"/>
  <c r="G225" i="1"/>
  <c r="L192" i="1"/>
  <c r="Q225" i="1"/>
  <c r="W187" i="1"/>
  <c r="L226" i="1"/>
  <c r="G190" i="1"/>
  <c r="U187" i="1"/>
  <c r="F194" i="1"/>
  <c r="K213" i="1"/>
  <c r="N219" i="1"/>
  <c r="L227" i="1"/>
  <c r="E54" i="1"/>
  <c r="AA202" i="1"/>
  <c r="O229" i="1"/>
  <c r="W206" i="1"/>
  <c r="E53" i="1"/>
  <c r="W218" i="1"/>
  <c r="O191" i="1"/>
  <c r="K201" i="1"/>
  <c r="E50" i="1"/>
  <c r="V189" i="1"/>
  <c r="P217" i="1"/>
  <c r="F226" i="1"/>
  <c r="P181" i="1"/>
  <c r="I58" i="1"/>
  <c r="G224" i="1"/>
  <c r="Q227" i="1"/>
  <c r="J222" i="1"/>
  <c r="P210" i="1"/>
  <c r="M199" i="1"/>
  <c r="M201" i="1"/>
  <c r="L44" i="1"/>
  <c r="V221" i="1"/>
  <c r="H220" i="1"/>
  <c r="U224" i="1"/>
  <c r="U186" i="1"/>
  <c r="L51" i="1"/>
  <c r="X178" i="1"/>
  <c r="U175" i="1"/>
  <c r="Q189" i="1"/>
  <c r="L208" i="1"/>
  <c r="U219" i="1"/>
  <c r="E201" i="1"/>
  <c r="W213" i="1"/>
  <c r="Q192" i="1"/>
  <c r="X202" i="1"/>
  <c r="O219" i="1"/>
  <c r="H226" i="1"/>
  <c r="N209" i="1"/>
  <c r="G192" i="1"/>
  <c r="F184" i="1"/>
  <c r="P208" i="1"/>
  <c r="F56" i="1"/>
  <c r="K229" i="1"/>
  <c r="H211" i="1"/>
  <c r="N188" i="1"/>
  <c r="M212" i="1"/>
  <c r="U202" i="1"/>
  <c r="W216" i="1"/>
  <c r="U199" i="1"/>
  <c r="AA194" i="1"/>
  <c r="F224" i="1"/>
  <c r="AA225" i="1"/>
  <c r="I208" i="1"/>
  <c r="J59" i="1"/>
  <c r="G207" i="1"/>
  <c r="J61" i="1"/>
  <c r="AA199" i="1"/>
  <c r="K207" i="1"/>
  <c r="L195" i="1"/>
  <c r="N200" i="1"/>
  <c r="I44" i="1"/>
  <c r="I199" i="1"/>
  <c r="P207" i="1"/>
  <c r="J182" i="1"/>
  <c r="V209" i="1"/>
  <c r="M216" i="1"/>
  <c r="X198" i="1"/>
  <c r="I61" i="1"/>
  <c r="E182" i="1"/>
  <c r="L182" i="1"/>
  <c r="N193" i="1"/>
  <c r="E208" i="1"/>
  <c r="K223" i="1"/>
  <c r="L57" i="1"/>
  <c r="J57" i="1"/>
  <c r="J197" i="1"/>
  <c r="V193" i="1"/>
  <c r="L50" i="1"/>
  <c r="X209" i="1"/>
  <c r="E227" i="1"/>
  <c r="Q202" i="1"/>
  <c r="AA217" i="1"/>
  <c r="E214" i="1"/>
  <c r="F228" i="1"/>
  <c r="V208" i="1"/>
  <c r="L198" i="1"/>
  <c r="E226" i="1"/>
  <c r="O180" i="1"/>
  <c r="N187" i="1"/>
  <c r="I228" i="1"/>
  <c r="F49" i="1"/>
  <c r="AA223" i="1"/>
  <c r="I226" i="1"/>
  <c r="X190" i="1"/>
  <c r="F44" i="1"/>
  <c r="X183" i="1"/>
  <c r="H186" i="1"/>
  <c r="P185" i="1"/>
  <c r="L217" i="1"/>
  <c r="X200" i="1"/>
  <c r="H189" i="1"/>
  <c r="I191" i="1"/>
  <c r="J50" i="1"/>
  <c r="G198" i="1"/>
  <c r="N223" i="1"/>
  <c r="J52" i="1"/>
  <c r="J47" i="1"/>
  <c r="G206" i="1"/>
  <c r="P178" i="1"/>
  <c r="L210" i="1"/>
  <c r="V198" i="1"/>
  <c r="J227" i="1"/>
  <c r="O184" i="1"/>
  <c r="K54" i="1"/>
  <c r="I52" i="1"/>
  <c r="F58" i="1"/>
  <c r="I202" i="1"/>
  <c r="U223" i="1"/>
  <c r="H206" i="1"/>
  <c r="O210" i="1"/>
  <c r="O182" i="1"/>
  <c r="E61" i="1"/>
  <c r="U211" i="1"/>
  <c r="U177" i="1"/>
  <c r="L211" i="1"/>
  <c r="AA226" i="1"/>
  <c r="O227" i="1"/>
  <c r="G226" i="1"/>
  <c r="O181" i="1"/>
  <c r="V229" i="1"/>
  <c r="AA216" i="1"/>
  <c r="M220" i="1"/>
  <c r="Q190" i="1"/>
  <c r="M189" i="1"/>
  <c r="O196" i="1"/>
  <c r="J223" i="1"/>
  <c r="AA175" i="1"/>
  <c r="Q194" i="1"/>
  <c r="V213" i="1"/>
  <c r="L213" i="1"/>
  <c r="M223" i="1"/>
  <c r="G47" i="1"/>
  <c r="W226" i="1"/>
  <c r="G60" i="1"/>
  <c r="F59" i="1"/>
  <c r="Q185" i="1"/>
  <c r="I219" i="1"/>
  <c r="M211" i="1"/>
  <c r="U222" i="1"/>
  <c r="U228" i="1"/>
  <c r="N177" i="1"/>
  <c r="W190" i="1"/>
  <c r="E183" i="1"/>
  <c r="I51" i="1"/>
  <c r="X175" i="1"/>
  <c r="U178" i="1"/>
  <c r="W202" i="1"/>
  <c r="O195" i="1"/>
  <c r="K49" i="1"/>
  <c r="G45" i="1"/>
  <c r="O225" i="1"/>
  <c r="V181" i="1"/>
  <c r="W210" i="1"/>
  <c r="L45" i="1"/>
  <c r="O190" i="1"/>
  <c r="L212" i="1"/>
  <c r="V202" i="1"/>
  <c r="L202" i="1"/>
  <c r="AA221" i="1"/>
  <c r="K187" i="1"/>
  <c r="J186" i="1"/>
  <c r="J194" i="1"/>
  <c r="Q217" i="1"/>
  <c r="P226" i="1"/>
  <c r="X215" i="1"/>
  <c r="K211" i="1"/>
  <c r="Q188" i="1"/>
  <c r="K47" i="1"/>
  <c r="G50" i="1"/>
  <c r="I206" i="1"/>
  <c r="K224" i="1"/>
  <c r="O201" i="1"/>
  <c r="N197" i="1"/>
  <c r="J55" i="1"/>
  <c r="G197" i="1"/>
  <c r="H201" i="1"/>
  <c r="U185" i="1"/>
  <c r="L216" i="1"/>
  <c r="I182" i="1"/>
  <c r="X220" i="1"/>
  <c r="M202" i="1"/>
  <c r="N189" i="1"/>
  <c r="U196" i="1"/>
  <c r="V199" i="1"/>
  <c r="J189" i="1"/>
  <c r="I50" i="1"/>
  <c r="U179" i="1"/>
  <c r="V222" i="1"/>
  <c r="O183" i="1"/>
  <c r="I209" i="1"/>
  <c r="G199" i="1"/>
  <c r="V220" i="1"/>
  <c r="V217" i="1"/>
  <c r="H191" i="1"/>
  <c r="AA218" i="1"/>
  <c r="N194" i="1"/>
  <c r="O228" i="1"/>
  <c r="O212" i="1"/>
  <c r="P192" i="1"/>
  <c r="V224" i="1"/>
  <c r="E56" i="1"/>
  <c r="U191" i="1"/>
  <c r="V228" i="1"/>
  <c r="N211" i="1"/>
  <c r="L199" i="1"/>
  <c r="AA212" i="1"/>
  <c r="U195" i="1"/>
  <c r="P189" i="1"/>
  <c r="L56" i="1"/>
  <c r="Q224" i="1"/>
  <c r="X197" i="1"/>
  <c r="F222" i="1"/>
  <c r="V186" i="1"/>
  <c r="J209" i="1"/>
  <c r="M193" i="1"/>
  <c r="X186" i="1"/>
  <c r="X216" i="1"/>
  <c r="AA189" i="1"/>
  <c r="J60" i="1"/>
  <c r="I201" i="1"/>
  <c r="X194" i="1"/>
  <c r="J48" i="1"/>
  <c r="L55" i="1"/>
  <c r="E223" i="1"/>
  <c r="J183" i="1"/>
  <c r="L219" i="1"/>
  <c r="AA214" i="1"/>
  <c r="J49" i="1"/>
  <c r="L183" i="1"/>
  <c r="M196" i="1"/>
  <c r="O177" i="1"/>
  <c r="I57" i="1"/>
  <c r="H213" i="1"/>
  <c r="K44" i="1"/>
  <c r="N222" i="1"/>
  <c r="AA210" i="1"/>
  <c r="E193" i="1"/>
  <c r="E55" i="1"/>
  <c r="W217" i="1"/>
  <c r="H194" i="1"/>
  <c r="P183" i="1"/>
  <c r="E222" i="1"/>
  <c r="U227" i="1"/>
  <c r="L207" i="1"/>
  <c r="I183" i="1"/>
  <c r="P215" i="1"/>
  <c r="K58" i="1"/>
  <c r="H217" i="1"/>
  <c r="AA213" i="1"/>
  <c r="K217" i="1"/>
  <c r="G188" i="1"/>
  <c r="L61" i="1"/>
  <c r="AA228" i="1"/>
  <c r="G205" i="1"/>
  <c r="V175" i="1"/>
  <c r="M179" i="1"/>
  <c r="AA179" i="1"/>
  <c r="P203" i="1"/>
  <c r="H229" i="1"/>
  <c r="J221" i="1"/>
  <c r="I190" i="1"/>
  <c r="E215" i="1"/>
  <c r="K57" i="1"/>
  <c r="G53" i="1"/>
  <c r="L220" i="1"/>
  <c r="AA204" i="1"/>
  <c r="I216" i="1"/>
  <c r="W221" i="1"/>
  <c r="J202" i="1"/>
  <c r="M222" i="1"/>
  <c r="E224" i="1"/>
  <c r="X227" i="1"/>
  <c r="H224" i="1"/>
  <c r="X204" i="1"/>
  <c r="H212" i="1"/>
  <c r="F220" i="1"/>
  <c r="Q216" i="1"/>
  <c r="N213" i="1"/>
  <c r="M176" i="1"/>
  <c r="I214" i="1"/>
  <c r="K205" i="1"/>
  <c r="G55" i="1"/>
  <c r="O216" i="1"/>
  <c r="K219" i="1"/>
  <c r="F225" i="1"/>
  <c r="W227" i="1"/>
  <c r="W220" i="1"/>
  <c r="P225" i="1"/>
  <c r="F200" i="1"/>
  <c r="K200" i="1"/>
  <c r="F198" i="1"/>
  <c r="U204" i="1"/>
  <c r="K216" i="1"/>
  <c r="G52" i="1"/>
  <c r="K194" i="1"/>
  <c r="Q186" i="1"/>
  <c r="I55" i="1"/>
  <c r="I211" i="1"/>
  <c r="M181" i="1"/>
  <c r="Q195" i="1"/>
  <c r="W229" i="1"/>
  <c r="J208" i="1"/>
  <c r="Q181" i="1"/>
  <c r="AA190" i="1"/>
  <c r="X211" i="1"/>
  <c r="K51" i="1"/>
  <c r="Q200" i="1"/>
  <c r="K182" i="1"/>
  <c r="V180" i="1"/>
  <c r="G200" i="1"/>
  <c r="AA177" i="1"/>
  <c r="N183" i="1"/>
  <c r="M214" i="1"/>
  <c r="N216" i="1"/>
  <c r="L205" i="1"/>
  <c r="H52" i="1"/>
  <c r="N201" i="1"/>
  <c r="L193" i="1"/>
  <c r="J190" i="1"/>
  <c r="K186" i="1"/>
  <c r="I203" i="1"/>
  <c r="G213" i="1"/>
  <c r="V204" i="1"/>
  <c r="Q220" i="1"/>
  <c r="V196" i="1"/>
  <c r="O203" i="1"/>
  <c r="M177" i="1"/>
  <c r="M226" i="1"/>
  <c r="W214" i="1"/>
  <c r="H58" i="1"/>
  <c r="V227" i="1"/>
  <c r="J192" i="1"/>
  <c r="N220" i="1"/>
  <c r="P177" i="1"/>
  <c r="W203" i="1"/>
  <c r="AA195" i="1"/>
  <c r="W207" i="1"/>
  <c r="E52" i="1"/>
  <c r="K199" i="1"/>
  <c r="V205" i="1"/>
  <c r="X177" i="1"/>
  <c r="J220" i="1"/>
  <c r="P209" i="1"/>
  <c r="O199" i="1"/>
  <c r="P184" i="1"/>
  <c r="M221" i="1"/>
  <c r="N226" i="1"/>
  <c r="X189" i="1"/>
  <c r="W179" i="1"/>
  <c r="K52" i="1"/>
  <c r="P199" i="1"/>
  <c r="E228" i="1"/>
  <c r="W223" i="1"/>
  <c r="J58" i="1"/>
  <c r="K50" i="1"/>
  <c r="X221" i="1"/>
  <c r="L189" i="1"/>
  <c r="V179" i="1"/>
  <c r="F209" i="1"/>
  <c r="M217" i="1"/>
  <c r="F51" i="1"/>
  <c r="F191" i="1"/>
  <c r="K192" i="1"/>
  <c r="V201" i="1"/>
  <c r="L206" i="1"/>
  <c r="F229" i="1"/>
  <c r="Q204" i="1"/>
  <c r="N207" i="1"/>
  <c r="K45" i="1"/>
  <c r="H227" i="1"/>
  <c r="E210" i="1"/>
  <c r="E211" i="1"/>
  <c r="Q215" i="1"/>
  <c r="V218" i="1"/>
  <c r="H56" i="1"/>
  <c r="G56" i="1"/>
  <c r="W186" i="1"/>
  <c r="J206" i="1"/>
  <c r="H199" i="1"/>
  <c r="Q209" i="1"/>
  <c r="L223" i="1"/>
  <c r="H205" i="1"/>
  <c r="F217" i="1"/>
  <c r="J46" i="1"/>
  <c r="K56" i="1"/>
  <c r="Q183" i="1"/>
  <c r="E192" i="1"/>
  <c r="G229" i="1"/>
  <c r="N205" i="1"/>
  <c r="L222" i="1"/>
  <c r="I223" i="1"/>
  <c r="J224" i="1"/>
  <c r="O211" i="1"/>
  <c r="H183" i="1"/>
  <c r="O200" i="1"/>
  <c r="G209" i="1"/>
  <c r="M186" i="1"/>
  <c r="G187" i="1"/>
  <c r="X224" i="1"/>
  <c r="AA197" i="1"/>
  <c r="G227" i="1"/>
  <c r="Q198" i="1"/>
  <c r="J185" i="1"/>
  <c r="H218" i="1"/>
  <c r="X191" i="1"/>
  <c r="E204" i="1"/>
  <c r="P222" i="1"/>
  <c r="H209" i="1"/>
  <c r="E57" i="1"/>
  <c r="W178" i="1"/>
  <c r="X218" i="1"/>
  <c r="O226" i="1"/>
  <c r="P182" i="1"/>
  <c r="X180" i="1"/>
  <c r="U229" i="1"/>
  <c r="O207" i="1"/>
  <c r="F197" i="1"/>
  <c r="G216" i="1"/>
  <c r="H196" i="1"/>
  <c r="H225" i="1"/>
  <c r="J218" i="1"/>
  <c r="K196" i="1"/>
  <c r="K184" i="1"/>
  <c r="J44" i="1"/>
  <c r="G202" i="1"/>
  <c r="L184" i="1"/>
  <c r="AA196" i="1"/>
  <c r="O223" i="1"/>
  <c r="H47" i="1"/>
  <c r="W193" i="1"/>
  <c r="I47" i="1"/>
  <c r="P218" i="1"/>
  <c r="W185" i="1"/>
  <c r="H55" i="1"/>
  <c r="V190" i="1"/>
  <c r="W196" i="1"/>
  <c r="U184" i="1"/>
  <c r="I187" i="1"/>
  <c r="P180" i="1"/>
  <c r="J225" i="1"/>
  <c r="F204" i="1"/>
  <c r="O222" i="1"/>
  <c r="M183" i="1"/>
  <c r="J187" i="1"/>
  <c r="L201" i="1"/>
  <c r="W192" i="1"/>
  <c r="O209" i="1"/>
  <c r="K226" i="1"/>
  <c r="I221" i="1"/>
  <c r="W215" i="1"/>
  <c r="Q208" i="1"/>
  <c r="V214" i="1"/>
  <c r="F186" i="1"/>
  <c r="E59" i="1"/>
  <c r="V191" i="1"/>
  <c r="J199" i="1"/>
  <c r="P195" i="1"/>
  <c r="U176" i="1"/>
  <c r="P216" i="1"/>
  <c r="N208" i="1"/>
  <c r="U193" i="1"/>
  <c r="E197" i="1"/>
  <c r="L186" i="1"/>
  <c r="N191" i="1"/>
  <c r="E225" i="1"/>
  <c r="J196" i="1"/>
  <c r="M213" i="1"/>
  <c r="M207" i="1"/>
  <c r="W201" i="1"/>
  <c r="AA192" i="1"/>
  <c r="K215" i="1"/>
  <c r="L209" i="1"/>
  <c r="F195" i="1"/>
  <c r="Q210" i="1"/>
  <c r="K209" i="1"/>
  <c r="J191" i="1"/>
  <c r="G204" i="1"/>
  <c r="M191" i="1"/>
  <c r="V212" i="1"/>
  <c r="W188" i="1"/>
  <c r="E195" i="1"/>
  <c r="E206" i="1"/>
  <c r="X228" i="1"/>
  <c r="K198" i="1"/>
  <c r="Q178" i="1"/>
  <c r="H207" i="1"/>
  <c r="I213" i="1"/>
  <c r="I185" i="1"/>
  <c r="E229" i="1"/>
  <c r="AA222" i="1"/>
  <c r="I193" i="1"/>
  <c r="Q199" i="1"/>
  <c r="AA211" i="1"/>
  <c r="F185" i="1"/>
  <c r="X203" i="1"/>
  <c r="E51" i="1"/>
  <c r="F47" i="1"/>
  <c r="K59" i="1"/>
  <c r="N179" i="1"/>
  <c r="AA205" i="1"/>
  <c r="G194" i="1"/>
  <c r="W212" i="1"/>
  <c r="Q176" i="1"/>
  <c r="V211" i="1"/>
  <c r="Q207" i="1"/>
  <c r="M209" i="1"/>
  <c r="W195" i="1"/>
  <c r="L228" i="1"/>
  <c r="Q191" i="1"/>
  <c r="L224" i="1"/>
  <c r="K189" i="1"/>
  <c r="Q182" i="1"/>
  <c r="G201" i="1"/>
  <c r="F55" i="1"/>
  <c r="AA227" i="1"/>
  <c r="P204" i="1"/>
  <c r="AA229" i="1"/>
  <c r="X188" i="1"/>
  <c r="K204" i="1"/>
  <c r="H200" i="1"/>
  <c r="H187" i="1"/>
  <c r="O215" i="1"/>
  <c r="L59" i="1"/>
  <c r="N198" i="1"/>
  <c r="AA191" i="1"/>
  <c r="N212" i="1"/>
  <c r="E218" i="1"/>
  <c r="U194" i="1"/>
  <c r="Q214" i="1"/>
  <c r="I59" i="1"/>
  <c r="M197" i="1"/>
  <c r="K183" i="1"/>
  <c r="U215" i="1"/>
  <c r="F221" i="1"/>
  <c r="K46" i="1"/>
  <c r="U214" i="1"/>
  <c r="P179" i="1"/>
  <c r="W176" i="1"/>
  <c r="O189" i="1"/>
  <c r="U201" i="1"/>
  <c r="F192" i="1"/>
  <c r="G183" i="1"/>
  <c r="P214" i="1"/>
  <c r="H60" i="1"/>
  <c r="P186" i="1"/>
  <c r="X179" i="1"/>
  <c r="H198" i="1"/>
  <c r="M175" i="1"/>
  <c r="G228" i="1"/>
  <c r="G46" i="1"/>
  <c r="J45" i="1"/>
  <c r="AA188" i="1"/>
  <c r="N182" i="1"/>
  <c r="X214" i="1"/>
  <c r="G222" i="1"/>
  <c r="F187" i="1"/>
  <c r="U188" i="1"/>
  <c r="E191" i="1"/>
  <c r="F201" i="1"/>
  <c r="U203" i="1"/>
  <c r="F207" i="1"/>
  <c r="G54" i="1"/>
  <c r="O224" i="1"/>
  <c r="P191" i="1"/>
  <c r="AA180" i="1"/>
  <c r="E220" i="1"/>
  <c r="G48" i="1"/>
  <c r="G193" i="1"/>
  <c r="X226" i="1"/>
  <c r="W198" i="1"/>
  <c r="U205" i="1"/>
  <c r="AA203" i="1"/>
  <c r="P229" i="1"/>
  <c r="I224" i="1"/>
  <c r="Q205" i="1"/>
  <c r="V188" i="1"/>
  <c r="W222" i="1"/>
  <c r="M180" i="1"/>
  <c r="M187" i="1"/>
  <c r="E47" i="1"/>
  <c r="I198" i="1"/>
  <c r="J212" i="1"/>
  <c r="I207" i="1"/>
  <c r="H45" i="1"/>
  <c r="J210" i="1"/>
  <c r="J198" i="1"/>
  <c r="N195" i="1"/>
  <c r="H214" i="1"/>
  <c r="K190" i="1"/>
  <c r="Q201" i="1"/>
  <c r="N181" i="1"/>
  <c r="V187" i="1"/>
  <c r="I188" i="1"/>
  <c r="U207" i="1"/>
  <c r="M190" i="1"/>
  <c r="P206" i="1"/>
  <c r="I48" i="1"/>
  <c r="K210" i="1"/>
  <c r="I225" i="1"/>
  <c r="H221" i="1"/>
  <c r="P227" i="1"/>
  <c r="K193" i="1"/>
  <c r="AA187" i="1"/>
  <c r="F223" i="1"/>
  <c r="H54" i="1"/>
  <c r="O217" i="1"/>
  <c r="U220" i="1"/>
  <c r="G218" i="1"/>
  <c r="Q180" i="1"/>
  <c r="J203" i="1"/>
  <c r="I186" i="1"/>
  <c r="AA215" i="1"/>
  <c r="K208" i="1"/>
  <c r="H203" i="1"/>
  <c r="K225" i="1"/>
  <c r="G57" i="1"/>
  <c r="M195" i="1"/>
  <c r="E196" i="1"/>
  <c r="E188" i="1"/>
  <c r="H51" i="1"/>
  <c r="U226" i="1"/>
  <c r="U181" i="1"/>
  <c r="P187" i="1"/>
  <c r="G195" i="1"/>
  <c r="X184" i="1"/>
  <c r="N204" i="1"/>
  <c r="X182" i="1"/>
  <c r="K48" i="1"/>
  <c r="Q203" i="1"/>
  <c r="W189" i="1"/>
  <c r="U206" i="1"/>
  <c r="E216" i="1"/>
  <c r="Q197" i="1"/>
  <c r="L229" i="1"/>
  <c r="V215" i="1"/>
  <c r="U212" i="1"/>
  <c r="AA201" i="1"/>
  <c r="J201" i="1"/>
  <c r="K221" i="1"/>
  <c r="G58" i="1"/>
  <c r="V182" i="1"/>
  <c r="AE191" i="1" l="1"/>
  <c r="AE59" i="1"/>
  <c r="AE187" i="1"/>
  <c r="AE49" i="1"/>
  <c r="AE183" i="1"/>
  <c r="AE188" i="1"/>
  <c r="AE225" i="1"/>
  <c r="AE214" i="1"/>
  <c r="AE45" i="1"/>
  <c r="AE228" i="1"/>
  <c r="AE209" i="1"/>
  <c r="AE229" i="1"/>
  <c r="AE184" i="1"/>
  <c r="AE208" i="1"/>
  <c r="AE219" i="1"/>
  <c r="AE192" i="1"/>
  <c r="AE52" i="1"/>
  <c r="AE56" i="1"/>
  <c r="AE57" i="1"/>
  <c r="AE224" i="1"/>
  <c r="AE48" i="1"/>
  <c r="AE197" i="1"/>
  <c r="AE61" i="1"/>
  <c r="AE207" i="1"/>
  <c r="AE226" i="1"/>
  <c r="AE212" i="1"/>
  <c r="AE193" i="1"/>
  <c r="AE182" i="1"/>
  <c r="AE218" i="1"/>
  <c r="AE60" i="1"/>
  <c r="AE46" i="1"/>
  <c r="AE53" i="1"/>
  <c r="AE58" i="1"/>
  <c r="AE54" i="1"/>
  <c r="AE227" i="1"/>
  <c r="AE220" i="1"/>
  <c r="AE194" i="1"/>
  <c r="AE44" i="1"/>
  <c r="AE195" i="1"/>
  <c r="AE189" i="1"/>
  <c r="AE223" i="1"/>
  <c r="AE199" i="1"/>
  <c r="AE213" i="1"/>
  <c r="AE196" i="1"/>
  <c r="AE216" i="1"/>
  <c r="AE186" i="1"/>
  <c r="AE50" i="1"/>
  <c r="AE205" i="1"/>
  <c r="AE204" i="1"/>
  <c r="AE190" i="1"/>
  <c r="AE210" i="1"/>
  <c r="AE51" i="1"/>
  <c r="AE221" i="1"/>
  <c r="AE200" i="1"/>
  <c r="AE222" i="1"/>
  <c r="AE211" i="1"/>
  <c r="AE206" i="1"/>
  <c r="AE217" i="1"/>
  <c r="AE47" i="1"/>
  <c r="AE55" i="1"/>
  <c r="AE201" i="1"/>
  <c r="AE215" i="1"/>
  <c r="AE198" i="1"/>
  <c r="AE185" i="1"/>
  <c r="AE202" i="1"/>
  <c r="AE203" i="1"/>
  <c r="C38" i="1"/>
  <c r="AD224" i="1"/>
  <c r="AD204" i="1"/>
  <c r="AD178" i="1"/>
  <c r="AD213" i="1"/>
  <c r="AD226" i="1"/>
  <c r="AD187" i="1"/>
  <c r="AD216" i="1"/>
  <c r="AD193" i="1"/>
  <c r="AD188" i="1"/>
  <c r="AD223" i="1"/>
  <c r="AD198" i="1"/>
  <c r="AD222" i="1"/>
  <c r="AD181" i="1"/>
  <c r="AD176" i="1"/>
  <c r="AD215" i="1"/>
  <c r="AD185" i="1"/>
  <c r="AD228" i="1"/>
  <c r="AD217" i="1"/>
  <c r="AD195" i="1"/>
  <c r="AD202" i="1"/>
  <c r="AD183" i="1"/>
  <c r="AD206" i="1"/>
  <c r="AD186" i="1"/>
  <c r="AD210" i="1"/>
  <c r="AD205" i="1"/>
  <c r="AD208" i="1"/>
  <c r="AD197" i="1"/>
  <c r="AD191" i="1"/>
  <c r="AD190" i="1"/>
  <c r="AD200" i="1"/>
  <c r="AD220" i="1"/>
  <c r="AD182" i="1"/>
  <c r="AD211" i="1"/>
  <c r="AD180" i="1"/>
  <c r="AD218" i="1"/>
  <c r="AD219" i="1"/>
  <c r="AD175" i="1"/>
  <c r="AD207" i="1"/>
  <c r="AD203" i="1"/>
  <c r="AD189" i="1"/>
  <c r="AD212" i="1"/>
  <c r="AD214" i="1"/>
  <c r="AD192" i="1"/>
  <c r="AD177" i="1"/>
  <c r="AD227" i="1"/>
  <c r="AD201" i="1"/>
  <c r="AD184" i="1"/>
  <c r="AD221" i="1"/>
  <c r="AD196" i="1"/>
  <c r="AD225" i="1"/>
  <c r="AD199" i="1"/>
  <c r="AD179" i="1"/>
  <c r="AD209" i="1"/>
  <c r="AD229" i="1"/>
  <c r="AD194" i="1"/>
  <c r="Y203" i="1"/>
  <c r="Y226" i="1"/>
  <c r="Y219" i="1"/>
  <c r="Y181" i="1"/>
  <c r="AC191" i="1"/>
  <c r="Y176" i="1"/>
  <c r="Y184" i="1"/>
  <c r="AC194" i="1"/>
  <c r="Y197" i="1"/>
  <c r="AC203" i="1"/>
  <c r="AC186" i="1"/>
  <c r="Y206" i="1"/>
  <c r="AC229" i="1"/>
  <c r="Y227" i="1"/>
  <c r="Y220" i="1"/>
  <c r="AC207" i="1"/>
  <c r="Y199" i="1"/>
  <c r="Y187" i="1"/>
  <c r="AC223" i="1"/>
  <c r="AC206" i="1"/>
  <c r="AC188" i="1"/>
  <c r="Y201" i="1"/>
  <c r="AC217" i="1"/>
  <c r="Y211" i="1"/>
  <c r="Y194" i="1"/>
  <c r="AC226" i="1"/>
  <c r="Y215" i="1"/>
  <c r="AC202" i="1"/>
  <c r="Y209" i="1"/>
  <c r="AC212" i="1"/>
  <c r="AC204" i="1"/>
  <c r="Y200" i="1"/>
  <c r="Y193" i="1"/>
  <c r="Y196" i="1"/>
  <c r="AC200" i="1"/>
  <c r="Y192" i="1"/>
  <c r="Y180" i="1"/>
  <c r="AC216" i="1"/>
  <c r="AC214" i="1"/>
  <c r="Y208" i="1"/>
  <c r="AC187" i="1"/>
  <c r="AC215" i="1"/>
  <c r="AC225" i="1"/>
  <c r="Y228" i="1"/>
  <c r="Y221" i="1"/>
  <c r="Y224" i="1"/>
  <c r="Y217" i="1"/>
  <c r="AC193" i="1"/>
  <c r="AC178" i="1"/>
  <c r="Y179" i="1"/>
  <c r="AC185" i="1"/>
  <c r="AC195" i="1"/>
  <c r="AC208" i="1"/>
  <c r="Y202" i="1"/>
  <c r="Y204" i="1"/>
  <c r="AC190" i="1"/>
  <c r="AC213" i="1"/>
  <c r="AC177" i="1"/>
  <c r="AC220" i="1"/>
  <c r="Y182" i="1"/>
  <c r="Y210" i="1"/>
  <c r="Y177" i="1"/>
  <c r="AC224" i="1"/>
  <c r="Y198" i="1"/>
  <c r="Y207" i="1"/>
  <c r="AC221" i="1"/>
  <c r="Y178" i="1"/>
  <c r="AC181" i="1"/>
  <c r="Y225" i="1"/>
  <c r="Y218" i="1"/>
  <c r="AC189" i="1"/>
  <c r="AC180" i="1"/>
  <c r="Y212" i="1"/>
  <c r="AC198" i="1"/>
  <c r="AC175" i="1"/>
  <c r="Y185" i="1"/>
  <c r="AC176" i="1"/>
  <c r="AC222" i="1"/>
  <c r="AC228" i="1"/>
  <c r="Y191" i="1"/>
  <c r="AC205" i="1"/>
  <c r="AC201" i="1"/>
  <c r="Y205" i="1"/>
  <c r="AC211" i="1"/>
  <c r="AC199" i="1"/>
  <c r="Y229" i="1"/>
  <c r="Y222" i="1"/>
  <c r="AC227" i="1"/>
  <c r="Y186" i="1"/>
  <c r="AC182" i="1"/>
  <c r="AC197" i="1"/>
  <c r="Y183" i="1"/>
  <c r="Y188" i="1"/>
  <c r="AC219" i="1"/>
  <c r="AC209" i="1"/>
  <c r="Y195" i="1"/>
  <c r="AC183" i="1"/>
  <c r="AC218" i="1"/>
  <c r="Y189" i="1"/>
  <c r="Y190" i="1"/>
  <c r="Y216" i="1"/>
  <c r="Y213" i="1"/>
  <c r="Y223" i="1"/>
  <c r="AC196" i="1"/>
  <c r="AC179" i="1"/>
  <c r="AC192" i="1"/>
  <c r="AC184" i="1"/>
  <c r="AC210" i="1"/>
  <c r="Y214" i="1"/>
  <c r="T39" i="1"/>
  <c r="L42" i="94"/>
  <c r="BP42" i="94"/>
  <c r="AO42" i="94"/>
  <c r="EZ42" i="94"/>
  <c r="EY45" i="94"/>
  <c r="EY46" i="94"/>
  <c r="T86" i="1"/>
  <c r="T87" i="1"/>
  <c r="T88" i="1"/>
  <c r="T46" i="1"/>
  <c r="T45" i="1"/>
  <c r="I46" i="1"/>
  <c r="I49" i="1"/>
  <c r="M42" i="94" l="1"/>
  <c r="EZ45" i="94"/>
  <c r="FA42" i="94"/>
  <c r="EZ46" i="94"/>
  <c r="BQ42" i="94"/>
  <c r="AP42" i="94"/>
  <c r="T83" i="1"/>
  <c r="T94" i="1"/>
  <c r="T93" i="1"/>
  <c r="T92" i="1"/>
  <c r="T38" i="1"/>
  <c r="Y32" i="1" s="1"/>
  <c r="N42" i="94" l="1"/>
  <c r="BR42" i="94"/>
  <c r="AQ42" i="94"/>
  <c r="FA46" i="94"/>
  <c r="FB42" i="94"/>
  <c r="FA45" i="94"/>
  <c r="T42" i="1"/>
  <c r="T89" i="1"/>
  <c r="W33" i="1"/>
  <c r="X33" i="1"/>
  <c r="O42" i="94" l="1"/>
  <c r="AR42" i="94"/>
  <c r="FB46" i="94"/>
  <c r="FC42" i="94"/>
  <c r="FB45" i="94"/>
  <c r="BS42" i="94"/>
  <c r="T95" i="1"/>
  <c r="T43" i="1"/>
  <c r="T48" i="1"/>
  <c r="P42" i="94" l="1"/>
  <c r="FD42" i="94"/>
  <c r="FC46" i="94"/>
  <c r="FC45" i="94"/>
  <c r="AS42" i="94"/>
  <c r="BT42" i="94"/>
  <c r="T84" i="1"/>
  <c r="T49" i="1"/>
  <c r="Q42" i="94" l="1"/>
  <c r="FD46" i="94"/>
  <c r="FD45" i="94"/>
  <c r="FE42" i="94"/>
  <c r="BU42" i="94"/>
  <c r="AT42" i="94"/>
  <c r="S164" i="1"/>
  <c r="S168" i="1"/>
  <c r="S172" i="1"/>
  <c r="S167" i="1"/>
  <c r="S171" i="1"/>
  <c r="S166" i="1"/>
  <c r="S165" i="1"/>
  <c r="S173" i="1"/>
  <c r="S174" i="1"/>
  <c r="S169" i="1"/>
  <c r="S170" i="1"/>
  <c r="T79" i="1"/>
  <c r="S116" i="1"/>
  <c r="S132" i="1"/>
  <c r="S141" i="1"/>
  <c r="S130" i="1"/>
  <c r="S97" i="1"/>
  <c r="S158" i="1"/>
  <c r="S126" i="1"/>
  <c r="S131" i="1"/>
  <c r="S81" i="1"/>
  <c r="S86" i="1"/>
  <c r="S82" i="1"/>
  <c r="S103" i="1"/>
  <c r="S80" i="1"/>
  <c r="S105" i="1"/>
  <c r="S123" i="1"/>
  <c r="S90" i="1"/>
  <c r="S100" i="1"/>
  <c r="S146" i="1"/>
  <c r="S120" i="1"/>
  <c r="S136" i="1"/>
  <c r="S128" i="1"/>
  <c r="S111" i="1"/>
  <c r="S79" i="1"/>
  <c r="S153" i="1"/>
  <c r="S121" i="1"/>
  <c r="S88" i="1"/>
  <c r="S91" i="1"/>
  <c r="S142" i="1"/>
  <c r="S133" i="1"/>
  <c r="S113" i="1"/>
  <c r="S85" i="1"/>
  <c r="S148" i="1"/>
  <c r="S109" i="1"/>
  <c r="S102" i="1"/>
  <c r="S160" i="1"/>
  <c r="S119" i="1"/>
  <c r="S107" i="1"/>
  <c r="S137" i="1"/>
  <c r="S138" i="1"/>
  <c r="S95" i="1"/>
  <c r="S101" i="1"/>
  <c r="S87" i="1"/>
  <c r="S143" i="1"/>
  <c r="S125" i="1"/>
  <c r="S99" i="1"/>
  <c r="S96" i="1"/>
  <c r="S144" i="1"/>
  <c r="S92" i="1"/>
  <c r="S117" i="1"/>
  <c r="S106" i="1"/>
  <c r="S140" i="1"/>
  <c r="S135" i="1"/>
  <c r="S115" i="1"/>
  <c r="S157" i="1"/>
  <c r="S112" i="1"/>
  <c r="S127" i="1"/>
  <c r="S154" i="1"/>
  <c r="S161" i="1"/>
  <c r="S152" i="1"/>
  <c r="S151" i="1"/>
  <c r="S163" i="1"/>
  <c r="S124" i="1"/>
  <c r="S83" i="1"/>
  <c r="S122" i="1"/>
  <c r="S98" i="1"/>
  <c r="S145" i="1"/>
  <c r="S89" i="1"/>
  <c r="S134" i="1"/>
  <c r="S155" i="1"/>
  <c r="S147" i="1"/>
  <c r="S93" i="1"/>
  <c r="S110" i="1"/>
  <c r="S139" i="1"/>
  <c r="S84" i="1"/>
  <c r="S114" i="1"/>
  <c r="S104" i="1"/>
  <c r="S108" i="1"/>
  <c r="S150" i="1"/>
  <c r="S129" i="1"/>
  <c r="S156" i="1"/>
  <c r="S162" i="1"/>
  <c r="S118" i="1"/>
  <c r="S149" i="1"/>
  <c r="S94" i="1"/>
  <c r="S159" i="1"/>
  <c r="T90" i="1"/>
  <c r="X65" i="1"/>
  <c r="U73" i="1"/>
  <c r="V93" i="1"/>
  <c r="W66" i="1"/>
  <c r="X45" i="1"/>
  <c r="X101" i="1"/>
  <c r="V61" i="1"/>
  <c r="X75" i="1"/>
  <c r="AA63" i="1"/>
  <c r="AA99" i="1"/>
  <c r="W41" i="1"/>
  <c r="X59" i="1"/>
  <c r="AA71" i="1"/>
  <c r="X53" i="1"/>
  <c r="U49" i="1"/>
  <c r="W92" i="1"/>
  <c r="W69" i="1"/>
  <c r="AA44" i="1"/>
  <c r="X48" i="1"/>
  <c r="X46" i="1"/>
  <c r="V62" i="1"/>
  <c r="W50" i="1"/>
  <c r="W95" i="1"/>
  <c r="U48" i="1"/>
  <c r="X44" i="1"/>
  <c r="W89" i="1"/>
  <c r="U56" i="1"/>
  <c r="V88" i="1"/>
  <c r="W62" i="1"/>
  <c r="AA78" i="1"/>
  <c r="W80" i="1"/>
  <c r="U93" i="1"/>
  <c r="W93" i="1"/>
  <c r="V73" i="1"/>
  <c r="AA67" i="1"/>
  <c r="X73" i="1"/>
  <c r="U78" i="1"/>
  <c r="V59" i="1"/>
  <c r="AA95" i="1"/>
  <c r="W64" i="1"/>
  <c r="U70" i="1"/>
  <c r="U87" i="1"/>
  <c r="AA62" i="1"/>
  <c r="X64" i="1"/>
  <c r="U68" i="1"/>
  <c r="AA69" i="1"/>
  <c r="U94" i="1"/>
  <c r="W94" i="1"/>
  <c r="W55" i="1"/>
  <c r="V92" i="1"/>
  <c r="V90" i="1"/>
  <c r="X57" i="1"/>
  <c r="W45" i="1"/>
  <c r="V101" i="1"/>
  <c r="X66" i="1"/>
  <c r="U69" i="1"/>
  <c r="X55" i="1"/>
  <c r="W63" i="1"/>
  <c r="V70" i="1"/>
  <c r="V60" i="1"/>
  <c r="X78" i="1"/>
  <c r="W74" i="1"/>
  <c r="AA45" i="1"/>
  <c r="AA100" i="1"/>
  <c r="X51" i="1"/>
  <c r="W88" i="1"/>
  <c r="V94" i="1"/>
  <c r="V54" i="1"/>
  <c r="U47" i="1"/>
  <c r="V99" i="1"/>
  <c r="X71" i="1"/>
  <c r="X87" i="1"/>
  <c r="W101" i="1"/>
  <c r="AA98" i="1"/>
  <c r="AA66" i="1"/>
  <c r="U96" i="1"/>
  <c r="AA64" i="1"/>
  <c r="W60" i="1"/>
  <c r="W59" i="1"/>
  <c r="AA65" i="1"/>
  <c r="U89" i="1"/>
  <c r="AA56" i="1"/>
  <c r="U64" i="1"/>
  <c r="U53" i="1"/>
  <c r="V64" i="1"/>
  <c r="W46" i="1"/>
  <c r="X80" i="1"/>
  <c r="AA96" i="1"/>
  <c r="X72" i="1"/>
  <c r="AA101" i="1"/>
  <c r="V66" i="1"/>
  <c r="X99" i="1"/>
  <c r="V48" i="1"/>
  <c r="U44" i="1"/>
  <c r="AA68" i="1"/>
  <c r="W73" i="1"/>
  <c r="X95" i="1"/>
  <c r="U72" i="1"/>
  <c r="W98" i="1"/>
  <c r="X69" i="1"/>
  <c r="U62" i="1"/>
  <c r="X50" i="1"/>
  <c r="AA88" i="1"/>
  <c r="X94" i="1"/>
  <c r="W53" i="1"/>
  <c r="AA72" i="1"/>
  <c r="W48" i="1"/>
  <c r="X96" i="1"/>
  <c r="X81" i="1"/>
  <c r="U63" i="1"/>
  <c r="AA79" i="1"/>
  <c r="U54" i="1"/>
  <c r="X76" i="1"/>
  <c r="V79" i="1"/>
  <c r="W47" i="1"/>
  <c r="V57" i="1"/>
  <c r="X77" i="1"/>
  <c r="W70" i="1"/>
  <c r="X54" i="1"/>
  <c r="AA53" i="1"/>
  <c r="V53" i="1"/>
  <c r="AA87" i="1"/>
  <c r="V77" i="1"/>
  <c r="AA51" i="1"/>
  <c r="V56" i="1"/>
  <c r="X100" i="1"/>
  <c r="AA47" i="1"/>
  <c r="V47" i="1"/>
  <c r="X89" i="1"/>
  <c r="W76" i="1"/>
  <c r="AA94" i="1"/>
  <c r="W72" i="1"/>
  <c r="W81" i="1"/>
  <c r="W57" i="1"/>
  <c r="X58" i="1"/>
  <c r="U77" i="1"/>
  <c r="V63" i="1"/>
  <c r="W52" i="1"/>
  <c r="W61" i="1"/>
  <c r="V44" i="1"/>
  <c r="W71" i="1"/>
  <c r="AA55" i="1"/>
  <c r="U61" i="1"/>
  <c r="V75" i="1"/>
  <c r="U58" i="1"/>
  <c r="U90" i="1"/>
  <c r="AA74" i="1"/>
  <c r="X63" i="1"/>
  <c r="AA57" i="1"/>
  <c r="W58" i="1"/>
  <c r="U92" i="1"/>
  <c r="X41" i="1"/>
  <c r="AA73" i="1"/>
  <c r="U99" i="1"/>
  <c r="X56" i="1"/>
  <c r="U65" i="1"/>
  <c r="W96" i="1"/>
  <c r="X47" i="1"/>
  <c r="AA93" i="1"/>
  <c r="AA49" i="1"/>
  <c r="V86" i="1"/>
  <c r="W51" i="1"/>
  <c r="U86" i="1"/>
  <c r="W100" i="1"/>
  <c r="U66" i="1"/>
  <c r="V68" i="1"/>
  <c r="U57" i="1"/>
  <c r="V67" i="1"/>
  <c r="W44" i="1"/>
  <c r="W68" i="1"/>
  <c r="U101" i="1"/>
  <c r="X49" i="1"/>
  <c r="U75" i="1"/>
  <c r="W43" i="1"/>
  <c r="U60" i="1"/>
  <c r="W49" i="1"/>
  <c r="V49" i="1"/>
  <c r="U74" i="1"/>
  <c r="AA61" i="1"/>
  <c r="V89" i="1"/>
  <c r="AA58" i="1"/>
  <c r="X93" i="1"/>
  <c r="V96" i="1"/>
  <c r="AA90" i="1"/>
  <c r="U50" i="1"/>
  <c r="V52" i="1"/>
  <c r="V72" i="1"/>
  <c r="AA59" i="1"/>
  <c r="X40" i="1"/>
  <c r="V55" i="1"/>
  <c r="X98" i="1"/>
  <c r="X60" i="1"/>
  <c r="W39" i="1"/>
  <c r="U76" i="1"/>
  <c r="U98" i="1"/>
  <c r="V71" i="1"/>
  <c r="AA77" i="1"/>
  <c r="AA75" i="1"/>
  <c r="V100" i="1"/>
  <c r="X62" i="1"/>
  <c r="X79" i="1"/>
  <c r="AA86" i="1"/>
  <c r="W99" i="1"/>
  <c r="X86" i="1"/>
  <c r="V58" i="1"/>
  <c r="AA54" i="1"/>
  <c r="X39" i="1"/>
  <c r="V87" i="1"/>
  <c r="U55" i="1"/>
  <c r="V95" i="1"/>
  <c r="W90" i="1"/>
  <c r="X70" i="1"/>
  <c r="AA89" i="1"/>
  <c r="U71" i="1"/>
  <c r="W79" i="1"/>
  <c r="V98" i="1"/>
  <c r="AA92" i="1"/>
  <c r="V65" i="1"/>
  <c r="U100" i="1"/>
  <c r="AA60" i="1"/>
  <c r="U67" i="1"/>
  <c r="X52" i="1"/>
  <c r="W67" i="1"/>
  <c r="X38" i="1"/>
  <c r="X61" i="1"/>
  <c r="V76" i="1"/>
  <c r="X90" i="1"/>
  <c r="V45" i="1"/>
  <c r="AA76" i="1"/>
  <c r="U79" i="1"/>
  <c r="X42" i="1"/>
  <c r="AA70" i="1"/>
  <c r="W40" i="1"/>
  <c r="X88" i="1"/>
  <c r="V78" i="1"/>
  <c r="X68" i="1"/>
  <c r="W75" i="1"/>
  <c r="V69" i="1"/>
  <c r="AA50" i="1"/>
  <c r="W78" i="1"/>
  <c r="U51" i="1"/>
  <c r="W56" i="1"/>
  <c r="U95" i="1"/>
  <c r="AA48" i="1"/>
  <c r="W38" i="1"/>
  <c r="V74" i="1"/>
  <c r="W86" i="1"/>
  <c r="X74" i="1"/>
  <c r="X43" i="1"/>
  <c r="W87" i="1"/>
  <c r="W65" i="1"/>
  <c r="W77" i="1"/>
  <c r="V50" i="1"/>
  <c r="W42" i="1"/>
  <c r="AA52" i="1"/>
  <c r="U88" i="1"/>
  <c r="X67" i="1"/>
  <c r="U45" i="1"/>
  <c r="U59" i="1"/>
  <c r="V51" i="1"/>
  <c r="U52" i="1"/>
  <c r="W54" i="1"/>
  <c r="X92" i="1"/>
  <c r="Y74" i="1" l="1"/>
  <c r="Y80" i="1"/>
  <c r="Y86" i="1"/>
  <c r="Y87" i="1"/>
  <c r="Y89" i="1"/>
  <c r="Y88" i="1"/>
  <c r="Y73" i="1"/>
  <c r="R42" i="94"/>
  <c r="AU42" i="94"/>
  <c r="FE45" i="94"/>
  <c r="FE46" i="94"/>
  <c r="FF42" i="94"/>
  <c r="BV42" i="94"/>
  <c r="T85" i="1"/>
  <c r="T96" i="1"/>
  <c r="Y90" i="1" s="1"/>
  <c r="U91" i="1"/>
  <c r="AA91" i="1"/>
  <c r="W91" i="1"/>
  <c r="W102" i="1"/>
  <c r="X91" i="1"/>
  <c r="AA102" i="1"/>
  <c r="V102" i="1"/>
  <c r="X102" i="1"/>
  <c r="U102" i="1"/>
  <c r="V91" i="1"/>
  <c r="S42" i="94" l="1"/>
  <c r="AV42" i="94"/>
  <c r="FG42" i="94"/>
  <c r="FF45" i="94"/>
  <c r="FF46" i="94"/>
  <c r="BW42" i="94"/>
  <c r="T102" i="1"/>
  <c r="Y96" i="1" s="1"/>
  <c r="T91" i="1"/>
  <c r="X82" i="1"/>
  <c r="W34" i="1"/>
  <c r="X34" i="1"/>
  <c r="W82" i="1"/>
  <c r="T42" i="94" l="1"/>
  <c r="BX42" i="94"/>
  <c r="FG45" i="94"/>
  <c r="FH42" i="94"/>
  <c r="FG46" i="94"/>
  <c r="AW42" i="94"/>
  <c r="T108" i="1"/>
  <c r="T97" i="1"/>
  <c r="T101" i="1"/>
  <c r="Y95" i="1" s="1"/>
  <c r="T98" i="1"/>
  <c r="Y92" i="1" s="1"/>
  <c r="T99" i="1"/>
  <c r="Y93" i="1" s="1"/>
  <c r="T100" i="1"/>
  <c r="Y94" i="1" s="1"/>
  <c r="T52" i="1"/>
  <c r="Y46" i="1" s="1"/>
  <c r="T41" i="1"/>
  <c r="T51" i="1"/>
  <c r="Y45" i="1" s="1"/>
  <c r="Q60" i="1"/>
  <c r="N79" i="1"/>
  <c r="V114" i="1"/>
  <c r="U114" i="1"/>
  <c r="N59" i="1"/>
  <c r="P53" i="1"/>
  <c r="Q95" i="1"/>
  <c r="O75" i="1"/>
  <c r="Q55" i="1"/>
  <c r="O91" i="1"/>
  <c r="N86" i="1"/>
  <c r="N50" i="1"/>
  <c r="W105" i="1"/>
  <c r="N52" i="1"/>
  <c r="M71" i="1"/>
  <c r="Q77" i="1"/>
  <c r="X106" i="1"/>
  <c r="Q45" i="1"/>
  <c r="P75" i="1"/>
  <c r="M50" i="1"/>
  <c r="P95" i="1"/>
  <c r="Q70" i="1"/>
  <c r="O52" i="1"/>
  <c r="Q64" i="1"/>
  <c r="Q78" i="1"/>
  <c r="N58" i="1"/>
  <c r="M94" i="1"/>
  <c r="Q61" i="1"/>
  <c r="M56" i="1"/>
  <c r="Q91" i="1"/>
  <c r="Q88" i="1"/>
  <c r="P48" i="1"/>
  <c r="P59" i="1"/>
  <c r="Q49" i="1"/>
  <c r="M57" i="1"/>
  <c r="Q59" i="1"/>
  <c r="N88" i="1"/>
  <c r="O66" i="1"/>
  <c r="O45" i="1"/>
  <c r="W97" i="1"/>
  <c r="X104" i="1"/>
  <c r="M96" i="1"/>
  <c r="P96" i="1"/>
  <c r="P77" i="1"/>
  <c r="O73" i="1"/>
  <c r="N92" i="1"/>
  <c r="M54" i="1"/>
  <c r="Q48" i="1"/>
  <c r="P97" i="1"/>
  <c r="P78" i="1"/>
  <c r="N77" i="1"/>
  <c r="O90" i="1"/>
  <c r="N69" i="1"/>
  <c r="O57" i="1"/>
  <c r="N70" i="1"/>
  <c r="N75" i="1"/>
  <c r="N64" i="1"/>
  <c r="O50" i="1"/>
  <c r="Q89" i="1"/>
  <c r="O51" i="1"/>
  <c r="O63" i="1"/>
  <c r="O78" i="1"/>
  <c r="N62" i="1"/>
  <c r="M48" i="1"/>
  <c r="Q93" i="1"/>
  <c r="N49" i="1"/>
  <c r="M91" i="1"/>
  <c r="N97" i="1"/>
  <c r="Q90" i="1"/>
  <c r="O89" i="1"/>
  <c r="M52" i="1"/>
  <c r="AA114" i="1"/>
  <c r="N66" i="1"/>
  <c r="O86" i="1"/>
  <c r="M75" i="1"/>
  <c r="AA103" i="1"/>
  <c r="O62" i="1"/>
  <c r="M78" i="1"/>
  <c r="O49" i="1"/>
  <c r="Q54" i="1"/>
  <c r="M44" i="1"/>
  <c r="P64" i="1"/>
  <c r="O95" i="1"/>
  <c r="P49" i="1"/>
  <c r="N76" i="1"/>
  <c r="N93" i="1"/>
  <c r="N44" i="1"/>
  <c r="M53" i="1"/>
  <c r="W104" i="1"/>
  <c r="P89" i="1"/>
  <c r="O53" i="1"/>
  <c r="N78" i="1"/>
  <c r="M64" i="1"/>
  <c r="Q79" i="1"/>
  <c r="Q74" i="1"/>
  <c r="P51" i="1"/>
  <c r="P65" i="1"/>
  <c r="M79" i="1"/>
  <c r="M55" i="1"/>
  <c r="P52" i="1"/>
  <c r="M97" i="1"/>
  <c r="O72" i="1"/>
  <c r="Q92" i="1"/>
  <c r="Q52" i="1"/>
  <c r="U103" i="1"/>
  <c r="N60" i="1"/>
  <c r="N51" i="1"/>
  <c r="M60" i="1"/>
  <c r="N65" i="1"/>
  <c r="N55" i="1"/>
  <c r="Q44" i="1"/>
  <c r="M66" i="1"/>
  <c r="Q97" i="1"/>
  <c r="M89" i="1"/>
  <c r="P55" i="1"/>
  <c r="N90" i="1"/>
  <c r="O47" i="1"/>
  <c r="O54" i="1"/>
  <c r="Q51" i="1"/>
  <c r="N63" i="1"/>
  <c r="N95" i="1"/>
  <c r="Q62" i="1"/>
  <c r="M69" i="1"/>
  <c r="Q63" i="1"/>
  <c r="O96" i="1"/>
  <c r="N73" i="1"/>
  <c r="P62" i="1"/>
  <c r="O55" i="1"/>
  <c r="Q71" i="1"/>
  <c r="P86" i="1"/>
  <c r="N67" i="1"/>
  <c r="P79" i="1"/>
  <c r="N45" i="1"/>
  <c r="O92" i="1"/>
  <c r="N53" i="1"/>
  <c r="P94" i="1"/>
  <c r="O74" i="1"/>
  <c r="O71" i="1"/>
  <c r="N71" i="1"/>
  <c r="N91" i="1"/>
  <c r="O67" i="1"/>
  <c r="P91" i="1"/>
  <c r="P68" i="1"/>
  <c r="P61" i="1"/>
  <c r="N47" i="1"/>
  <c r="M49" i="1"/>
  <c r="Q50" i="1"/>
  <c r="P66" i="1"/>
  <c r="P56" i="1"/>
  <c r="Q47" i="1"/>
  <c r="M90" i="1"/>
  <c r="Q75" i="1"/>
  <c r="M73" i="1"/>
  <c r="Q94" i="1"/>
  <c r="M87" i="1"/>
  <c r="P67" i="1"/>
  <c r="Q76" i="1"/>
  <c r="P93" i="1"/>
  <c r="O68" i="1"/>
  <c r="P45" i="1"/>
  <c r="O97" i="1"/>
  <c r="W106" i="1"/>
  <c r="M47" i="1"/>
  <c r="M70" i="1"/>
  <c r="X105" i="1"/>
  <c r="Q96" i="1"/>
  <c r="O65" i="1"/>
  <c r="O77" i="1"/>
  <c r="M86" i="1"/>
  <c r="P72" i="1"/>
  <c r="P58" i="1"/>
  <c r="W103" i="1"/>
  <c r="P70" i="1"/>
  <c r="N56" i="1"/>
  <c r="N87" i="1"/>
  <c r="M88" i="1"/>
  <c r="N61" i="1"/>
  <c r="P60" i="1"/>
  <c r="V103" i="1"/>
  <c r="Q69" i="1"/>
  <c r="P54" i="1"/>
  <c r="Q65" i="1"/>
  <c r="N72" i="1"/>
  <c r="M76" i="1"/>
  <c r="M59" i="1"/>
  <c r="Q72" i="1"/>
  <c r="O56" i="1"/>
  <c r="P63" i="1"/>
  <c r="M72" i="1"/>
  <c r="M65" i="1"/>
  <c r="AA97" i="1"/>
  <c r="P57" i="1"/>
  <c r="P44" i="1"/>
  <c r="N54" i="1"/>
  <c r="P47" i="1"/>
  <c r="N48" i="1"/>
  <c r="M63" i="1"/>
  <c r="P74" i="1"/>
  <c r="M77" i="1"/>
  <c r="X97" i="1"/>
  <c r="V97" i="1"/>
  <c r="Q58" i="1"/>
  <c r="Q67" i="1"/>
  <c r="M61" i="1"/>
  <c r="O64" i="1"/>
  <c r="M95" i="1"/>
  <c r="Q87" i="1"/>
  <c r="O69" i="1"/>
  <c r="O94" i="1"/>
  <c r="O76" i="1"/>
  <c r="P92" i="1"/>
  <c r="N57" i="1"/>
  <c r="Q66" i="1"/>
  <c r="P90" i="1"/>
  <c r="P73" i="1"/>
  <c r="P88" i="1"/>
  <c r="Q56" i="1"/>
  <c r="O59" i="1"/>
  <c r="M62" i="1"/>
  <c r="X114" i="1"/>
  <c r="W114" i="1"/>
  <c r="O70" i="1"/>
  <c r="X103" i="1"/>
  <c r="P87" i="1"/>
  <c r="M92" i="1"/>
  <c r="Q73" i="1"/>
  <c r="O60" i="1"/>
  <c r="Q57" i="1"/>
  <c r="Q86" i="1"/>
  <c r="M51" i="1"/>
  <c r="N89" i="1"/>
  <c r="M68" i="1"/>
  <c r="U97" i="1"/>
  <c r="Q68" i="1"/>
  <c r="M58" i="1"/>
  <c r="M67" i="1"/>
  <c r="P69" i="1"/>
  <c r="O87" i="1"/>
  <c r="O44" i="1"/>
  <c r="O93" i="1"/>
  <c r="O88" i="1"/>
  <c r="P71" i="1"/>
  <c r="O58" i="1"/>
  <c r="N68" i="1"/>
  <c r="M74" i="1"/>
  <c r="P50" i="1"/>
  <c r="AD59" i="1" l="1"/>
  <c r="AD77" i="1"/>
  <c r="AD72" i="1"/>
  <c r="AD51" i="1"/>
  <c r="AD48" i="1"/>
  <c r="AD70" i="1"/>
  <c r="AD60" i="1"/>
  <c r="AD73" i="1"/>
  <c r="AD66" i="1"/>
  <c r="AD45" i="1"/>
  <c r="AD86" i="1"/>
  <c r="AD47" i="1"/>
  <c r="AD56" i="1"/>
  <c r="AD95" i="1"/>
  <c r="AD67" i="1"/>
  <c r="AD89" i="1"/>
  <c r="AD52" i="1"/>
  <c r="AD44" i="1"/>
  <c r="AD92" i="1"/>
  <c r="AD75" i="1"/>
  <c r="AD63" i="1"/>
  <c r="AD91" i="1"/>
  <c r="AD88" i="1"/>
  <c r="AD55" i="1"/>
  <c r="AD78" i="1"/>
  <c r="AD87" i="1"/>
  <c r="AD69" i="1"/>
  <c r="AD53" i="1"/>
  <c r="AD49" i="1"/>
  <c r="AD97" i="1"/>
  <c r="AD54" i="1"/>
  <c r="AD76" i="1"/>
  <c r="AD68" i="1"/>
  <c r="AD61" i="1"/>
  <c r="AD57" i="1"/>
  <c r="AD58" i="1"/>
  <c r="AD64" i="1"/>
  <c r="AD65" i="1"/>
  <c r="AD62" i="1"/>
  <c r="AD93" i="1"/>
  <c r="AD79" i="1"/>
  <c r="AD90" i="1"/>
  <c r="AD50" i="1"/>
  <c r="AD71" i="1"/>
  <c r="AC90" i="1"/>
  <c r="AC74" i="1"/>
  <c r="AC52" i="1"/>
  <c r="AC93" i="1"/>
  <c r="AC59" i="1"/>
  <c r="AC71" i="1"/>
  <c r="AC64" i="1"/>
  <c r="AC95" i="1"/>
  <c r="AC72" i="1"/>
  <c r="AC87" i="1"/>
  <c r="AC48" i="1"/>
  <c r="AC97" i="1"/>
  <c r="AC47" i="1"/>
  <c r="AC66" i="1"/>
  <c r="AC56" i="1"/>
  <c r="AC57" i="1"/>
  <c r="AC77" i="1"/>
  <c r="AC51" i="1"/>
  <c r="AC55" i="1"/>
  <c r="AC60" i="1"/>
  <c r="AC91" i="1"/>
  <c r="AC96" i="1"/>
  <c r="AC94" i="1"/>
  <c r="AC76" i="1"/>
  <c r="AC54" i="1"/>
  <c r="AC44" i="1"/>
  <c r="AC61" i="1"/>
  <c r="AC75" i="1"/>
  <c r="AC78" i="1"/>
  <c r="AC49" i="1"/>
  <c r="AC63" i="1"/>
  <c r="AC45" i="1"/>
  <c r="AC67" i="1"/>
  <c r="AC79" i="1"/>
  <c r="AC86" i="1"/>
  <c r="AC92" i="1"/>
  <c r="AC70" i="1"/>
  <c r="AC65" i="1"/>
  <c r="AC69" i="1"/>
  <c r="AC50" i="1"/>
  <c r="AC68" i="1"/>
  <c r="AC73" i="1"/>
  <c r="AC89" i="1"/>
  <c r="AC58" i="1"/>
  <c r="AC88" i="1"/>
  <c r="AC53" i="1"/>
  <c r="AC62" i="1"/>
  <c r="Y91" i="1"/>
  <c r="U42" i="94"/>
  <c r="AX42" i="94"/>
  <c r="FH46" i="94"/>
  <c r="FH45" i="94"/>
  <c r="FI42" i="94"/>
  <c r="BY42" i="94"/>
  <c r="N96" i="1"/>
  <c r="M114" i="1"/>
  <c r="O61" i="1"/>
  <c r="N114" i="1"/>
  <c r="P114" i="1"/>
  <c r="M93" i="1"/>
  <c r="N94" i="1"/>
  <c r="P76" i="1"/>
  <c r="O48" i="1"/>
  <c r="O114" i="1"/>
  <c r="Q53" i="1"/>
  <c r="M45" i="1"/>
  <c r="Q114" i="1"/>
  <c r="O79" i="1"/>
  <c r="N74" i="1"/>
  <c r="AD94" i="1" l="1"/>
  <c r="AD96" i="1"/>
  <c r="AD74" i="1"/>
  <c r="AD114" i="1"/>
  <c r="AC114" i="1"/>
  <c r="V42" i="94"/>
  <c r="AY42" i="94"/>
  <c r="FI46" i="94"/>
  <c r="FI45" i="94"/>
  <c r="FJ42" i="94"/>
  <c r="BZ42" i="94"/>
  <c r="T107" i="1"/>
  <c r="T103" i="1"/>
  <c r="Y97" i="1" s="1"/>
  <c r="T105" i="1"/>
  <c r="T104" i="1"/>
  <c r="T106" i="1"/>
  <c r="T114" i="1"/>
  <c r="T54" i="1"/>
  <c r="Y48" i="1" s="1"/>
  <c r="T44" i="1"/>
  <c r="T55" i="1"/>
  <c r="Y49" i="1" s="1"/>
  <c r="AA111" i="1"/>
  <c r="W113" i="1"/>
  <c r="W110" i="1"/>
  <c r="U110" i="1"/>
  <c r="X113" i="1"/>
  <c r="X111" i="1"/>
  <c r="W112" i="1"/>
  <c r="AA110" i="1"/>
  <c r="X120" i="1"/>
  <c r="U111" i="1"/>
  <c r="U113" i="1"/>
  <c r="U112" i="1"/>
  <c r="AA113" i="1"/>
  <c r="AA112" i="1"/>
  <c r="V111" i="1"/>
  <c r="V113" i="1"/>
  <c r="X110" i="1"/>
  <c r="W120" i="1"/>
  <c r="W111" i="1"/>
  <c r="V112" i="1"/>
  <c r="V110" i="1"/>
  <c r="X112" i="1"/>
  <c r="W42" i="94" l="1"/>
  <c r="AZ42" i="94"/>
  <c r="FJ46" i="94"/>
  <c r="FK42" i="94"/>
  <c r="FJ45" i="94"/>
  <c r="CA42" i="94"/>
  <c r="T111" i="1"/>
  <c r="T109" i="1"/>
  <c r="T112" i="1"/>
  <c r="T120" i="1"/>
  <c r="T110" i="1"/>
  <c r="Y104" i="1" s="1"/>
  <c r="T113" i="1"/>
  <c r="T47" i="1"/>
  <c r="T58" i="1"/>
  <c r="Y52" i="1" s="1"/>
  <c r="T57" i="1"/>
  <c r="Y51" i="1" s="1"/>
  <c r="Q112" i="1"/>
  <c r="O111" i="1"/>
  <c r="Q110" i="1"/>
  <c r="X118" i="1"/>
  <c r="V115" i="1"/>
  <c r="M113" i="1"/>
  <c r="X115" i="1"/>
  <c r="N110" i="1"/>
  <c r="W118" i="1"/>
  <c r="N113" i="1"/>
  <c r="N111" i="1"/>
  <c r="M110" i="1"/>
  <c r="N112" i="1"/>
  <c r="X117" i="1"/>
  <c r="W116" i="1"/>
  <c r="X119" i="1"/>
  <c r="P113" i="1"/>
  <c r="W119" i="1"/>
  <c r="P112" i="1"/>
  <c r="Q113" i="1"/>
  <c r="U115" i="1"/>
  <c r="W117" i="1"/>
  <c r="W115" i="1"/>
  <c r="P111" i="1"/>
  <c r="O112" i="1"/>
  <c r="M111" i="1"/>
  <c r="O113" i="1"/>
  <c r="AA115" i="1"/>
  <c r="Q111" i="1"/>
  <c r="O110" i="1"/>
  <c r="P110" i="1"/>
  <c r="M112" i="1"/>
  <c r="X116" i="1"/>
  <c r="AD110" i="1" l="1"/>
  <c r="AD112" i="1"/>
  <c r="AD111" i="1"/>
  <c r="AD113" i="1"/>
  <c r="AC110" i="1"/>
  <c r="AC111" i="1"/>
  <c r="AC113" i="1"/>
  <c r="AC112" i="1"/>
  <c r="X42" i="94"/>
  <c r="BA42" i="94"/>
  <c r="CB42" i="94"/>
  <c r="FL42" i="94"/>
  <c r="FK45" i="94"/>
  <c r="FK46" i="94"/>
  <c r="T115" i="1"/>
  <c r="T116" i="1"/>
  <c r="T119" i="1"/>
  <c r="T118" i="1"/>
  <c r="T126" i="1"/>
  <c r="T117" i="1"/>
  <c r="T61" i="1"/>
  <c r="Y55" i="1" s="1"/>
  <c r="T60" i="1"/>
  <c r="Y54" i="1" s="1"/>
  <c r="T50" i="1"/>
  <c r="Y44" i="1" s="1"/>
  <c r="Q115" i="1"/>
  <c r="X122" i="1"/>
  <c r="AA132" i="1"/>
  <c r="W121" i="1"/>
  <c r="W132" i="1"/>
  <c r="W83" i="1"/>
  <c r="M115" i="1"/>
  <c r="P115" i="1"/>
  <c r="X35" i="1"/>
  <c r="V132" i="1"/>
  <c r="X125" i="1"/>
  <c r="N115" i="1"/>
  <c r="W35" i="1"/>
  <c r="X123" i="1"/>
  <c r="W122" i="1"/>
  <c r="W125" i="1"/>
  <c r="W123" i="1"/>
  <c r="W124" i="1"/>
  <c r="X121" i="1"/>
  <c r="U132" i="1"/>
  <c r="X107" i="1"/>
  <c r="X124" i="1"/>
  <c r="X83" i="1"/>
  <c r="W107" i="1"/>
  <c r="X132" i="1"/>
  <c r="O115" i="1"/>
  <c r="AD115" i="1" l="1"/>
  <c r="AC115" i="1"/>
  <c r="Y42" i="94"/>
  <c r="CC42" i="94"/>
  <c r="FM42" i="94"/>
  <c r="FL45" i="94"/>
  <c r="FL46" i="94"/>
  <c r="BB42" i="94"/>
  <c r="T132" i="1"/>
  <c r="T122" i="1"/>
  <c r="Y116" i="1" s="1"/>
  <c r="T125" i="1"/>
  <c r="T123" i="1"/>
  <c r="T121" i="1"/>
  <c r="T124" i="1"/>
  <c r="T63" i="1"/>
  <c r="Y57" i="1" s="1"/>
  <c r="T53" i="1"/>
  <c r="T64" i="1"/>
  <c r="Y58" i="1" s="1"/>
  <c r="P132" i="1"/>
  <c r="U138" i="1"/>
  <c r="V130" i="1"/>
  <c r="W131" i="1"/>
  <c r="W130" i="1"/>
  <c r="X130" i="1"/>
  <c r="V138" i="1"/>
  <c r="X131" i="1"/>
  <c r="U130" i="1"/>
  <c r="U131" i="1"/>
  <c r="X129" i="1"/>
  <c r="U129" i="1"/>
  <c r="W129" i="1"/>
  <c r="O132" i="1"/>
  <c r="V131" i="1"/>
  <c r="W128" i="1"/>
  <c r="X128" i="1"/>
  <c r="X138" i="1"/>
  <c r="AA138" i="1"/>
  <c r="Q132" i="1"/>
  <c r="M132" i="1"/>
  <c r="N132" i="1"/>
  <c r="V128" i="1"/>
  <c r="AA130" i="1"/>
  <c r="AA131" i="1"/>
  <c r="U128" i="1"/>
  <c r="AA128" i="1"/>
  <c r="W138" i="1"/>
  <c r="V129" i="1"/>
  <c r="AA129" i="1"/>
  <c r="AD132" i="1" l="1"/>
  <c r="AC132" i="1"/>
  <c r="Z42" i="94"/>
  <c r="CD42" i="94"/>
  <c r="FM46" i="94"/>
  <c r="FM45" i="94"/>
  <c r="FN42" i="94"/>
  <c r="BC42" i="94"/>
  <c r="T138" i="1"/>
  <c r="Y132" i="1" s="1"/>
  <c r="T128" i="1"/>
  <c r="T130" i="1"/>
  <c r="T131" i="1"/>
  <c r="T129" i="1"/>
  <c r="T127" i="1"/>
  <c r="T67" i="1"/>
  <c r="Y61" i="1" s="1"/>
  <c r="T56" i="1"/>
  <c r="Y50" i="1" s="1"/>
  <c r="T66" i="1"/>
  <c r="Y60" i="1" s="1"/>
  <c r="M138" i="1"/>
  <c r="N138" i="1"/>
  <c r="Q128" i="1"/>
  <c r="W135" i="1"/>
  <c r="U133" i="1"/>
  <c r="Q138" i="1"/>
  <c r="P128" i="1"/>
  <c r="V133" i="1"/>
  <c r="O130" i="1"/>
  <c r="W144" i="1"/>
  <c r="W133" i="1"/>
  <c r="O138" i="1"/>
  <c r="N128" i="1"/>
  <c r="W137" i="1"/>
  <c r="U144" i="1"/>
  <c r="V135" i="1"/>
  <c r="P131" i="1"/>
  <c r="X133" i="1"/>
  <c r="P130" i="1"/>
  <c r="O131" i="1"/>
  <c r="Q130" i="1"/>
  <c r="Q129" i="1"/>
  <c r="X134" i="1"/>
  <c r="W134" i="1"/>
  <c r="P138" i="1"/>
  <c r="N130" i="1"/>
  <c r="Q131" i="1"/>
  <c r="AA134" i="1"/>
  <c r="V144" i="1"/>
  <c r="O128" i="1"/>
  <c r="W136" i="1"/>
  <c r="X136" i="1"/>
  <c r="N131" i="1"/>
  <c r="V137" i="1"/>
  <c r="M128" i="1"/>
  <c r="AA144" i="1"/>
  <c r="U135" i="1"/>
  <c r="M131" i="1"/>
  <c r="AA135" i="1"/>
  <c r="P129" i="1"/>
  <c r="AA136" i="1"/>
  <c r="X137" i="1"/>
  <c r="X135" i="1"/>
  <c r="V134" i="1"/>
  <c r="AA137" i="1"/>
  <c r="N129" i="1"/>
  <c r="X144" i="1"/>
  <c r="M130" i="1"/>
  <c r="M129" i="1"/>
  <c r="V136" i="1"/>
  <c r="U137" i="1"/>
  <c r="U134" i="1"/>
  <c r="U136" i="1"/>
  <c r="O129" i="1"/>
  <c r="AA133" i="1"/>
  <c r="AD129" i="1" l="1"/>
  <c r="AD138" i="1"/>
  <c r="AD128" i="1"/>
  <c r="AD131" i="1"/>
  <c r="AD130" i="1"/>
  <c r="AC130" i="1"/>
  <c r="AC131" i="1"/>
  <c r="AC138" i="1"/>
  <c r="AC129" i="1"/>
  <c r="AC128" i="1"/>
  <c r="AA42" i="94"/>
  <c r="BD42" i="94"/>
  <c r="FN45" i="94"/>
  <c r="FN46" i="94"/>
  <c r="FO42" i="94"/>
  <c r="CE42" i="94"/>
  <c r="T136" i="1"/>
  <c r="Y130" i="1" s="1"/>
  <c r="T134" i="1"/>
  <c r="Y128" i="1" s="1"/>
  <c r="T133" i="1"/>
  <c r="T137" i="1"/>
  <c r="Y131" i="1" s="1"/>
  <c r="T135" i="1"/>
  <c r="Y129" i="1" s="1"/>
  <c r="T144" i="1"/>
  <c r="Y138" i="1" s="1"/>
  <c r="T59" i="1"/>
  <c r="Y53" i="1" s="1"/>
  <c r="T69" i="1"/>
  <c r="Y63" i="1" s="1"/>
  <c r="T70" i="1"/>
  <c r="Y64" i="1" s="1"/>
  <c r="P133" i="1"/>
  <c r="M133" i="1"/>
  <c r="N134" i="1"/>
  <c r="W142" i="1"/>
  <c r="M136" i="1"/>
  <c r="P135" i="1"/>
  <c r="N144" i="1"/>
  <c r="N135" i="1"/>
  <c r="U143" i="1"/>
  <c r="U140" i="1"/>
  <c r="AA143" i="1"/>
  <c r="X143" i="1"/>
  <c r="M134" i="1"/>
  <c r="O134" i="1"/>
  <c r="O144" i="1"/>
  <c r="X141" i="1"/>
  <c r="M135" i="1"/>
  <c r="V141" i="1"/>
  <c r="W139" i="1"/>
  <c r="P144" i="1"/>
  <c r="V139" i="1"/>
  <c r="AA141" i="1"/>
  <c r="O137" i="1"/>
  <c r="W140" i="1"/>
  <c r="Q137" i="1"/>
  <c r="U141" i="1"/>
  <c r="O135" i="1"/>
  <c r="U139" i="1"/>
  <c r="X139" i="1"/>
  <c r="M144" i="1"/>
  <c r="V143" i="1"/>
  <c r="U142" i="1"/>
  <c r="X150" i="1"/>
  <c r="P137" i="1"/>
  <c r="W143" i="1"/>
  <c r="Q133" i="1"/>
  <c r="M137" i="1"/>
  <c r="Q134" i="1"/>
  <c r="AA140" i="1"/>
  <c r="Q136" i="1"/>
  <c r="N137" i="1"/>
  <c r="V140" i="1"/>
  <c r="N133" i="1"/>
  <c r="AA150" i="1"/>
  <c r="O136" i="1"/>
  <c r="Q135" i="1"/>
  <c r="X142" i="1"/>
  <c r="P134" i="1"/>
  <c r="V142" i="1"/>
  <c r="W141" i="1"/>
  <c r="V150" i="1"/>
  <c r="Q144" i="1"/>
  <c r="U150" i="1"/>
  <c r="X140" i="1"/>
  <c r="O133" i="1"/>
  <c r="P136" i="1"/>
  <c r="AA142" i="1"/>
  <c r="AA139" i="1"/>
  <c r="W150" i="1"/>
  <c r="N136" i="1"/>
  <c r="AD144" i="1" l="1"/>
  <c r="AD133" i="1"/>
  <c r="AD136" i="1"/>
  <c r="AD137" i="1"/>
  <c r="AD134" i="1"/>
  <c r="AD135" i="1"/>
  <c r="AC133" i="1"/>
  <c r="AC144" i="1"/>
  <c r="AC135" i="1"/>
  <c r="AC134" i="1"/>
  <c r="AC136" i="1"/>
  <c r="AC137" i="1"/>
  <c r="AB42" i="94"/>
  <c r="CF42" i="94"/>
  <c r="BE42" i="94"/>
  <c r="FP42" i="94"/>
  <c r="FO45" i="94"/>
  <c r="FO46" i="94"/>
  <c r="T143" i="1"/>
  <c r="Y137" i="1" s="1"/>
  <c r="T140" i="1"/>
  <c r="Y134" i="1" s="1"/>
  <c r="T150" i="1"/>
  <c r="Y144" i="1" s="1"/>
  <c r="T141" i="1"/>
  <c r="Y135" i="1" s="1"/>
  <c r="T142" i="1"/>
  <c r="Y136" i="1" s="1"/>
  <c r="T139" i="1"/>
  <c r="Y133" i="1" s="1"/>
  <c r="T72" i="1"/>
  <c r="Y66" i="1" s="1"/>
  <c r="T73" i="1"/>
  <c r="Y67" i="1" s="1"/>
  <c r="T62" i="1"/>
  <c r="Y56" i="1" s="1"/>
  <c r="O140" i="1"/>
  <c r="U149" i="1"/>
  <c r="W156" i="1"/>
  <c r="N150" i="1"/>
  <c r="X156" i="1"/>
  <c r="W147" i="1"/>
  <c r="W149" i="1"/>
  <c r="N143" i="1"/>
  <c r="N140" i="1"/>
  <c r="U145" i="1"/>
  <c r="P139" i="1"/>
  <c r="V145" i="1"/>
  <c r="N139" i="1"/>
  <c r="O141" i="1"/>
  <c r="AA149" i="1"/>
  <c r="M150" i="1"/>
  <c r="V146" i="1"/>
  <c r="W145" i="1"/>
  <c r="U146" i="1"/>
  <c r="O139" i="1"/>
  <c r="M141" i="1"/>
  <c r="W146" i="1"/>
  <c r="U156" i="1"/>
  <c r="AA148" i="1"/>
  <c r="N142" i="1"/>
  <c r="Q139" i="1"/>
  <c r="X149" i="1"/>
  <c r="X147" i="1"/>
  <c r="Q150" i="1"/>
  <c r="AA156" i="1"/>
  <c r="V148" i="1"/>
  <c r="Q141" i="1"/>
  <c r="O143" i="1"/>
  <c r="U148" i="1"/>
  <c r="Q142" i="1"/>
  <c r="P150" i="1"/>
  <c r="AA147" i="1"/>
  <c r="V156" i="1"/>
  <c r="X148" i="1"/>
  <c r="AA146" i="1"/>
  <c r="X145" i="1"/>
  <c r="P143" i="1"/>
  <c r="P140" i="1"/>
  <c r="X146" i="1"/>
  <c r="Q143" i="1"/>
  <c r="V149" i="1"/>
  <c r="Q140" i="1"/>
  <c r="M143" i="1"/>
  <c r="O150" i="1"/>
  <c r="P142" i="1"/>
  <c r="U147" i="1"/>
  <c r="V147" i="1"/>
  <c r="M142" i="1"/>
  <c r="O142" i="1"/>
  <c r="P141" i="1"/>
  <c r="AA145" i="1"/>
  <c r="M140" i="1"/>
  <c r="W148" i="1"/>
  <c r="N141" i="1"/>
  <c r="M139" i="1"/>
  <c r="AD139" i="1" l="1"/>
  <c r="AD142" i="1"/>
  <c r="AD141" i="1"/>
  <c r="AD143" i="1"/>
  <c r="AD150" i="1"/>
  <c r="AD140" i="1"/>
  <c r="AC143" i="1"/>
  <c r="AC139" i="1"/>
  <c r="AC150" i="1"/>
  <c r="AC140" i="1"/>
  <c r="AC141" i="1"/>
  <c r="AC142" i="1"/>
  <c r="AC42" i="94"/>
  <c r="BF42" i="94"/>
  <c r="FQ42" i="94"/>
  <c r="FP46" i="94"/>
  <c r="FP45" i="94"/>
  <c r="CG42" i="94"/>
  <c r="T156" i="1"/>
  <c r="Y150" i="1" s="1"/>
  <c r="T145" i="1"/>
  <c r="Y139" i="1" s="1"/>
  <c r="T148" i="1"/>
  <c r="Y142" i="1" s="1"/>
  <c r="T147" i="1"/>
  <c r="Y141" i="1" s="1"/>
  <c r="T146" i="1"/>
  <c r="Y140" i="1" s="1"/>
  <c r="T149" i="1"/>
  <c r="Y143" i="1" s="1"/>
  <c r="T76" i="1"/>
  <c r="Y70" i="1" s="1"/>
  <c r="T65" i="1"/>
  <c r="Y59" i="1" s="1"/>
  <c r="T75" i="1"/>
  <c r="Y69" i="1" s="1"/>
  <c r="AA155" i="1"/>
  <c r="V155" i="1"/>
  <c r="O145" i="1"/>
  <c r="U151" i="1"/>
  <c r="M148" i="1"/>
  <c r="Q145" i="1"/>
  <c r="M147" i="1"/>
  <c r="M149" i="1"/>
  <c r="W152" i="1"/>
  <c r="N146" i="1"/>
  <c r="X153" i="1"/>
  <c r="O147" i="1"/>
  <c r="W155" i="1"/>
  <c r="V154" i="1"/>
  <c r="W151" i="1"/>
  <c r="X154" i="1"/>
  <c r="AA162" i="1"/>
  <c r="P145" i="1"/>
  <c r="W108" i="1"/>
  <c r="V152" i="1"/>
  <c r="O149" i="1"/>
  <c r="O156" i="1"/>
  <c r="Q148" i="1"/>
  <c r="O146" i="1"/>
  <c r="U153" i="1"/>
  <c r="W154" i="1"/>
  <c r="Q149" i="1"/>
  <c r="U154" i="1"/>
  <c r="P148" i="1"/>
  <c r="N149" i="1"/>
  <c r="M145" i="1"/>
  <c r="W126" i="1"/>
  <c r="X36" i="1"/>
  <c r="U155" i="1"/>
  <c r="O148" i="1"/>
  <c r="X126" i="1"/>
  <c r="W153" i="1"/>
  <c r="P146" i="1"/>
  <c r="M156" i="1"/>
  <c r="V153" i="1"/>
  <c r="N145" i="1"/>
  <c r="X155" i="1"/>
  <c r="AA154" i="1"/>
  <c r="Q156" i="1"/>
  <c r="V162" i="1"/>
  <c r="Q146" i="1"/>
  <c r="X162" i="1"/>
  <c r="AA153" i="1"/>
  <c r="P156" i="1"/>
  <c r="X84" i="1"/>
  <c r="M146" i="1"/>
  <c r="U162" i="1"/>
  <c r="W84" i="1"/>
  <c r="V151" i="1"/>
  <c r="W36" i="1"/>
  <c r="Q147" i="1"/>
  <c r="P147" i="1"/>
  <c r="X151" i="1"/>
  <c r="N148" i="1"/>
  <c r="N156" i="1"/>
  <c r="X152" i="1"/>
  <c r="P149" i="1"/>
  <c r="AA151" i="1"/>
  <c r="U152" i="1"/>
  <c r="X108" i="1"/>
  <c r="N147" i="1"/>
  <c r="AA152" i="1"/>
  <c r="W162" i="1"/>
  <c r="AD145" i="1" l="1"/>
  <c r="AD147" i="1"/>
  <c r="AD146" i="1"/>
  <c r="AD148" i="1"/>
  <c r="AD149" i="1"/>
  <c r="AD156" i="1"/>
  <c r="AC149" i="1"/>
  <c r="AC156" i="1"/>
  <c r="AC148" i="1"/>
  <c r="AC145" i="1"/>
  <c r="AC146" i="1"/>
  <c r="AC147" i="1"/>
  <c r="T168" i="1"/>
  <c r="AD42" i="94"/>
  <c r="FQ45" i="94"/>
  <c r="FR42" i="94"/>
  <c r="FQ46" i="94"/>
  <c r="CH42" i="94"/>
  <c r="BG42" i="94"/>
  <c r="T153" i="1"/>
  <c r="Y147" i="1" s="1"/>
  <c r="T154" i="1"/>
  <c r="Y148" i="1" s="1"/>
  <c r="T151" i="1"/>
  <c r="Y145" i="1" s="1"/>
  <c r="T155" i="1"/>
  <c r="Y149" i="1" s="1"/>
  <c r="T152" i="1"/>
  <c r="Y146" i="1" s="1"/>
  <c r="T162" i="1"/>
  <c r="Y156" i="1" s="1"/>
  <c r="T68" i="1"/>
  <c r="Y62" i="1" s="1"/>
  <c r="T78" i="1"/>
  <c r="Y72" i="1" s="1"/>
  <c r="AA157" i="1"/>
  <c r="Q162" i="1"/>
  <c r="V174" i="1"/>
  <c r="W159" i="1"/>
  <c r="M151" i="1"/>
  <c r="AA159" i="1"/>
  <c r="Q174" i="1"/>
  <c r="X160" i="1"/>
  <c r="X168" i="1"/>
  <c r="W168" i="1"/>
  <c r="P168" i="1"/>
  <c r="V158" i="1"/>
  <c r="O152" i="1"/>
  <c r="O153" i="1"/>
  <c r="N151" i="1"/>
  <c r="W161" i="1"/>
  <c r="P152" i="1"/>
  <c r="M174" i="1"/>
  <c r="P154" i="1"/>
  <c r="U157" i="1"/>
  <c r="X157" i="1"/>
  <c r="U161" i="1"/>
  <c r="O168" i="1"/>
  <c r="O154" i="1"/>
  <c r="V161" i="1"/>
  <c r="Q154" i="1"/>
  <c r="W160" i="1"/>
  <c r="Q153" i="1"/>
  <c r="P162" i="1"/>
  <c r="M154" i="1"/>
  <c r="U168" i="1"/>
  <c r="P151" i="1"/>
  <c r="O155" i="1"/>
  <c r="M155" i="1"/>
  <c r="Q155" i="1"/>
  <c r="U158" i="1"/>
  <c r="X159" i="1"/>
  <c r="N153" i="1"/>
  <c r="M168" i="1"/>
  <c r="O151" i="1"/>
  <c r="W158" i="1"/>
  <c r="V168" i="1"/>
  <c r="V159" i="1"/>
  <c r="Q152" i="1"/>
  <c r="N155" i="1"/>
  <c r="O174" i="1"/>
  <c r="N174" i="1"/>
  <c r="X174" i="1"/>
  <c r="O162" i="1"/>
  <c r="AA174" i="1"/>
  <c r="W174" i="1"/>
  <c r="AA158" i="1"/>
  <c r="M162" i="1"/>
  <c r="AA161" i="1"/>
  <c r="N154" i="1"/>
  <c r="P174" i="1"/>
  <c r="X158" i="1"/>
  <c r="AA160" i="1"/>
  <c r="M152" i="1"/>
  <c r="U174" i="1"/>
  <c r="AA168" i="1"/>
  <c r="P153" i="1"/>
  <c r="N152" i="1"/>
  <c r="N162" i="1"/>
  <c r="W157" i="1"/>
  <c r="M153" i="1"/>
  <c r="Q168" i="1"/>
  <c r="N168" i="1"/>
  <c r="V160" i="1"/>
  <c r="Q151" i="1"/>
  <c r="U160" i="1"/>
  <c r="X161" i="1"/>
  <c r="U159" i="1"/>
  <c r="V157" i="1"/>
  <c r="AD155" i="1" l="1"/>
  <c r="AD162" i="1"/>
  <c r="AD151" i="1"/>
  <c r="AD174" i="1"/>
  <c r="AD168" i="1"/>
  <c r="AD153" i="1"/>
  <c r="AD154" i="1"/>
  <c r="AD152" i="1"/>
  <c r="Y175" i="1"/>
  <c r="AC168" i="1"/>
  <c r="Y162" i="1"/>
  <c r="T164" i="1"/>
  <c r="T167" i="1"/>
  <c r="AC153" i="1"/>
  <c r="AC162" i="1"/>
  <c r="AC154" i="1"/>
  <c r="AC155" i="1"/>
  <c r="AC152" i="1"/>
  <c r="AC151" i="1"/>
  <c r="AC174" i="1"/>
  <c r="T174" i="1"/>
  <c r="AE42" i="94"/>
  <c r="CI42" i="94"/>
  <c r="BH42" i="94"/>
  <c r="FS42" i="94"/>
  <c r="FR46" i="94"/>
  <c r="FR45" i="94"/>
  <c r="T161" i="1"/>
  <c r="Y155" i="1" s="1"/>
  <c r="T160" i="1"/>
  <c r="Y154" i="1" s="1"/>
  <c r="T158" i="1"/>
  <c r="Y152" i="1" s="1"/>
  <c r="T159" i="1"/>
  <c r="Y153" i="1" s="1"/>
  <c r="T157" i="1"/>
  <c r="Y151" i="1" s="1"/>
  <c r="T71" i="1"/>
  <c r="Y65" i="1" s="1"/>
  <c r="P161" i="1"/>
  <c r="M161" i="1"/>
  <c r="P164" i="1"/>
  <c r="M164" i="1"/>
  <c r="M172" i="1"/>
  <c r="O166" i="1"/>
  <c r="M167" i="1"/>
  <c r="X172" i="1"/>
  <c r="Q172" i="1"/>
  <c r="N161" i="1"/>
  <c r="N160" i="1"/>
  <c r="Q160" i="1"/>
  <c r="AA167" i="1"/>
  <c r="Q157" i="1"/>
  <c r="P166" i="1"/>
  <c r="X165" i="1"/>
  <c r="W167" i="1"/>
  <c r="W164" i="1"/>
  <c r="P158" i="1"/>
  <c r="P155" i="1"/>
  <c r="N172" i="1"/>
  <c r="M158" i="1"/>
  <c r="U164" i="1"/>
  <c r="Q158" i="1"/>
  <c r="Q159" i="1"/>
  <c r="AA164" i="1"/>
  <c r="O157" i="1"/>
  <c r="V172" i="1"/>
  <c r="U167" i="1"/>
  <c r="N159" i="1"/>
  <c r="V167" i="1"/>
  <c r="V164" i="1"/>
  <c r="AA172" i="1"/>
  <c r="O165" i="1"/>
  <c r="P160" i="1"/>
  <c r="P165" i="1"/>
  <c r="Q165" i="1"/>
  <c r="U163" i="1"/>
  <c r="P159" i="1"/>
  <c r="N165" i="1"/>
  <c r="O172" i="1"/>
  <c r="X166" i="1"/>
  <c r="X164" i="1"/>
  <c r="V163" i="1"/>
  <c r="O158" i="1"/>
  <c r="Q164" i="1"/>
  <c r="O160" i="1"/>
  <c r="W166" i="1"/>
  <c r="X163" i="1"/>
  <c r="W163" i="1"/>
  <c r="O159" i="1"/>
  <c r="AA166" i="1"/>
  <c r="O167" i="1"/>
  <c r="N166" i="1"/>
  <c r="Q167" i="1"/>
  <c r="V165" i="1"/>
  <c r="AA163" i="1"/>
  <c r="X167" i="1"/>
  <c r="O164" i="1"/>
  <c r="N167" i="1"/>
  <c r="W165" i="1"/>
  <c r="P157" i="1"/>
  <c r="N164" i="1"/>
  <c r="M160" i="1"/>
  <c r="Q161" i="1"/>
  <c r="P172" i="1"/>
  <c r="M159" i="1"/>
  <c r="V166" i="1"/>
  <c r="Q166" i="1"/>
  <c r="O161" i="1"/>
  <c r="U172" i="1"/>
  <c r="M157" i="1"/>
  <c r="M165" i="1"/>
  <c r="U165" i="1"/>
  <c r="P167" i="1"/>
  <c r="N158" i="1"/>
  <c r="M166" i="1"/>
  <c r="AA165" i="1"/>
  <c r="N157" i="1"/>
  <c r="U166" i="1"/>
  <c r="W172" i="1"/>
  <c r="AD158" i="1" l="1"/>
  <c r="AD161" i="1"/>
  <c r="AD172" i="1"/>
  <c r="AD167" i="1"/>
  <c r="AD164" i="1"/>
  <c r="AD166" i="1"/>
  <c r="AD157" i="1"/>
  <c r="AD159" i="1"/>
  <c r="AD165" i="1"/>
  <c r="AD160" i="1"/>
  <c r="Y158" i="1"/>
  <c r="T170" i="1"/>
  <c r="Y173" i="1"/>
  <c r="AC165" i="1"/>
  <c r="AC166" i="1"/>
  <c r="AC167" i="1"/>
  <c r="AC164" i="1"/>
  <c r="T171" i="1"/>
  <c r="T165" i="1"/>
  <c r="Y159" i="1" s="1"/>
  <c r="Y161" i="1"/>
  <c r="T169" i="1"/>
  <c r="Y168" i="1"/>
  <c r="T166" i="1"/>
  <c r="Y160" i="1" s="1"/>
  <c r="AC157" i="1"/>
  <c r="AC161" i="1"/>
  <c r="AC160" i="1"/>
  <c r="AC158" i="1"/>
  <c r="AC159" i="1"/>
  <c r="AC172" i="1"/>
  <c r="T173" i="1"/>
  <c r="T172" i="1"/>
  <c r="Y166" i="1" s="1"/>
  <c r="AF42" i="94"/>
  <c r="CJ42" i="94"/>
  <c r="BI42" i="94"/>
  <c r="FS46" i="94"/>
  <c r="FS45" i="94"/>
  <c r="FT42" i="94"/>
  <c r="T163" i="1"/>
  <c r="Y157" i="1" s="1"/>
  <c r="T74" i="1"/>
  <c r="Y68" i="1" s="1"/>
  <c r="AA170" i="1"/>
  <c r="AA169" i="1"/>
  <c r="W173" i="1"/>
  <c r="V173" i="1"/>
  <c r="N163" i="1"/>
  <c r="O170" i="1"/>
  <c r="M169" i="1"/>
  <c r="P173" i="1"/>
  <c r="N171" i="1"/>
  <c r="AA173" i="1"/>
  <c r="V171" i="1"/>
  <c r="U171" i="1"/>
  <c r="O171" i="1"/>
  <c r="U169" i="1"/>
  <c r="P169" i="1"/>
  <c r="X173" i="1"/>
  <c r="X170" i="1"/>
  <c r="AA171" i="1"/>
  <c r="X169" i="1"/>
  <c r="N169" i="1"/>
  <c r="X171" i="1"/>
  <c r="U170" i="1"/>
  <c r="U173" i="1"/>
  <c r="W170" i="1"/>
  <c r="Q173" i="1"/>
  <c r="M170" i="1"/>
  <c r="O163" i="1"/>
  <c r="P170" i="1"/>
  <c r="M173" i="1"/>
  <c r="W169" i="1"/>
  <c r="N170" i="1"/>
  <c r="O169" i="1"/>
  <c r="Q163" i="1"/>
  <c r="V169" i="1"/>
  <c r="P163" i="1"/>
  <c r="M163" i="1"/>
  <c r="V170" i="1"/>
  <c r="M171" i="1"/>
  <c r="N173" i="1"/>
  <c r="Q169" i="1"/>
  <c r="Q171" i="1"/>
  <c r="P171" i="1"/>
  <c r="W171" i="1"/>
  <c r="AD163" i="1" l="1"/>
  <c r="AD169" i="1"/>
  <c r="AD171" i="1"/>
  <c r="AD173" i="1"/>
  <c r="AD170" i="1"/>
  <c r="Y164" i="1"/>
  <c r="Y174" i="1"/>
  <c r="AC173" i="1"/>
  <c r="Y167" i="1"/>
  <c r="Y171" i="1"/>
  <c r="AC170" i="1"/>
  <c r="Y172" i="1"/>
  <c r="AC171" i="1"/>
  <c r="Y170" i="1"/>
  <c r="AC169" i="1"/>
  <c r="Y163" i="1"/>
  <c r="Y165" i="1"/>
  <c r="AC163" i="1"/>
  <c r="AG42" i="94"/>
  <c r="FT46" i="94"/>
  <c r="FU42" i="94"/>
  <c r="FT45" i="94"/>
  <c r="CK42" i="94"/>
  <c r="T77" i="1"/>
  <c r="Y71" i="1" s="1"/>
  <c r="Q170" i="1"/>
  <c r="O173" i="1"/>
  <c r="Y169" i="1" l="1"/>
  <c r="FU46" i="94"/>
  <c r="FU45" i="94"/>
  <c r="S45" i="1"/>
  <c r="S44" i="1"/>
  <c r="S75" i="1"/>
  <c r="S52" i="1"/>
  <c r="S47" i="1"/>
  <c r="S74" i="1"/>
  <c r="S60" i="1"/>
  <c r="S63" i="1"/>
  <c r="S40" i="1"/>
  <c r="S48" i="1"/>
  <c r="S50" i="1"/>
  <c r="S67" i="1"/>
  <c r="S58" i="1"/>
  <c r="S39" i="1"/>
  <c r="S55" i="1"/>
  <c r="S68" i="1"/>
  <c r="S77" i="1"/>
  <c r="S38" i="1"/>
  <c r="S53" i="1"/>
  <c r="S43" i="1"/>
  <c r="S49" i="1"/>
  <c r="S41" i="1"/>
  <c r="S70" i="1"/>
  <c r="S66" i="1"/>
  <c r="S46" i="1"/>
  <c r="S64" i="1"/>
  <c r="S54" i="1"/>
  <c r="S56" i="1"/>
  <c r="S76" i="1"/>
  <c r="S72" i="1"/>
  <c r="S57" i="1"/>
  <c r="S51" i="1"/>
  <c r="S69" i="1"/>
  <c r="S78" i="1"/>
  <c r="S65" i="1"/>
  <c r="S73" i="1"/>
  <c r="S71" i="1"/>
  <c r="S42" i="1"/>
  <c r="S62" i="1"/>
  <c r="S61" i="1"/>
  <c r="S59" i="1"/>
  <c r="O98" i="1"/>
  <c r="X85" i="1"/>
  <c r="X127" i="1"/>
  <c r="Q98" i="1"/>
  <c r="W37" i="1"/>
  <c r="W109" i="1"/>
  <c r="M98" i="1"/>
  <c r="X37" i="1"/>
  <c r="W127" i="1"/>
  <c r="W85" i="1"/>
  <c r="X109" i="1"/>
  <c r="AC98" i="1" l="1"/>
  <c r="O99" i="1"/>
  <c r="N98" i="1"/>
  <c r="P99" i="1"/>
  <c r="Q99" i="1"/>
  <c r="P98" i="1"/>
  <c r="M99" i="1"/>
  <c r="N99" i="1"/>
  <c r="AD98" i="1" l="1"/>
  <c r="AD99" i="1"/>
  <c r="AC99" i="1"/>
  <c r="N100" i="1"/>
  <c r="M100" i="1"/>
  <c r="Q100" i="1"/>
  <c r="O100" i="1"/>
  <c r="P100" i="1"/>
  <c r="AD100" i="1" l="1"/>
  <c r="AC100" i="1"/>
  <c r="N101" i="1"/>
  <c r="O101" i="1"/>
  <c r="Q101" i="1"/>
  <c r="P101" i="1"/>
  <c r="M101" i="1"/>
  <c r="AD101" i="1" l="1"/>
  <c r="AC101" i="1"/>
  <c r="M102" i="1"/>
  <c r="P102" i="1"/>
  <c r="Q102" i="1"/>
  <c r="O102" i="1"/>
  <c r="N102" i="1"/>
  <c r="AD102" i="1" l="1"/>
  <c r="AC102" i="1"/>
  <c r="O103" i="1"/>
  <c r="M103" i="1"/>
  <c r="P103" i="1"/>
  <c r="N103" i="1"/>
  <c r="Q103" i="1"/>
  <c r="AD103" i="1" l="1"/>
  <c r="AC103" i="1"/>
  <c r="Y98" i="1" l="1"/>
  <c r="AA120" i="1"/>
  <c r="AA119" i="1"/>
  <c r="O120" i="1"/>
  <c r="P121" i="1"/>
  <c r="AA121" i="1"/>
  <c r="U46" i="1"/>
  <c r="Q116" i="1"/>
  <c r="V117" i="1"/>
  <c r="AA117" i="1"/>
  <c r="U121" i="1"/>
  <c r="U118" i="1"/>
  <c r="O121" i="1"/>
  <c r="O117" i="1"/>
  <c r="N117" i="1"/>
  <c r="Q120" i="1"/>
  <c r="M120" i="1"/>
  <c r="M117" i="1"/>
  <c r="O119" i="1"/>
  <c r="V119" i="1"/>
  <c r="N116" i="1"/>
  <c r="Q121" i="1"/>
  <c r="V46" i="1"/>
  <c r="P46" i="1"/>
  <c r="P117" i="1"/>
  <c r="N46" i="1"/>
  <c r="Q118" i="1"/>
  <c r="N121" i="1"/>
  <c r="V121" i="1"/>
  <c r="M121" i="1"/>
  <c r="AA118" i="1"/>
  <c r="V120" i="1"/>
  <c r="M119" i="1"/>
  <c r="N118" i="1"/>
  <c r="P120" i="1"/>
  <c r="P118" i="1"/>
  <c r="M46" i="1"/>
  <c r="O46" i="1"/>
  <c r="N119" i="1"/>
  <c r="AA46" i="1"/>
  <c r="U119" i="1"/>
  <c r="U117" i="1"/>
  <c r="Q46" i="1"/>
  <c r="V116" i="1"/>
  <c r="M116" i="1"/>
  <c r="U120" i="1"/>
  <c r="AA116" i="1"/>
  <c r="O118" i="1"/>
  <c r="U116" i="1"/>
  <c r="V118" i="1"/>
  <c r="P119" i="1"/>
  <c r="N120" i="1"/>
  <c r="O116" i="1"/>
  <c r="P116" i="1"/>
  <c r="AD46" i="1" l="1"/>
  <c r="AD118" i="1"/>
  <c r="AD116" i="1"/>
  <c r="AD117" i="1"/>
  <c r="AD120" i="1"/>
  <c r="AD119" i="1"/>
  <c r="AD121" i="1"/>
  <c r="Y114" i="1"/>
  <c r="Y110" i="1"/>
  <c r="Y113" i="1"/>
  <c r="Y112" i="1"/>
  <c r="Y38" i="1"/>
  <c r="Y47" i="1"/>
  <c r="Y115" i="1"/>
  <c r="Y122" i="1"/>
  <c r="Y111" i="1"/>
  <c r="AC120" i="1"/>
  <c r="AC121" i="1"/>
  <c r="AC119" i="1"/>
  <c r="AC117" i="1"/>
  <c r="AC46" i="1"/>
  <c r="AC118" i="1"/>
  <c r="AC116" i="1"/>
  <c r="Q117" i="1"/>
  <c r="Q119" i="1"/>
  <c r="M118" i="1"/>
  <c r="AK192" i="94" l="1"/>
  <c r="AK176" i="94"/>
  <c r="AK191" i="94"/>
  <c r="AL191" i="94" l="1"/>
  <c r="AL192" i="94"/>
  <c r="AL176" i="94"/>
  <c r="AM191" i="94" l="1"/>
  <c r="AM176" i="94"/>
  <c r="AM192" i="94"/>
  <c r="AN176" i="94"/>
  <c r="AN192" i="94" l="1"/>
  <c r="AN191" i="94"/>
  <c r="AO192" i="94" l="1"/>
  <c r="AO176" i="94"/>
  <c r="AO191" i="94"/>
  <c r="AP191" i="94" l="1"/>
  <c r="AP192" i="94"/>
  <c r="BA176" i="94" l="1"/>
  <c r="BB192" i="94"/>
  <c r="BD191" i="94"/>
  <c r="BG192" i="94"/>
  <c r="BD192" i="94"/>
  <c r="BD176" i="94"/>
  <c r="BC192" i="94"/>
  <c r="AT191" i="94"/>
  <c r="BG191" i="94"/>
  <c r="BH191" i="94"/>
  <c r="AQ176" i="94"/>
  <c r="BB176" i="94"/>
  <c r="AQ192" i="94"/>
  <c r="AT176" i="94"/>
  <c r="AS192" i="94"/>
  <c r="AZ191" i="94"/>
  <c r="AX176" i="94"/>
  <c r="AV191" i="94"/>
  <c r="BF192" i="94"/>
  <c r="BA192" i="94"/>
  <c r="BF191" i="94"/>
  <c r="AZ192" i="94"/>
  <c r="AP176" i="94"/>
  <c r="AV192" i="94"/>
  <c r="BC191" i="94"/>
  <c r="BE176" i="94"/>
  <c r="BI192" i="94"/>
  <c r="AR191" i="94"/>
  <c r="BI191" i="94"/>
  <c r="BF176" i="94"/>
  <c r="BH176" i="94"/>
  <c r="BE191" i="94"/>
  <c r="AW191" i="94"/>
  <c r="BH192" i="94"/>
  <c r="AY176" i="94"/>
  <c r="AW176" i="94"/>
  <c r="AY192" i="94"/>
  <c r="BB191" i="94"/>
  <c r="AX191" i="94"/>
  <c r="AZ176" i="94"/>
  <c r="AU191" i="94"/>
  <c r="AS191" i="94"/>
  <c r="BC176" i="94"/>
  <c r="AV176" i="94"/>
  <c r="BG176" i="94"/>
  <c r="AS176" i="94"/>
  <c r="AU176" i="94"/>
  <c r="BE192" i="94"/>
  <c r="AQ191" i="94"/>
  <c r="BA191" i="94"/>
  <c r="AT192" i="94"/>
  <c r="AY191" i="94"/>
  <c r="AR192" i="94"/>
  <c r="AX192" i="94"/>
  <c r="BI176" i="94"/>
  <c r="AR176" i="94"/>
  <c r="AU192" i="94"/>
  <c r="AW192" i="94"/>
  <c r="AJ173" i="94" l="1"/>
  <c r="AJ189" i="94" l="1"/>
  <c r="AJ190" i="94"/>
  <c r="AJ174" i="94"/>
  <c r="AJ175" i="94"/>
  <c r="AJ179" i="94"/>
  <c r="AJ178" i="94" s="1"/>
  <c r="AJ180" i="94"/>
  <c r="AJ181" i="94"/>
  <c r="AJ182" i="94"/>
  <c r="AJ183" i="94"/>
  <c r="AJ177" i="94" s="1"/>
  <c r="AJ184" i="94"/>
  <c r="AJ185" i="94"/>
  <c r="AJ186" i="94"/>
  <c r="AJ188" i="94"/>
  <c r="AJ187" i="94" s="1"/>
  <c r="AK173" i="94" l="1"/>
  <c r="AK174" i="94"/>
  <c r="AK183" i="94"/>
  <c r="AK177" i="94" s="1"/>
  <c r="AK175" i="94"/>
  <c r="AK188" i="94"/>
  <c r="AK187" i="94" s="1"/>
  <c r="AK184" i="94"/>
  <c r="AK182" i="94"/>
  <c r="AK185" i="94"/>
  <c r="AK190" i="94"/>
  <c r="AK186" i="94"/>
  <c r="AK179" i="94"/>
  <c r="AK178" i="94" s="1"/>
  <c r="AK181" i="94"/>
  <c r="AK180" i="94"/>
  <c r="AK189" i="94"/>
  <c r="AL173" i="94" l="1"/>
  <c r="AL174" i="94"/>
  <c r="AL183" i="94"/>
  <c r="AL177" i="94" s="1"/>
  <c r="AL188" i="94"/>
  <c r="AL187" i="94" s="1"/>
  <c r="AL175" i="94"/>
  <c r="AL184" i="94"/>
  <c r="AL180" i="94"/>
  <c r="AL186" i="94"/>
  <c r="AL182" i="94"/>
  <c r="AL190" i="94"/>
  <c r="AL185" i="94"/>
  <c r="AL179" i="94"/>
  <c r="AL178" i="94" s="1"/>
  <c r="AL181" i="94"/>
  <c r="AL189" i="94"/>
  <c r="AM173" i="94" l="1"/>
  <c r="AM182" i="94"/>
  <c r="AM174" i="94"/>
  <c r="AM183" i="94"/>
  <c r="AM177" i="94" s="1"/>
  <c r="AM175" i="94"/>
  <c r="AM180" i="94"/>
  <c r="AM186" i="94"/>
  <c r="AM190" i="94"/>
  <c r="AM188" i="94"/>
  <c r="AM187" i="94" s="1"/>
  <c r="AM185" i="94"/>
  <c r="AM184" i="94"/>
  <c r="AM179" i="94"/>
  <c r="AM178" i="94" s="1"/>
  <c r="AM181" i="94"/>
  <c r="AM189" i="94"/>
  <c r="AN173" i="94" l="1"/>
  <c r="AN182" i="94"/>
  <c r="AN174" i="94"/>
  <c r="AN183" i="94"/>
  <c r="AN177" i="94" s="1"/>
  <c r="AN184" i="94"/>
  <c r="AN175" i="94"/>
  <c r="AN180" i="94"/>
  <c r="AN186" i="94"/>
  <c r="AN190" i="94"/>
  <c r="AN189" i="94"/>
  <c r="AN188" i="94"/>
  <c r="AN187" i="94" s="1"/>
  <c r="AN185" i="94"/>
  <c r="AN179" i="94"/>
  <c r="AN178" i="94" s="1"/>
  <c r="AN181" i="94"/>
  <c r="AO173" i="94" l="1"/>
  <c r="AO181" i="94"/>
  <c r="AO182" i="94"/>
  <c r="AO184" i="94"/>
  <c r="AO180" i="94"/>
  <c r="AO186" i="94"/>
  <c r="AO175" i="94"/>
  <c r="AO188" i="94"/>
  <c r="AO187" i="94" s="1"/>
  <c r="AO189" i="94"/>
  <c r="AO190" i="94"/>
  <c r="AO183" i="94"/>
  <c r="AO177" i="94" s="1"/>
  <c r="AO185" i="94"/>
  <c r="AO174" i="94"/>
  <c r="AO179" i="94"/>
  <c r="AO178" i="94" s="1"/>
  <c r="AP173" i="94" l="1"/>
  <c r="AP181" i="94"/>
  <c r="AP182" i="94"/>
  <c r="AP189" i="94"/>
  <c r="AP175" i="94"/>
  <c r="AP184" i="94"/>
  <c r="AP186" i="94"/>
  <c r="AP180" i="94"/>
  <c r="AP188" i="94"/>
  <c r="AP187" i="94" s="1"/>
  <c r="AP190" i="94"/>
  <c r="AP183" i="94"/>
  <c r="AP177" i="94" s="1"/>
  <c r="AP174" i="94"/>
  <c r="AP185" i="94"/>
  <c r="AP179" i="94"/>
  <c r="AP178" i="94" s="1"/>
  <c r="AQ173" i="94" l="1"/>
  <c r="AQ190" i="94"/>
  <c r="AQ180" i="94"/>
  <c r="AQ186" i="94"/>
  <c r="AQ181" i="94"/>
  <c r="AQ189" i="94"/>
  <c r="AQ184" i="94"/>
  <c r="AQ175" i="94"/>
  <c r="AQ182" i="94"/>
  <c r="AQ185" i="94"/>
  <c r="AQ188" i="94"/>
  <c r="AQ187" i="94" s="1"/>
  <c r="AQ183" i="94"/>
  <c r="AQ177" i="94" s="1"/>
  <c r="AQ179" i="94"/>
  <c r="AQ178" i="94" s="1"/>
  <c r="AQ174" i="94"/>
  <c r="AR173" i="94" l="1"/>
  <c r="AR190" i="94"/>
  <c r="AR180" i="94"/>
  <c r="AR186" i="94"/>
  <c r="AR179" i="94"/>
  <c r="AR178" i="94" s="1"/>
  <c r="AR174" i="94"/>
  <c r="AR182" i="94"/>
  <c r="AR189" i="94"/>
  <c r="AR184" i="94"/>
  <c r="AR175" i="94"/>
  <c r="AR188" i="94"/>
  <c r="AR187" i="94" s="1"/>
  <c r="AR185" i="94"/>
  <c r="AR181" i="94"/>
  <c r="AR183" i="94"/>
  <c r="AR177" i="94" s="1"/>
  <c r="AS173" i="94" l="1"/>
  <c r="AS189" i="94"/>
  <c r="AS179" i="94"/>
  <c r="AS178" i="94" s="1"/>
  <c r="AS185" i="94"/>
  <c r="AS186" i="94"/>
  <c r="AS190" i="94"/>
  <c r="AS180" i="94"/>
  <c r="AS182" i="94"/>
  <c r="AS184" i="94"/>
  <c r="AS174" i="94"/>
  <c r="AS175" i="94"/>
  <c r="AS181" i="94"/>
  <c r="AS183" i="94"/>
  <c r="AS177" i="94" s="1"/>
  <c r="AS188" i="94"/>
  <c r="AS187" i="94" s="1"/>
  <c r="AT173" i="94" l="1"/>
  <c r="AT189" i="94"/>
  <c r="AT179" i="94"/>
  <c r="AT178" i="94" s="1"/>
  <c r="AT185" i="94"/>
  <c r="AT190" i="94"/>
  <c r="AT180" i="94"/>
  <c r="AT174" i="94"/>
  <c r="AT183" i="94"/>
  <c r="AT177" i="94" s="1"/>
  <c r="AT181" i="94"/>
  <c r="AT186" i="94"/>
  <c r="AT182" i="94"/>
  <c r="AT184" i="94"/>
  <c r="AT175" i="94"/>
  <c r="AT188" i="94"/>
  <c r="AT187" i="94" s="1"/>
  <c r="AU173" i="94" l="1"/>
  <c r="AU188" i="94"/>
  <c r="AU187" i="94" s="1"/>
  <c r="AU175" i="94"/>
  <c r="AU184" i="94"/>
  <c r="AU185" i="94"/>
  <c r="AU189" i="94"/>
  <c r="AU179" i="94"/>
  <c r="AU178" i="94" s="1"/>
  <c r="AU181" i="94"/>
  <c r="AU183" i="94"/>
  <c r="AU177" i="94" s="1"/>
  <c r="AU174" i="94"/>
  <c r="AU186" i="94"/>
  <c r="AU182" i="94"/>
  <c r="AU180" i="94"/>
  <c r="AU190" i="94"/>
  <c r="AV173" i="94" l="1"/>
  <c r="AV175" i="94"/>
  <c r="AV184" i="94"/>
  <c r="AV185" i="94"/>
  <c r="AV188" i="94"/>
  <c r="AV187" i="94" s="1"/>
  <c r="AV189" i="94"/>
  <c r="AV179" i="94"/>
  <c r="AV178" i="94" s="1"/>
  <c r="AV181" i="94"/>
  <c r="AV183" i="94"/>
  <c r="AV177" i="94" s="1"/>
  <c r="AV174" i="94"/>
  <c r="AV180" i="94"/>
  <c r="AV182" i="94"/>
  <c r="AV186" i="94"/>
  <c r="AV190" i="94"/>
  <c r="AW173" i="94" l="1"/>
  <c r="AW174" i="94"/>
  <c r="AW183" i="94"/>
  <c r="AW177" i="94" s="1"/>
  <c r="AW184" i="94"/>
  <c r="AW188" i="94"/>
  <c r="AW187" i="94" s="1"/>
  <c r="AW175" i="94"/>
  <c r="AW185" i="94"/>
  <c r="AW179" i="94"/>
  <c r="AW178" i="94" s="1"/>
  <c r="AW181" i="94"/>
  <c r="AW189" i="94"/>
  <c r="AW180" i="94"/>
  <c r="AW182" i="94"/>
  <c r="AW186" i="94"/>
  <c r="AW190" i="94"/>
  <c r="AX173" i="94" l="1"/>
  <c r="AX174" i="94"/>
  <c r="AX183" i="94"/>
  <c r="AX177" i="94" s="1"/>
  <c r="AX184" i="94"/>
  <c r="AX188" i="94"/>
  <c r="AX187" i="94" s="1"/>
  <c r="AX175" i="94"/>
  <c r="AX189" i="94"/>
  <c r="AX185" i="94"/>
  <c r="AX179" i="94"/>
  <c r="AX178" i="94" s="1"/>
  <c r="AX181" i="94"/>
  <c r="AX190" i="94"/>
  <c r="AX180" i="94"/>
  <c r="AX182" i="94"/>
  <c r="AX186" i="94"/>
  <c r="AY173" i="94" l="1"/>
  <c r="AY182" i="94"/>
  <c r="AY183" i="94"/>
  <c r="AY177" i="94" s="1"/>
  <c r="AY174" i="94"/>
  <c r="AY186" i="94"/>
  <c r="AY190" i="94"/>
  <c r="AY185" i="94"/>
  <c r="AY179" i="94"/>
  <c r="AY178" i="94" s="1"/>
  <c r="AY181" i="94"/>
  <c r="AY189" i="94"/>
  <c r="AY188" i="94"/>
  <c r="AY187" i="94" s="1"/>
  <c r="AY184" i="94"/>
  <c r="AY175" i="94"/>
  <c r="AY180" i="94"/>
  <c r="AZ173" i="94" l="1"/>
  <c r="AZ182" i="94"/>
  <c r="AZ183" i="94"/>
  <c r="AZ177" i="94" s="1"/>
  <c r="AZ174" i="94"/>
  <c r="AZ190" i="94"/>
  <c r="AZ179" i="94"/>
  <c r="AZ178" i="94" s="1"/>
  <c r="AZ184" i="94"/>
  <c r="AZ185" i="94"/>
  <c r="AZ186" i="94"/>
  <c r="AZ181" i="94"/>
  <c r="AZ189" i="94"/>
  <c r="AZ180" i="94"/>
  <c r="AZ188" i="94"/>
  <c r="AZ187" i="94" s="1"/>
  <c r="AZ175" i="94"/>
  <c r="BA173" i="94" l="1"/>
  <c r="BA181" i="94"/>
  <c r="BA182" i="94"/>
  <c r="BA188" i="94"/>
  <c r="BA187" i="94" s="1"/>
  <c r="BA186" i="94"/>
  <c r="BA190" i="94"/>
  <c r="BA183" i="94"/>
  <c r="BA177" i="94" s="1"/>
  <c r="BA174" i="94"/>
  <c r="BA185" i="94"/>
  <c r="BA179" i="94"/>
  <c r="BA178" i="94" s="1"/>
  <c r="BA175" i="94"/>
  <c r="BA180" i="94"/>
  <c r="BA189" i="94"/>
  <c r="BA184" i="94"/>
  <c r="BB173" i="94" l="1"/>
  <c r="BB181" i="94"/>
  <c r="BB182" i="94"/>
  <c r="BB180" i="94"/>
  <c r="BB174" i="94"/>
  <c r="BB184" i="94"/>
  <c r="BB188" i="94"/>
  <c r="BB187" i="94" s="1"/>
  <c r="BB186" i="94"/>
  <c r="BB175" i="94"/>
  <c r="BB190" i="94"/>
  <c r="BB183" i="94"/>
  <c r="BB177" i="94" s="1"/>
  <c r="BB185" i="94"/>
  <c r="BB179" i="94"/>
  <c r="BB178" i="94" s="1"/>
  <c r="BB189" i="94"/>
  <c r="BC173" i="94" l="1"/>
  <c r="BC190" i="94"/>
  <c r="BC180" i="94"/>
  <c r="BC186" i="94"/>
  <c r="BC181" i="94"/>
  <c r="BC175" i="94"/>
  <c r="BC183" i="94"/>
  <c r="BC177" i="94" s="1"/>
  <c r="BC188" i="94"/>
  <c r="BC187" i="94" s="1"/>
  <c r="BC185" i="94"/>
  <c r="BC174" i="94"/>
  <c r="BC182" i="94"/>
  <c r="BC184" i="94"/>
  <c r="BC179" i="94"/>
  <c r="BC178" i="94" s="1"/>
  <c r="BC189" i="94"/>
  <c r="BD173" i="94" l="1"/>
  <c r="BD190" i="94"/>
  <c r="BD180" i="94"/>
  <c r="BD186" i="94"/>
  <c r="BD181" i="94"/>
  <c r="BD184" i="94"/>
  <c r="BD175" i="94"/>
  <c r="BD188" i="94"/>
  <c r="BD187" i="94" s="1"/>
  <c r="BD189" i="94"/>
  <c r="BD182" i="94"/>
  <c r="BD183" i="94"/>
  <c r="BD177" i="94" s="1"/>
  <c r="BD174" i="94"/>
  <c r="BD185" i="94"/>
  <c r="BD179" i="94"/>
  <c r="BD178" i="94" s="1"/>
  <c r="BE173" i="94" l="1"/>
  <c r="BE189" i="94"/>
  <c r="BE179" i="94"/>
  <c r="BE178" i="94" s="1"/>
  <c r="BE185" i="94"/>
  <c r="BE180" i="94"/>
  <c r="BE190" i="94"/>
  <c r="BE186" i="94"/>
  <c r="BE182" i="94"/>
  <c r="BE184" i="94"/>
  <c r="BE188" i="94"/>
  <c r="BE187" i="94" s="1"/>
  <c r="BE175" i="94"/>
  <c r="BE183" i="94"/>
  <c r="BE177" i="94" s="1"/>
  <c r="BE181" i="94"/>
  <c r="BE174" i="94"/>
  <c r="BF173" i="94" l="1"/>
  <c r="BF189" i="94"/>
  <c r="BF179" i="94"/>
  <c r="BF178" i="94" s="1"/>
  <c r="BF185" i="94"/>
  <c r="BF190" i="94"/>
  <c r="BF180" i="94"/>
  <c r="BF182" i="94"/>
  <c r="BF184" i="94"/>
  <c r="BF186" i="94"/>
  <c r="BF175" i="94"/>
  <c r="BF188" i="94"/>
  <c r="BF187" i="94" s="1"/>
  <c r="BF181" i="94"/>
  <c r="BF183" i="94"/>
  <c r="BF177" i="94" s="1"/>
  <c r="BF174" i="94"/>
  <c r="BG173" i="94" l="1"/>
  <c r="BG188" i="94"/>
  <c r="BG187" i="94" s="1"/>
  <c r="BG175" i="94"/>
  <c r="BG184" i="94"/>
  <c r="BG179" i="94"/>
  <c r="BG178" i="94" s="1"/>
  <c r="BG189" i="94"/>
  <c r="BG185" i="94"/>
  <c r="BG180" i="94"/>
  <c r="BG182" i="94"/>
  <c r="BG190" i="94"/>
  <c r="BG186" i="94"/>
  <c r="BG181" i="94"/>
  <c r="BG183" i="94"/>
  <c r="BG177" i="94" s="1"/>
  <c r="BG174" i="94"/>
  <c r="BH173" i="94" l="1"/>
  <c r="BH188" i="94"/>
  <c r="BH187" i="94" s="1"/>
  <c r="BH175" i="94"/>
  <c r="BH184" i="94"/>
  <c r="BH189" i="94"/>
  <c r="BH179" i="94"/>
  <c r="BH178" i="94" s="1"/>
  <c r="BH190" i="94"/>
  <c r="BH186" i="94"/>
  <c r="BH185" i="94"/>
  <c r="BH180" i="94"/>
  <c r="BH182" i="94"/>
  <c r="BH174" i="94"/>
  <c r="BH181" i="94"/>
  <c r="BH183" i="94"/>
  <c r="BH177" i="94" s="1"/>
  <c r="BI173" i="94" l="1"/>
  <c r="BI174" i="94"/>
  <c r="BI183" i="94"/>
  <c r="BI177" i="94" s="1"/>
  <c r="BI175" i="94"/>
  <c r="BI188" i="94"/>
  <c r="BI187" i="94" s="1"/>
  <c r="BI184" i="94"/>
  <c r="BI186" i="94"/>
  <c r="BI189" i="94"/>
  <c r="BI180" i="94"/>
  <c r="BI182" i="94"/>
  <c r="BI190" i="94"/>
  <c r="BI181" i="94"/>
  <c r="BI179" i="94"/>
  <c r="BI178" i="94" s="1"/>
  <c r="BI185" i="94"/>
  <c r="X192" i="94" l="1"/>
  <c r="AF172" i="94"/>
  <c r="AE191" i="94"/>
  <c r="W156" i="94"/>
  <c r="BA106" i="94"/>
  <c r="BG107" i="94"/>
  <c r="Z189" i="94"/>
  <c r="I151" i="94"/>
  <c r="AD151" i="94"/>
  <c r="AF159" i="94"/>
  <c r="AD186" i="94"/>
  <c r="U153" i="94"/>
  <c r="T145" i="94"/>
  <c r="Q145" i="94"/>
  <c r="K175" i="94"/>
  <c r="BI109" i="94"/>
  <c r="I189" i="94"/>
  <c r="T190" i="94"/>
  <c r="O160" i="94"/>
  <c r="Z153" i="94"/>
  <c r="Z173" i="94"/>
  <c r="Z165" i="94"/>
  <c r="BH107" i="94"/>
  <c r="BC111" i="94"/>
  <c r="BC229" i="94" s="1"/>
  <c r="AS97" i="94"/>
  <c r="AU90" i="94"/>
  <c r="AA162" i="94"/>
  <c r="AG150" i="94"/>
  <c r="X165" i="94"/>
  <c r="X163" i="94"/>
  <c r="AX90" i="94"/>
  <c r="N146" i="94"/>
  <c r="S156" i="94"/>
  <c r="AD140" i="94"/>
  <c r="L176" i="94"/>
  <c r="J142" i="94"/>
  <c r="AG162" i="94"/>
  <c r="BA89" i="94"/>
  <c r="AB151" i="94"/>
  <c r="N168" i="94"/>
  <c r="I170" i="94"/>
  <c r="AS119" i="94"/>
  <c r="AS237" i="94" s="1"/>
  <c r="AC141" i="94"/>
  <c r="Z148" i="94"/>
  <c r="AE171" i="94"/>
  <c r="K161" i="94"/>
  <c r="BF127" i="94"/>
  <c r="BF245" i="94" s="1"/>
  <c r="BI95" i="94"/>
  <c r="U161" i="94"/>
  <c r="AE169" i="94"/>
  <c r="Q188" i="94"/>
  <c r="AY129" i="94"/>
  <c r="AY247" i="94" s="1"/>
  <c r="AC169" i="94"/>
  <c r="AF167" i="94"/>
  <c r="AU88" i="94"/>
  <c r="AG176" i="94"/>
  <c r="AA145" i="94"/>
  <c r="AA157" i="94"/>
  <c r="J150" i="94"/>
  <c r="M149" i="94"/>
  <c r="K169" i="94"/>
  <c r="O180" i="94"/>
  <c r="BE129" i="94"/>
  <c r="BE247" i="94" s="1"/>
  <c r="N154" i="94"/>
  <c r="AT78" i="94"/>
  <c r="R147" i="94"/>
  <c r="V170" i="94"/>
  <c r="AU114" i="94"/>
  <c r="AU232" i="94" s="1"/>
  <c r="I157" i="94"/>
  <c r="AZ113" i="94"/>
  <c r="AZ231" i="94" s="1"/>
  <c r="BG127" i="94"/>
  <c r="BG245" i="94" s="1"/>
  <c r="H186" i="94"/>
  <c r="AW107" i="94"/>
  <c r="BI79" i="94"/>
  <c r="AO83" i="94"/>
  <c r="AO91" i="94"/>
  <c r="AE188" i="94"/>
  <c r="M147" i="94"/>
  <c r="AC176" i="94"/>
  <c r="AV119" i="94"/>
  <c r="AV237" i="94" s="1"/>
  <c r="AL125" i="94"/>
  <c r="AL243" i="94" s="1"/>
  <c r="P182" i="94"/>
  <c r="S152" i="94"/>
  <c r="AF151" i="94"/>
  <c r="J164" i="94"/>
  <c r="BC86" i="94"/>
  <c r="BA126" i="94"/>
  <c r="BA244" i="94" s="1"/>
  <c r="T171" i="94"/>
  <c r="Y171" i="94"/>
  <c r="BD99" i="94"/>
  <c r="I181" i="94"/>
  <c r="Z188" i="94"/>
  <c r="X170" i="94"/>
  <c r="AC156" i="94"/>
  <c r="AW130" i="94"/>
  <c r="AW248" i="94" s="1"/>
  <c r="O170" i="94"/>
  <c r="AU126" i="94"/>
  <c r="AU244" i="94" s="1"/>
  <c r="AG181" i="94"/>
  <c r="BD113" i="94"/>
  <c r="BD231" i="94" s="1"/>
  <c r="AE153" i="94"/>
  <c r="V169" i="94"/>
  <c r="S191" i="94"/>
  <c r="T189" i="94"/>
  <c r="AR87" i="94"/>
  <c r="K172" i="94"/>
  <c r="AC164" i="94"/>
  <c r="U162" i="94"/>
  <c r="O183" i="94"/>
  <c r="T152" i="94"/>
  <c r="J170" i="94"/>
  <c r="BA117" i="94"/>
  <c r="BA235" i="94" s="1"/>
  <c r="K151" i="94"/>
  <c r="AA165" i="94"/>
  <c r="V184" i="94"/>
  <c r="T172" i="94"/>
  <c r="K168" i="94"/>
  <c r="AM118" i="94"/>
  <c r="AM236" i="94" s="1"/>
  <c r="J192" i="94"/>
  <c r="BB89" i="94"/>
  <c r="AA185" i="94"/>
  <c r="U142" i="94"/>
  <c r="AK127" i="94"/>
  <c r="AK245" i="94" s="1"/>
  <c r="AE156" i="94"/>
  <c r="Z140" i="94"/>
  <c r="AE165" i="94"/>
  <c r="AT95" i="94"/>
  <c r="U157" i="94"/>
  <c r="AQ112" i="94"/>
  <c r="AQ230" i="94" s="1"/>
  <c r="N145" i="94"/>
  <c r="N183" i="94"/>
  <c r="J162" i="94"/>
  <c r="T180" i="94"/>
  <c r="AF158" i="94"/>
  <c r="AE161" i="94"/>
  <c r="V158" i="94"/>
  <c r="AF166" i="94"/>
  <c r="L164" i="94"/>
  <c r="U155" i="94"/>
  <c r="AW92" i="94"/>
  <c r="AT94" i="94"/>
  <c r="AE190" i="94"/>
  <c r="N148" i="94"/>
  <c r="R184" i="94"/>
  <c r="M188" i="94"/>
  <c r="M167" i="94"/>
  <c r="AE152" i="94"/>
  <c r="AY84" i="94"/>
  <c r="AJ111" i="94"/>
  <c r="AJ229" i="94" s="1"/>
  <c r="BD102" i="94"/>
  <c r="Y147" i="94"/>
  <c r="AK95" i="94"/>
  <c r="Z192" i="94"/>
  <c r="T169" i="94"/>
  <c r="K162" i="94"/>
  <c r="BE113" i="94"/>
  <c r="BE231" i="94" s="1"/>
  <c r="H171" i="94"/>
  <c r="AL94" i="94"/>
  <c r="U140" i="94"/>
  <c r="AA160" i="94"/>
  <c r="AX109" i="94"/>
  <c r="U145" i="94"/>
  <c r="Z150" i="94"/>
  <c r="R191" i="94"/>
  <c r="V162" i="94"/>
  <c r="AS130" i="94"/>
  <c r="AS248" i="94" s="1"/>
  <c r="AP93" i="94"/>
  <c r="BB80" i="94"/>
  <c r="O174" i="94"/>
  <c r="AY127" i="94"/>
  <c r="AY245" i="94" s="1"/>
  <c r="AK90" i="94"/>
  <c r="AN100" i="94"/>
  <c r="BH91" i="94"/>
  <c r="BF80" i="94"/>
  <c r="O175" i="94"/>
  <c r="AO112" i="94"/>
  <c r="AO230" i="94" s="1"/>
  <c r="AG189" i="94"/>
  <c r="AF175" i="94"/>
  <c r="T148" i="94"/>
  <c r="AV106" i="94"/>
  <c r="AE182" i="94"/>
  <c r="AY118" i="94"/>
  <c r="AY236" i="94" s="1"/>
  <c r="BH100" i="94"/>
  <c r="Z180" i="94"/>
  <c r="J188" i="94"/>
  <c r="V163" i="94"/>
  <c r="AD163" i="94"/>
  <c r="V175" i="94"/>
  <c r="P172" i="94"/>
  <c r="T176" i="94"/>
  <c r="K164" i="94"/>
  <c r="J146" i="94"/>
  <c r="K153" i="94"/>
  <c r="BH126" i="94"/>
  <c r="BH244" i="94" s="1"/>
  <c r="P173" i="94"/>
  <c r="L163" i="94"/>
  <c r="BG85" i="94"/>
  <c r="BI113" i="94"/>
  <c r="BI231" i="94" s="1"/>
  <c r="AU79" i="94"/>
  <c r="Q185" i="94"/>
  <c r="BF98" i="94"/>
  <c r="AG190" i="94"/>
  <c r="AP128" i="94"/>
  <c r="AP246" i="94" s="1"/>
  <c r="AF176" i="94"/>
  <c r="H151" i="94"/>
  <c r="H179" i="94"/>
  <c r="AO119" i="94"/>
  <c r="AO237" i="94" s="1"/>
  <c r="W150" i="94"/>
  <c r="L189" i="94"/>
  <c r="T164" i="94"/>
  <c r="S142" i="94"/>
  <c r="W158" i="94"/>
  <c r="AD161" i="94"/>
  <c r="W190" i="94"/>
  <c r="Q149" i="94"/>
  <c r="N172" i="94"/>
  <c r="AN87" i="94"/>
  <c r="I167" i="94"/>
  <c r="AC155" i="94"/>
  <c r="M154" i="94"/>
  <c r="AV118" i="94"/>
  <c r="AV236" i="94" s="1"/>
  <c r="X176" i="94"/>
  <c r="K167" i="94"/>
  <c r="AG151" i="94"/>
  <c r="AB142" i="94"/>
  <c r="X185" i="94"/>
  <c r="Q146" i="94"/>
  <c r="V149" i="94"/>
  <c r="BC101" i="94"/>
  <c r="BE128" i="94"/>
  <c r="BE246" i="94" s="1"/>
  <c r="AE184" i="94"/>
  <c r="R167" i="94"/>
  <c r="Y142" i="94"/>
  <c r="R170" i="94"/>
  <c r="AO116" i="94"/>
  <c r="AO234" i="94" s="1"/>
  <c r="AB149" i="94"/>
  <c r="I142" i="94"/>
  <c r="L147" i="94"/>
  <c r="BA99" i="94"/>
  <c r="I192" i="94"/>
  <c r="AA181" i="94"/>
  <c r="AW99" i="94"/>
  <c r="X158" i="94"/>
  <c r="AB172" i="94"/>
  <c r="J163" i="94"/>
  <c r="T192" i="94"/>
  <c r="S183" i="94"/>
  <c r="BG113" i="94"/>
  <c r="BG231" i="94" s="1"/>
  <c r="AR128" i="94"/>
  <c r="AR246" i="94" s="1"/>
  <c r="H182" i="94"/>
  <c r="BI112" i="94"/>
  <c r="BI230" i="94" s="1"/>
  <c r="L180" i="94"/>
  <c r="K180" i="94"/>
  <c r="AT90" i="94"/>
  <c r="H166" i="94"/>
  <c r="Y148" i="94"/>
  <c r="H192" i="94"/>
  <c r="AA146" i="94"/>
  <c r="AX111" i="94"/>
  <c r="AX229" i="94" s="1"/>
  <c r="X188" i="94"/>
  <c r="N142" i="94"/>
  <c r="BA121" i="94"/>
  <c r="BA239" i="94" s="1"/>
  <c r="V151" i="94"/>
  <c r="AS106" i="94"/>
  <c r="AR100" i="94"/>
  <c r="BD108" i="94"/>
  <c r="AK130" i="94"/>
  <c r="AK248" i="94" s="1"/>
  <c r="Q192" i="94"/>
  <c r="AF186" i="94"/>
  <c r="Y170" i="94"/>
  <c r="AY105" i="94"/>
  <c r="BD92" i="94"/>
  <c r="N189" i="94"/>
  <c r="Z186" i="94"/>
  <c r="Y166" i="94"/>
  <c r="AB173" i="94"/>
  <c r="J145" i="94"/>
  <c r="U156" i="94"/>
  <c r="AG164" i="94"/>
  <c r="AZ84" i="94"/>
  <c r="M192" i="94"/>
  <c r="AE167" i="94"/>
  <c r="Y161" i="94"/>
  <c r="AR109" i="94"/>
  <c r="BF99" i="94"/>
  <c r="BA129" i="94"/>
  <c r="BA247" i="94" s="1"/>
  <c r="AF171" i="94"/>
  <c r="AS88" i="94"/>
  <c r="Y183" i="94"/>
  <c r="AA150" i="94"/>
  <c r="U175" i="94"/>
  <c r="Y167" i="94"/>
  <c r="L153" i="94"/>
  <c r="AF182" i="94"/>
  <c r="AY94" i="94"/>
  <c r="K165" i="94"/>
  <c r="H170" i="94"/>
  <c r="J152" i="94"/>
  <c r="J154" i="94"/>
  <c r="V140" i="94"/>
  <c r="AB146" i="94"/>
  <c r="P160" i="94"/>
  <c r="AZ128" i="94"/>
  <c r="AZ246" i="94" s="1"/>
  <c r="AG170" i="94"/>
  <c r="AA179" i="94"/>
  <c r="S174" i="94"/>
  <c r="AD175" i="94"/>
  <c r="H181" i="94"/>
  <c r="AC158" i="94"/>
  <c r="M161" i="94"/>
  <c r="S151" i="94"/>
  <c r="T184" i="94"/>
  <c r="BA120" i="94"/>
  <c r="BA238" i="94" s="1"/>
  <c r="BE92" i="94"/>
  <c r="AE172" i="94"/>
  <c r="AM90" i="94"/>
  <c r="BI110" i="94"/>
  <c r="X152" i="94"/>
  <c r="AB175" i="94"/>
  <c r="W186" i="94"/>
  <c r="M185" i="94"/>
  <c r="U147" i="94"/>
  <c r="O189" i="94"/>
  <c r="Q189" i="94"/>
  <c r="AD192" i="94"/>
  <c r="AC188" i="94"/>
  <c r="AA191" i="94"/>
  <c r="I155" i="94"/>
  <c r="Y158" i="94"/>
  <c r="N165" i="94"/>
  <c r="N150" i="94"/>
  <c r="O171" i="94"/>
  <c r="BH117" i="94"/>
  <c r="BH235" i="94" s="1"/>
  <c r="S147" i="94"/>
  <c r="J175" i="94"/>
  <c r="S175" i="94"/>
  <c r="BB102" i="94"/>
  <c r="AR108" i="94"/>
  <c r="AD162" i="94"/>
  <c r="T174" i="94"/>
  <c r="T162" i="94"/>
  <c r="Q166" i="94"/>
  <c r="AC181" i="94"/>
  <c r="Y149" i="94"/>
  <c r="S158" i="94"/>
  <c r="X157" i="94"/>
  <c r="V176" i="94"/>
  <c r="AB156" i="94"/>
  <c r="BF100" i="94"/>
  <c r="AB182" i="94"/>
  <c r="M153" i="94"/>
  <c r="AA172" i="94"/>
  <c r="W173" i="94"/>
  <c r="AB168" i="94"/>
  <c r="P142" i="94"/>
  <c r="AN109" i="94"/>
  <c r="U160" i="94"/>
  <c r="BF118" i="94"/>
  <c r="BF236" i="94" s="1"/>
  <c r="S157" i="94"/>
  <c r="I173" i="94"/>
  <c r="BF129" i="94"/>
  <c r="BF247" i="94" s="1"/>
  <c r="AG153" i="94"/>
  <c r="BI119" i="94"/>
  <c r="BI237" i="94" s="1"/>
  <c r="O147" i="94"/>
  <c r="AD171" i="94"/>
  <c r="J171" i="94"/>
  <c r="AT86" i="94"/>
  <c r="M184" i="94"/>
  <c r="M163" i="94"/>
  <c r="P175" i="94"/>
  <c r="AB155" i="94"/>
  <c r="L184" i="94"/>
  <c r="AO102" i="94"/>
  <c r="T141" i="94"/>
  <c r="BB93" i="94"/>
  <c r="L185" i="94"/>
  <c r="AD190" i="94"/>
  <c r="AB174" i="94"/>
  <c r="AF153" i="94"/>
  <c r="AY107" i="94"/>
  <c r="V183" i="94"/>
  <c r="U164" i="94"/>
  <c r="W182" i="94"/>
  <c r="AA189" i="94"/>
  <c r="AC174" i="94"/>
  <c r="AY130" i="94"/>
  <c r="AY248" i="94" s="1"/>
  <c r="AV98" i="94"/>
  <c r="AG152" i="94"/>
  <c r="AD170" i="94"/>
  <c r="R176" i="94"/>
  <c r="H147" i="94"/>
  <c r="T183" i="94"/>
  <c r="S165" i="94"/>
  <c r="O166" i="94"/>
  <c r="AC179" i="94"/>
  <c r="AY119" i="94"/>
  <c r="AY237" i="94" s="1"/>
  <c r="W161" i="94"/>
  <c r="AJ116" i="94"/>
  <c r="AJ234" i="94" s="1"/>
  <c r="AP88" i="94"/>
  <c r="M157" i="94"/>
  <c r="U192" i="94"/>
  <c r="AG165" i="94"/>
  <c r="M180" i="94"/>
  <c r="K149" i="94"/>
  <c r="W174" i="94"/>
  <c r="AQ100" i="94"/>
  <c r="Y151" i="94"/>
  <c r="Q170" i="94"/>
  <c r="U170" i="94"/>
  <c r="N141" i="94"/>
  <c r="AK88" i="94"/>
  <c r="P188" i="94"/>
  <c r="J172" i="94"/>
  <c r="AA168" i="94"/>
  <c r="N184" i="94"/>
  <c r="N166" i="94"/>
  <c r="V146" i="94"/>
  <c r="K147" i="94"/>
  <c r="Y172" i="94"/>
  <c r="R154" i="94"/>
  <c r="AG169" i="94"/>
  <c r="Q181" i="94"/>
  <c r="Z176" i="94"/>
  <c r="H180" i="94"/>
  <c r="Z157" i="94"/>
  <c r="S149" i="94"/>
  <c r="Q165" i="94"/>
  <c r="AE163" i="94"/>
  <c r="AB158" i="94"/>
  <c r="AG156" i="94"/>
  <c r="Y181" i="94"/>
  <c r="AZ122" i="94"/>
  <c r="AZ240" i="94" s="1"/>
  <c r="AF142" i="94"/>
  <c r="BF107" i="94"/>
  <c r="V171" i="94"/>
  <c r="AA170" i="94"/>
  <c r="I186" i="94"/>
  <c r="AP87" i="94"/>
  <c r="BG129" i="94"/>
  <c r="BG247" i="94" s="1"/>
  <c r="P155" i="94"/>
  <c r="N163" i="94"/>
  <c r="Z179" i="94"/>
  <c r="AJ85" i="94"/>
  <c r="BE117" i="94"/>
  <c r="BE235" i="94" s="1"/>
  <c r="I158" i="94"/>
  <c r="BH79" i="94"/>
  <c r="S170" i="94"/>
  <c r="J166" i="94"/>
  <c r="AN91" i="94"/>
  <c r="U149" i="94"/>
  <c r="BH98" i="94"/>
  <c r="H189" i="94"/>
  <c r="L145" i="94"/>
  <c r="Z167" i="94"/>
  <c r="P156" i="94"/>
  <c r="S168" i="94"/>
  <c r="Y162" i="94"/>
  <c r="AW108" i="94"/>
  <c r="Q168" i="94"/>
  <c r="H143" i="94"/>
  <c r="N180" i="94"/>
  <c r="M183" i="94"/>
  <c r="AK112" i="94"/>
  <c r="AK230" i="94" s="1"/>
  <c r="Q183" i="94"/>
  <c r="Y179" i="94"/>
  <c r="N171" i="94"/>
  <c r="AB164" i="94"/>
  <c r="O146" i="94"/>
  <c r="AC182" i="94"/>
  <c r="I169" i="94"/>
  <c r="AY126" i="94"/>
  <c r="AY244" i="94" s="1"/>
  <c r="H165" i="94"/>
  <c r="J161" i="94"/>
  <c r="O142" i="94"/>
  <c r="AG186" i="94"/>
  <c r="AG180" i="94"/>
  <c r="AF141" i="94"/>
  <c r="R148" i="94"/>
  <c r="Y186" i="94"/>
  <c r="AJ126" i="94"/>
  <c r="AJ244" i="94" s="1"/>
  <c r="AB170" i="94"/>
  <c r="L178" i="94"/>
  <c r="K154" i="94"/>
  <c r="AX129" i="94"/>
  <c r="AX247" i="94" s="1"/>
  <c r="AX122" i="94"/>
  <c r="AX240" i="94" s="1"/>
  <c r="H156" i="94"/>
  <c r="W167" i="94"/>
  <c r="M146" i="94"/>
  <c r="AQ126" i="94"/>
  <c r="AQ244" i="94" s="1"/>
  <c r="I161" i="94"/>
  <c r="T142" i="94"/>
  <c r="I166" i="94"/>
  <c r="V153" i="94"/>
  <c r="X166" i="94"/>
  <c r="P171" i="94"/>
  <c r="AX78" i="94"/>
  <c r="H188" i="94"/>
  <c r="R185" i="94"/>
  <c r="AB171" i="94"/>
  <c r="AM99" i="94"/>
  <c r="AG149" i="94"/>
  <c r="AB157" i="94"/>
  <c r="BF117" i="94"/>
  <c r="BF235" i="94" s="1"/>
  <c r="AJ90" i="94"/>
  <c r="AC151" i="94"/>
  <c r="W168" i="94"/>
  <c r="AO124" i="94"/>
  <c r="AO242" i="94" s="1"/>
  <c r="M155" i="94"/>
  <c r="AB153" i="94"/>
  <c r="W165" i="94"/>
  <c r="BI86" i="94"/>
  <c r="AP89" i="94"/>
  <c r="BB130" i="94"/>
  <c r="BB248" i="94" s="1"/>
  <c r="T160" i="94"/>
  <c r="O168" i="94"/>
  <c r="M172" i="94"/>
  <c r="AD145" i="94"/>
  <c r="AG182" i="94"/>
  <c r="AB169" i="94"/>
  <c r="S140" i="94"/>
  <c r="AC161" i="94"/>
  <c r="AS123" i="94"/>
  <c r="AS241" i="94" s="1"/>
  <c r="Y164" i="94"/>
  <c r="U158" i="94"/>
  <c r="P186" i="94"/>
  <c r="AV90" i="94"/>
  <c r="AQ105" i="94"/>
  <c r="R179" i="94"/>
  <c r="AR112" i="94"/>
  <c r="AR230" i="94" s="1"/>
  <c r="AE148" i="94"/>
  <c r="BB117" i="94"/>
  <c r="BB235" i="94" s="1"/>
  <c r="AC183" i="94"/>
  <c r="U154" i="94"/>
  <c r="AX100" i="94"/>
  <c r="BG80" i="94"/>
  <c r="BB95" i="94"/>
  <c r="AT119" i="94"/>
  <c r="AT237" i="94" s="1"/>
  <c r="P158" i="94"/>
  <c r="AE186" i="94"/>
  <c r="BI83" i="94"/>
  <c r="BB78" i="94"/>
  <c r="J144" i="94"/>
  <c r="AZ103" i="94"/>
  <c r="N191" i="94"/>
  <c r="AJ79" i="94"/>
  <c r="AF161" i="94"/>
  <c r="AS124" i="94"/>
  <c r="AS242" i="94" s="1"/>
  <c r="K143" i="94"/>
  <c r="M181" i="94"/>
  <c r="AM128" i="94"/>
  <c r="AM246" i="94" s="1"/>
  <c r="S181" i="94"/>
  <c r="Y176" i="94"/>
  <c r="AU124" i="94"/>
  <c r="AU242" i="94" s="1"/>
  <c r="BI84" i="94"/>
  <c r="BG126" i="94"/>
  <c r="BG244" i="94" s="1"/>
  <c r="AA192" i="94"/>
  <c r="BA104" i="94"/>
  <c r="AG185" i="94"/>
  <c r="AC166" i="94"/>
  <c r="I188" i="94"/>
  <c r="R140" i="94"/>
  <c r="T153" i="94"/>
  <c r="BD114" i="94"/>
  <c r="BD232" i="94" s="1"/>
  <c r="BA101" i="94"/>
  <c r="AB179" i="94"/>
  <c r="AZ127" i="94"/>
  <c r="AZ245" i="94" s="1"/>
  <c r="O153" i="94"/>
  <c r="AT121" i="94"/>
  <c r="AT239" i="94" s="1"/>
  <c r="W184" i="94"/>
  <c r="X189" i="94"/>
  <c r="AO114" i="94"/>
  <c r="AO232" i="94" s="1"/>
  <c r="T163" i="94"/>
  <c r="AX119" i="94"/>
  <c r="AX237" i="94" s="1"/>
  <c r="AW101" i="94"/>
  <c r="O184" i="94"/>
  <c r="AP104" i="94"/>
  <c r="AJ105" i="94"/>
  <c r="AS94" i="94"/>
  <c r="AW112" i="94"/>
  <c r="AW230" i="94" s="1"/>
  <c r="X151" i="94"/>
  <c r="H155" i="94"/>
  <c r="AC186" i="94"/>
  <c r="Q141" i="94"/>
  <c r="BB84" i="94"/>
  <c r="AB181" i="94"/>
  <c r="BA113" i="94"/>
  <c r="BA231" i="94" s="1"/>
  <c r="S169" i="94"/>
  <c r="AS102" i="94"/>
  <c r="Y159" i="94"/>
  <c r="AK114" i="94"/>
  <c r="AK232" i="94" s="1"/>
  <c r="Y150" i="94"/>
  <c r="S182" i="94"/>
  <c r="AK97" i="94"/>
  <c r="I163" i="94"/>
  <c r="U166" i="94"/>
  <c r="AQ98" i="94"/>
  <c r="T188" i="94"/>
  <c r="AQ80" i="94"/>
  <c r="AD149" i="94"/>
  <c r="P181" i="94"/>
  <c r="AG168" i="94"/>
  <c r="BC80" i="94"/>
  <c r="T168" i="94"/>
  <c r="AO96" i="94"/>
  <c r="AJ124" i="94"/>
  <c r="AJ242" i="94" s="1"/>
  <c r="AO89" i="94"/>
  <c r="AM94" i="94"/>
  <c r="AZ120" i="94"/>
  <c r="AZ238" i="94" s="1"/>
  <c r="AZ98" i="94"/>
  <c r="BF105" i="94"/>
  <c r="AK120" i="94"/>
  <c r="AK238" i="94" s="1"/>
  <c r="BD118" i="94"/>
  <c r="BD236" i="94" s="1"/>
  <c r="AJ125" i="94"/>
  <c r="AJ243" i="94" s="1"/>
  <c r="AU105" i="94"/>
  <c r="AU111" i="94"/>
  <c r="AU229" i="94" s="1"/>
  <c r="BF97" i="94"/>
  <c r="BG79" i="94"/>
  <c r="AV102" i="94"/>
  <c r="BF79" i="94"/>
  <c r="BB128" i="94"/>
  <c r="BB246" i="94" s="1"/>
  <c r="AG159" i="94"/>
  <c r="AR95" i="94"/>
  <c r="AY90" i="94"/>
  <c r="AE154" i="94"/>
  <c r="AJ107" i="94"/>
  <c r="BC88" i="94"/>
  <c r="BB129" i="94"/>
  <c r="BB247" i="94" s="1"/>
  <c r="BF113" i="94"/>
  <c r="BF231" i="94" s="1"/>
  <c r="BB79" i="94"/>
  <c r="AP97" i="94"/>
  <c r="BD80" i="94"/>
  <c r="AM113" i="94"/>
  <c r="AM231" i="94" s="1"/>
  <c r="AU112" i="94"/>
  <c r="AU230" i="94" s="1"/>
  <c r="BE80" i="94"/>
  <c r="BA118" i="94"/>
  <c r="BA236" i="94" s="1"/>
  <c r="O150" i="94"/>
  <c r="U152" i="94"/>
  <c r="O141" i="94"/>
  <c r="R160" i="94"/>
  <c r="J151" i="94"/>
  <c r="H153" i="94"/>
  <c r="I183" i="94"/>
  <c r="H168" i="94"/>
  <c r="AG183" i="94"/>
  <c r="AD156" i="94"/>
  <c r="AL127" i="94"/>
  <c r="AL245" i="94" s="1"/>
  <c r="R190" i="94"/>
  <c r="L154" i="94"/>
  <c r="BG92" i="94"/>
  <c r="BI114" i="94"/>
  <c r="BI232" i="94" s="1"/>
  <c r="AJ120" i="94"/>
  <c r="AJ238" i="94" s="1"/>
  <c r="I164" i="94"/>
  <c r="L188" i="94"/>
  <c r="L141" i="94"/>
  <c r="P190" i="94"/>
  <c r="V148" i="94"/>
  <c r="AA190" i="94"/>
  <c r="H158" i="94"/>
  <c r="AE147" i="94"/>
  <c r="Z185" i="94"/>
  <c r="S176" i="94"/>
  <c r="BE119" i="94"/>
  <c r="BE237" i="94" s="1"/>
  <c r="AY120" i="94"/>
  <c r="AY238" i="94" s="1"/>
  <c r="K148" i="94"/>
  <c r="R171" i="94"/>
  <c r="H144" i="94"/>
  <c r="P151" i="94"/>
  <c r="Z156" i="94"/>
  <c r="Z169" i="94"/>
  <c r="O181" i="94"/>
  <c r="Y189" i="94"/>
  <c r="BG119" i="94"/>
  <c r="BG237" i="94" s="1"/>
  <c r="AB166" i="94"/>
  <c r="K179" i="94"/>
  <c r="AR124" i="94"/>
  <c r="AR242" i="94" s="1"/>
  <c r="R153" i="94"/>
  <c r="R165" i="94"/>
  <c r="AY101" i="94"/>
  <c r="X153" i="94"/>
  <c r="AD185" i="94"/>
  <c r="S186" i="94"/>
  <c r="I187" i="94"/>
  <c r="U148" i="94"/>
  <c r="T156" i="94"/>
  <c r="AR104" i="94"/>
  <c r="AG155" i="94"/>
  <c r="AA183" i="94"/>
  <c r="L169" i="94"/>
  <c r="AC162" i="94"/>
  <c r="AG171" i="94"/>
  <c r="AZ90" i="94"/>
  <c r="Q151" i="94"/>
  <c r="AJ115" i="94"/>
  <c r="AJ233" i="94" s="1"/>
  <c r="AG166" i="94"/>
  <c r="S154" i="94"/>
  <c r="AG145" i="94"/>
  <c r="BD117" i="94"/>
  <c r="BD235" i="94" s="1"/>
  <c r="AC147" i="94"/>
  <c r="AJ83" i="94"/>
  <c r="AB167" i="94"/>
  <c r="W152" i="94"/>
  <c r="AV94" i="94"/>
  <c r="AV100" i="94"/>
  <c r="AW90" i="94"/>
  <c r="AG160" i="94"/>
  <c r="AX108" i="94"/>
  <c r="BB88" i="94"/>
  <c r="P153" i="94"/>
  <c r="AQ97" i="94"/>
  <c r="AT84" i="94"/>
  <c r="AM120" i="94"/>
  <c r="AM238" i="94" s="1"/>
  <c r="AA151" i="94"/>
  <c r="H145" i="94"/>
  <c r="BF101" i="94"/>
  <c r="AA186" i="94"/>
  <c r="BH109" i="94"/>
  <c r="W151" i="94"/>
  <c r="AJ123" i="94"/>
  <c r="AJ241" i="94" s="1"/>
  <c r="BA90" i="94"/>
  <c r="AQ86" i="94"/>
  <c r="AO106" i="94"/>
  <c r="AG174" i="94"/>
  <c r="Q169" i="94"/>
  <c r="N162" i="94"/>
  <c r="Q186" i="94"/>
  <c r="N153" i="94"/>
  <c r="BA130" i="94"/>
  <c r="BA248" i="94" s="1"/>
  <c r="AA154" i="94"/>
  <c r="U173" i="94"/>
  <c r="Y182" i="94"/>
  <c r="BF93" i="94"/>
  <c r="Z172" i="94"/>
  <c r="BF94" i="94"/>
  <c r="X175" i="94"/>
  <c r="U168" i="94"/>
  <c r="R189" i="94"/>
  <c r="AD142" i="94"/>
  <c r="K166" i="94"/>
  <c r="AW95" i="94"/>
  <c r="P146" i="94"/>
  <c r="I175" i="94"/>
  <c r="Y154" i="94"/>
  <c r="U179" i="94"/>
  <c r="AF154" i="94"/>
  <c r="AC192" i="94"/>
  <c r="AE151" i="94"/>
  <c r="AQ99" i="94"/>
  <c r="S184" i="94"/>
  <c r="T179" i="94"/>
  <c r="N160" i="94"/>
  <c r="I182" i="94"/>
  <c r="H191" i="94"/>
  <c r="K188" i="94"/>
  <c r="Q184" i="94"/>
  <c r="Z151" i="94"/>
  <c r="U163" i="94"/>
  <c r="K186" i="94"/>
  <c r="L151" i="94"/>
  <c r="AF152" i="94"/>
  <c r="AO94" i="94"/>
  <c r="L173" i="94"/>
  <c r="Y188" i="94"/>
  <c r="AK113" i="94"/>
  <c r="AK231" i="94" s="1"/>
  <c r="M171" i="94"/>
  <c r="I165" i="94"/>
  <c r="J174" i="94"/>
  <c r="M191" i="94"/>
  <c r="AN120" i="94"/>
  <c r="AN238" i="94" s="1"/>
  <c r="AX128" i="94"/>
  <c r="AX246" i="94" s="1"/>
  <c r="T165" i="94"/>
  <c r="S160" i="94"/>
  <c r="AS129" i="94"/>
  <c r="AS247" i="94" s="1"/>
  <c r="V145" i="94"/>
  <c r="BE100" i="94"/>
  <c r="Z147" i="94"/>
  <c r="T146" i="94"/>
  <c r="AD164" i="94"/>
  <c r="L156" i="94"/>
  <c r="R180" i="94"/>
  <c r="W175" i="94"/>
  <c r="V172" i="94"/>
  <c r="U165" i="94"/>
  <c r="L190" i="94"/>
  <c r="BF120" i="94"/>
  <c r="BF238" i="94" s="1"/>
  <c r="W162" i="94"/>
  <c r="X182" i="94"/>
  <c r="O182" i="94"/>
  <c r="AZ105" i="94"/>
  <c r="W155" i="94"/>
  <c r="H183" i="94"/>
  <c r="AR119" i="94"/>
  <c r="AR237" i="94" s="1"/>
  <c r="V168" i="94"/>
  <c r="AC163" i="94"/>
  <c r="O155" i="94"/>
  <c r="AA176" i="94"/>
  <c r="T147" i="94"/>
  <c r="S172" i="94"/>
  <c r="AU107" i="94"/>
  <c r="Q190" i="94"/>
  <c r="P179" i="94"/>
  <c r="L146" i="94"/>
  <c r="AM83" i="94"/>
  <c r="P192" i="94"/>
  <c r="T157" i="94"/>
  <c r="AK117" i="94"/>
  <c r="AK235" i="94" s="1"/>
  <c r="BF126" i="94"/>
  <c r="BF244" i="94" s="1"/>
  <c r="H175" i="94"/>
  <c r="BI108" i="94"/>
  <c r="AZ126" i="94"/>
  <c r="AZ244" i="94" s="1"/>
  <c r="AN116" i="94"/>
  <c r="AN234" i="94" s="1"/>
  <c r="Y184" i="94"/>
  <c r="O145" i="94"/>
  <c r="H187" i="94"/>
  <c r="Q158" i="94"/>
  <c r="AD189" i="94"/>
  <c r="AP121" i="94"/>
  <c r="AP239" i="94" s="1"/>
  <c r="L160" i="94"/>
  <c r="J176" i="94"/>
  <c r="AW114" i="94"/>
  <c r="AW232" i="94" s="1"/>
  <c r="AN106" i="94"/>
  <c r="AD158" i="94"/>
  <c r="Y155" i="94"/>
  <c r="R142" i="94"/>
  <c r="AF169" i="94"/>
  <c r="Q172" i="94"/>
  <c r="AS120" i="94"/>
  <c r="AS238" i="94" s="1"/>
  <c r="AC142" i="94"/>
  <c r="Y163" i="94"/>
  <c r="O185" i="94"/>
  <c r="J140" i="94"/>
  <c r="Z170" i="94"/>
  <c r="AB188" i="94"/>
  <c r="R174" i="94"/>
  <c r="M166" i="94"/>
  <c r="P161" i="94"/>
  <c r="K190" i="94"/>
  <c r="P150" i="94"/>
  <c r="AW85" i="94"/>
  <c r="Q140" i="94"/>
  <c r="BF86" i="94"/>
  <c r="R145" i="94"/>
  <c r="BB127" i="94"/>
  <c r="BB245" i="94" s="1"/>
  <c r="AZ108" i="94"/>
  <c r="BE101" i="94"/>
  <c r="AJ91" i="94"/>
  <c r="R164" i="94"/>
  <c r="AU102" i="94"/>
  <c r="X150" i="94"/>
  <c r="BE105" i="94"/>
  <c r="BA97" i="94"/>
  <c r="AS91" i="94"/>
  <c r="J173" i="94"/>
  <c r="AL95" i="94"/>
  <c r="AV95" i="94"/>
  <c r="BC87" i="94"/>
  <c r="BH118" i="94"/>
  <c r="BH236" i="94" s="1"/>
  <c r="AR103" i="94"/>
  <c r="N149" i="94"/>
  <c r="AX126" i="94"/>
  <c r="AX244" i="94" s="1"/>
  <c r="BH128" i="94"/>
  <c r="BH246" i="94" s="1"/>
  <c r="L186" i="94"/>
  <c r="AE149" i="94"/>
  <c r="P141" i="94"/>
  <c r="Z152" i="94"/>
  <c r="AE170" i="94"/>
  <c r="J183" i="94"/>
  <c r="I140" i="94"/>
  <c r="AD147" i="94"/>
  <c r="AU91" i="94"/>
  <c r="BD101" i="94"/>
  <c r="AC150" i="94"/>
  <c r="AD183" i="94"/>
  <c r="AV124" i="94"/>
  <c r="AV242" i="94" s="1"/>
  <c r="AD152" i="94"/>
  <c r="S145" i="94"/>
  <c r="J157" i="94"/>
  <c r="AF164" i="94"/>
  <c r="L149" i="94"/>
  <c r="BA105" i="94"/>
  <c r="L168" i="94"/>
  <c r="Q167" i="94"/>
  <c r="AZ100" i="94"/>
  <c r="BD93" i="94"/>
  <c r="L157" i="94"/>
  <c r="R166" i="94"/>
  <c r="BH123" i="94"/>
  <c r="BH241" i="94" s="1"/>
  <c r="AB180" i="94"/>
  <c r="T170" i="94"/>
  <c r="Z145" i="94"/>
  <c r="I184" i="94"/>
  <c r="AN113" i="94"/>
  <c r="AN231" i="94" s="1"/>
  <c r="AZ88" i="94"/>
  <c r="AB159" i="94"/>
  <c r="BI128" i="94"/>
  <c r="BI246" i="94" s="1"/>
  <c r="AG167" i="94"/>
  <c r="AT89" i="94"/>
  <c r="BA93" i="94"/>
  <c r="X181" i="94"/>
  <c r="H152" i="94"/>
  <c r="W163" i="94"/>
  <c r="AP112" i="94"/>
  <c r="AP230" i="94" s="1"/>
  <c r="BH112" i="94"/>
  <c r="BH230" i="94" s="1"/>
  <c r="Z182" i="94"/>
  <c r="AP95" i="94"/>
  <c r="V180" i="94"/>
  <c r="AX97" i="94"/>
  <c r="AT128" i="94"/>
  <c r="AT246" i="94" s="1"/>
  <c r="AR118" i="94"/>
  <c r="AR236" i="94" s="1"/>
  <c r="BF123" i="94"/>
  <c r="BF241" i="94" s="1"/>
  <c r="AM105" i="94"/>
  <c r="AL117" i="94"/>
  <c r="AL235" i="94" s="1"/>
  <c r="BC102" i="94"/>
  <c r="BG121" i="94"/>
  <c r="BG239" i="94" s="1"/>
  <c r="W189" i="94"/>
  <c r="AJ114" i="94"/>
  <c r="AJ232" i="94" s="1"/>
  <c r="BA84" i="94"/>
  <c r="AS110" i="94"/>
  <c r="R169" i="94"/>
  <c r="K185" i="94"/>
  <c r="BC89" i="94"/>
  <c r="H142" i="94"/>
  <c r="AZ106" i="94"/>
  <c r="BG86" i="94"/>
  <c r="O149" i="94"/>
  <c r="AX103" i="94"/>
  <c r="AO79" i="94"/>
  <c r="AB165" i="94"/>
  <c r="AM114" i="94"/>
  <c r="AM232" i="94" s="1"/>
  <c r="H172" i="94"/>
  <c r="AT92" i="94"/>
  <c r="AW102" i="94"/>
  <c r="Q179" i="94"/>
  <c r="AF160" i="94"/>
  <c r="AJ113" i="94"/>
  <c r="AJ231" i="94" s="1"/>
  <c r="Z190" i="94"/>
  <c r="AQ117" i="94"/>
  <c r="AQ235" i="94" s="1"/>
  <c r="K173" i="94"/>
  <c r="W154" i="94"/>
  <c r="AT123" i="94"/>
  <c r="AT241" i="94" s="1"/>
  <c r="BE118" i="94"/>
  <c r="BE236" i="94" s="1"/>
  <c r="R146" i="94"/>
  <c r="AX85" i="94"/>
  <c r="BD112" i="94"/>
  <c r="BD230" i="94" s="1"/>
  <c r="AU99" i="94"/>
  <c r="AS108" i="94"/>
  <c r="BD111" i="94"/>
  <c r="BD229" i="94" s="1"/>
  <c r="AK121" i="94"/>
  <c r="AK239" i="94" s="1"/>
  <c r="BB110" i="94"/>
  <c r="AN127" i="94"/>
  <c r="AN245" i="94" s="1"/>
  <c r="BA103" i="94"/>
  <c r="BA114" i="94"/>
  <c r="BA232" i="94" s="1"/>
  <c r="AB152" i="94"/>
  <c r="AX101" i="94"/>
  <c r="AY88" i="94"/>
  <c r="V164" i="94"/>
  <c r="AO92" i="94"/>
  <c r="BG84" i="94"/>
  <c r="BC94" i="94"/>
  <c r="AX98" i="94"/>
  <c r="AM108" i="94"/>
  <c r="BF130" i="94"/>
  <c r="BF248" i="94" s="1"/>
  <c r="AY98" i="94"/>
  <c r="AT100" i="94"/>
  <c r="M165" i="94"/>
  <c r="AO95" i="94"/>
  <c r="AA163" i="94"/>
  <c r="P157" i="94"/>
  <c r="BB124" i="94"/>
  <c r="BB242" i="94" s="1"/>
  <c r="AC152" i="94"/>
  <c r="BA88" i="94"/>
  <c r="AM96" i="94"/>
  <c r="AN97" i="94"/>
  <c r="AE166" i="94"/>
  <c r="AM81" i="94"/>
  <c r="BI100" i="94"/>
  <c r="AQ96" i="94"/>
  <c r="AF155" i="94"/>
  <c r="BG95" i="94"/>
  <c r="AW128" i="94"/>
  <c r="AW246" i="94" s="1"/>
  <c r="AF140" i="94"/>
  <c r="AK110" i="94"/>
  <c r="AY91" i="94"/>
  <c r="R162" i="94"/>
  <c r="BC96" i="94"/>
  <c r="BG98" i="94"/>
  <c r="AM87" i="94"/>
  <c r="AJ81" i="94"/>
  <c r="AV78" i="94"/>
  <c r="AJ82" i="94"/>
  <c r="AL92" i="94"/>
  <c r="AX80" i="94"/>
  <c r="AZ130" i="94"/>
  <c r="AZ248" i="94" s="1"/>
  <c r="BD79" i="94"/>
  <c r="BH110" i="94"/>
  <c r="BH88" i="94"/>
  <c r="AU104" i="94"/>
  <c r="AS118" i="94"/>
  <c r="AS236" i="94" s="1"/>
  <c r="BH121" i="94"/>
  <c r="BH239" i="94" s="1"/>
  <c r="AS90" i="94"/>
  <c r="X154" i="94"/>
  <c r="AW127" i="94"/>
  <c r="AW245" i="94" s="1"/>
  <c r="O176" i="94"/>
  <c r="BA79" i="94"/>
  <c r="K142" i="94"/>
  <c r="AW122" i="94"/>
  <c r="AW240" i="94" s="1"/>
  <c r="AT130" i="94"/>
  <c r="AT248" i="94" s="1"/>
  <c r="AU113" i="94"/>
  <c r="AU231" i="94" s="1"/>
  <c r="AG184" i="94"/>
  <c r="AZ117" i="94"/>
  <c r="AZ235" i="94" s="1"/>
  <c r="AQ127" i="94"/>
  <c r="AQ245" i="94" s="1"/>
  <c r="AP84" i="94"/>
  <c r="AO86" i="94"/>
  <c r="AB145" i="94"/>
  <c r="S167" i="94"/>
  <c r="P167" i="94"/>
  <c r="BC84" i="94"/>
  <c r="AL130" i="94"/>
  <c r="AL248" i="94" s="1"/>
  <c r="BC100" i="94"/>
  <c r="H162" i="94"/>
  <c r="AR130" i="94"/>
  <c r="AR248" i="94" s="1"/>
  <c r="N175" i="94"/>
  <c r="AW98" i="94"/>
  <c r="P180" i="94"/>
  <c r="AQ107" i="94"/>
  <c r="AO100" i="94"/>
  <c r="BG91" i="94"/>
  <c r="AW110" i="94"/>
  <c r="BA96" i="94"/>
  <c r="O161" i="94"/>
  <c r="AF148" i="94"/>
  <c r="U174" i="94"/>
  <c r="AD148" i="94"/>
  <c r="AE180" i="94"/>
  <c r="X184" i="94"/>
  <c r="J147" i="94"/>
  <c r="AB176" i="94"/>
  <c r="M178" i="94"/>
  <c r="N161" i="94"/>
  <c r="AB140" i="94"/>
  <c r="AU84" i="94"/>
  <c r="AR88" i="94"/>
  <c r="AC165" i="94"/>
  <c r="AF183" i="94"/>
  <c r="AR123" i="94"/>
  <c r="AR241" i="94" s="1"/>
  <c r="K150" i="94"/>
  <c r="AN94" i="94"/>
  <c r="O165" i="94"/>
  <c r="AW79" i="94"/>
  <c r="AC175" i="94"/>
  <c r="R186" i="94"/>
  <c r="AF156" i="94"/>
  <c r="AL102" i="94"/>
  <c r="Z142" i="94"/>
  <c r="M169" i="94"/>
  <c r="AJ95" i="94"/>
  <c r="R173" i="94"/>
  <c r="AK108" i="94"/>
  <c r="I191" i="94"/>
  <c r="S164" i="94"/>
  <c r="AR92" i="94"/>
  <c r="AR111" i="94"/>
  <c r="AR229" i="94" s="1"/>
  <c r="AP120" i="94"/>
  <c r="AP238" i="94" s="1"/>
  <c r="Y174" i="94"/>
  <c r="AA184" i="94"/>
  <c r="BD98" i="94"/>
  <c r="AO118" i="94"/>
  <c r="AO236" i="94" s="1"/>
  <c r="AX84" i="94"/>
  <c r="AG148" i="94"/>
  <c r="AY103" i="94"/>
  <c r="AN101" i="94"/>
  <c r="AW83" i="94"/>
  <c r="AS127" i="94"/>
  <c r="AS245" i="94" s="1"/>
  <c r="BE123" i="94"/>
  <c r="BE241" i="94" s="1"/>
  <c r="AN108" i="94"/>
  <c r="X141" i="94"/>
  <c r="AL98" i="94"/>
  <c r="BI101" i="94"/>
  <c r="BH87" i="94"/>
  <c r="AN119" i="94"/>
  <c r="AN237" i="94" s="1"/>
  <c r="AM84" i="94"/>
  <c r="I176" i="94"/>
  <c r="AP124" i="94"/>
  <c r="AP242" i="94" s="1"/>
  <c r="AQ84" i="94"/>
  <c r="AM78" i="94"/>
  <c r="AJ118" i="94"/>
  <c r="AJ236" i="94" s="1"/>
  <c r="AL91" i="94"/>
  <c r="BC124" i="94"/>
  <c r="BC242" i="94" s="1"/>
  <c r="BE96" i="94"/>
  <c r="AZ95" i="94"/>
  <c r="AP105" i="94"/>
  <c r="L183" i="94"/>
  <c r="AU122" i="94"/>
  <c r="AU240" i="94" s="1"/>
  <c r="AA167" i="94"/>
  <c r="Z191" i="94"/>
  <c r="P191" i="94"/>
  <c r="AV108" i="94"/>
  <c r="I147" i="94"/>
  <c r="J158" i="94"/>
  <c r="Q180" i="94"/>
  <c r="AF184" i="94"/>
  <c r="O186" i="94"/>
  <c r="AL83" i="94"/>
  <c r="AV114" i="94"/>
  <c r="AV232" i="94" s="1"/>
  <c r="BF110" i="94"/>
  <c r="BF121" i="94"/>
  <c r="BF239" i="94" s="1"/>
  <c r="AY102" i="94"/>
  <c r="BD105" i="94"/>
  <c r="AN99" i="94"/>
  <c r="AW111" i="94"/>
  <c r="AW229" i="94" s="1"/>
  <c r="AM112" i="94"/>
  <c r="AM230" i="94" s="1"/>
  <c r="AQ124" i="94"/>
  <c r="AQ242" i="94" s="1"/>
  <c r="I152" i="94"/>
  <c r="BF104" i="94"/>
  <c r="AP79" i="94"/>
  <c r="W148" i="94"/>
  <c r="AQ89" i="94"/>
  <c r="AJ97" i="94"/>
  <c r="AE159" i="94"/>
  <c r="AK126" i="94"/>
  <c r="AK244" i="94" s="1"/>
  <c r="AJ127" i="94"/>
  <c r="AJ245" i="94" s="1"/>
  <c r="AM116" i="94"/>
  <c r="AM234" i="94" s="1"/>
  <c r="I174" i="94"/>
  <c r="AT87" i="94"/>
  <c r="BH90" i="94"/>
  <c r="BG94" i="94"/>
  <c r="BD106" i="94"/>
  <c r="AA152" i="94"/>
  <c r="AB161" i="94"/>
  <c r="BA92" i="94"/>
  <c r="AK81" i="94"/>
  <c r="R151" i="94"/>
  <c r="AV123" i="94"/>
  <c r="AV241" i="94" s="1"/>
  <c r="S155" i="94"/>
  <c r="Q157" i="94"/>
  <c r="AY79" i="94"/>
  <c r="AO85" i="94"/>
  <c r="BC103" i="94"/>
  <c r="Y145" i="94"/>
  <c r="AL126" i="94"/>
  <c r="AL244" i="94" s="1"/>
  <c r="AX123" i="94"/>
  <c r="AX241" i="94" s="1"/>
  <c r="BI92" i="94"/>
  <c r="AU86" i="94"/>
  <c r="AL93" i="94"/>
  <c r="AO129" i="94"/>
  <c r="AO247" i="94" s="1"/>
  <c r="BG130" i="94"/>
  <c r="BG248" i="94" s="1"/>
  <c r="AG147" i="94"/>
  <c r="AU117" i="94"/>
  <c r="AU235" i="94" s="1"/>
  <c r="BA123" i="94"/>
  <c r="BA241" i="94" s="1"/>
  <c r="AL112" i="94"/>
  <c r="AL230" i="94" s="1"/>
  <c r="AQ79" i="94"/>
  <c r="AR101" i="94"/>
  <c r="AN111" i="94"/>
  <c r="AN229" i="94" s="1"/>
  <c r="X173" i="94"/>
  <c r="BH85" i="94"/>
  <c r="AP130" i="94"/>
  <c r="AP248" i="94" s="1"/>
  <c r="BH103" i="94"/>
  <c r="AU93" i="94"/>
  <c r="BF83" i="94"/>
  <c r="BE109" i="94"/>
  <c r="BG109" i="94"/>
  <c r="BG120" i="94"/>
  <c r="BG238" i="94" s="1"/>
  <c r="J179" i="94"/>
  <c r="K144" i="94"/>
  <c r="V167" i="94"/>
  <c r="Z149" i="94"/>
  <c r="X142" i="94"/>
  <c r="BG87" i="94"/>
  <c r="AN122" i="94"/>
  <c r="AN240" i="94" s="1"/>
  <c r="AV112" i="94"/>
  <c r="AV230" i="94" s="1"/>
  <c r="S179" i="94"/>
  <c r="AR126" i="94"/>
  <c r="AR244" i="94" s="1"/>
  <c r="R157" i="94"/>
  <c r="BE89" i="94"/>
  <c r="AJ93" i="94"/>
  <c r="AO130" i="94"/>
  <c r="AO248" i="94" s="1"/>
  <c r="AR110" i="94"/>
  <c r="AJ119" i="94"/>
  <c r="AJ237" i="94" s="1"/>
  <c r="BA83" i="94"/>
  <c r="AZ121" i="94"/>
  <c r="AZ239" i="94" s="1"/>
  <c r="AJ130" i="94"/>
  <c r="AJ248" i="94" s="1"/>
  <c r="AF181" i="94"/>
  <c r="X161" i="94"/>
  <c r="BG97" i="94"/>
  <c r="Z171" i="94"/>
  <c r="AW105" i="94"/>
  <c r="R172" i="94"/>
  <c r="AZ99" i="94"/>
  <c r="Z154" i="94"/>
  <c r="AX88" i="94"/>
  <c r="AR114" i="94"/>
  <c r="AR232" i="94" s="1"/>
  <c r="Y192" i="94"/>
  <c r="BE124" i="94"/>
  <c r="BE242" i="94" s="1"/>
  <c r="P164" i="94"/>
  <c r="S190" i="94"/>
  <c r="W142" i="94"/>
  <c r="X183" i="94"/>
  <c r="AL124" i="94"/>
  <c r="AL242" i="94" s="1"/>
  <c r="M142" i="94"/>
  <c r="AS101" i="94"/>
  <c r="T175" i="94"/>
  <c r="L155" i="94"/>
  <c r="AQ114" i="94"/>
  <c r="AQ232" i="94" s="1"/>
  <c r="L174" i="94"/>
  <c r="O190" i="94"/>
  <c r="Z166" i="94"/>
  <c r="BB120" i="94"/>
  <c r="BB238" i="94" s="1"/>
  <c r="AE189" i="94"/>
  <c r="AY106" i="94"/>
  <c r="AX87" i="94"/>
  <c r="V179" i="94"/>
  <c r="L175" i="94"/>
  <c r="AZ94" i="94"/>
  <c r="AL106" i="94"/>
  <c r="BE127" i="94"/>
  <c r="BE245" i="94" s="1"/>
  <c r="AU103" i="94"/>
  <c r="AD155" i="94"/>
  <c r="AD150" i="94"/>
  <c r="BI97" i="94"/>
  <c r="AD146" i="94"/>
  <c r="BE93" i="94"/>
  <c r="T186" i="94"/>
  <c r="AD153" i="94"/>
  <c r="K145" i="94"/>
  <c r="AG154" i="94"/>
  <c r="K184" i="94"/>
  <c r="AB192" i="94"/>
  <c r="AB160" i="94"/>
  <c r="AB186" i="94"/>
  <c r="BF128" i="94"/>
  <c r="BF246" i="94" s="1"/>
  <c r="P185" i="94"/>
  <c r="BH80" i="94"/>
  <c r="AL116" i="94"/>
  <c r="AL234" i="94" s="1"/>
  <c r="V189" i="94"/>
  <c r="AN78" i="94"/>
  <c r="AJ88" i="94"/>
  <c r="I190" i="94"/>
  <c r="BG114" i="94"/>
  <c r="BG232" i="94" s="1"/>
  <c r="N151" i="94"/>
  <c r="BB123" i="94"/>
  <c r="BB241" i="94" s="1"/>
  <c r="AS99" i="94"/>
  <c r="BI91" i="94"/>
  <c r="AM85" i="94"/>
  <c r="AE176" i="94"/>
  <c r="S153" i="94"/>
  <c r="AA188" i="94"/>
  <c r="AJ117" i="94"/>
  <c r="AJ235" i="94" s="1"/>
  <c r="AJ101" i="94"/>
  <c r="AQ95" i="94"/>
  <c r="J178" i="94"/>
  <c r="AM101" i="94"/>
  <c r="AO93" i="94"/>
  <c r="R156" i="94"/>
  <c r="AA142" i="94"/>
  <c r="AC170" i="94"/>
  <c r="W153" i="94"/>
  <c r="V190" i="94"/>
  <c r="AM100" i="94"/>
  <c r="AP110" i="94"/>
  <c r="AE157" i="94"/>
  <c r="P168" i="94"/>
  <c r="AV87" i="94"/>
  <c r="AR93" i="94"/>
  <c r="M186" i="94"/>
  <c r="K157" i="94"/>
  <c r="X172" i="94"/>
  <c r="AP122" i="94"/>
  <c r="AP240" i="94" s="1"/>
  <c r="Q150" i="94"/>
  <c r="AT106" i="94"/>
  <c r="AD157" i="94"/>
  <c r="Z161" i="94"/>
  <c r="W169" i="94"/>
  <c r="BC113" i="94"/>
  <c r="BC231" i="94" s="1"/>
  <c r="AS117" i="94"/>
  <c r="AS235" i="94" s="1"/>
  <c r="AR99" i="94"/>
  <c r="BF122" i="94"/>
  <c r="BF240" i="94" s="1"/>
  <c r="BI124" i="94"/>
  <c r="BI242" i="94" s="1"/>
  <c r="BC109" i="94"/>
  <c r="AP100" i="94"/>
  <c r="Q152" i="94"/>
  <c r="AQ113" i="94"/>
  <c r="AQ231" i="94" s="1"/>
  <c r="AW129" i="94"/>
  <c r="AW247" i="94" s="1"/>
  <c r="BC128" i="94"/>
  <c r="BC246" i="94" s="1"/>
  <c r="AY110" i="94"/>
  <c r="AY112" i="94"/>
  <c r="AY230" i="94" s="1"/>
  <c r="AZ86" i="94"/>
  <c r="AW96" i="94"/>
  <c r="BD91" i="94"/>
  <c r="T154" i="94"/>
  <c r="AW119" i="94"/>
  <c r="AW237" i="94" s="1"/>
  <c r="AY111" i="94"/>
  <c r="AY229" i="94" s="1"/>
  <c r="AU128" i="94"/>
  <c r="AU246" i="94" s="1"/>
  <c r="AC149" i="94"/>
  <c r="AX83" i="94"/>
  <c r="AT122" i="94"/>
  <c r="AT240" i="94" s="1"/>
  <c r="AS95" i="94"/>
  <c r="X179" i="94"/>
  <c r="BG90" i="94"/>
  <c r="BH101" i="94"/>
  <c r="AK91" i="94"/>
  <c r="BE126" i="94"/>
  <c r="BE244" i="94" s="1"/>
  <c r="BG100" i="94"/>
  <c r="BA108" i="94"/>
  <c r="AK109" i="94"/>
  <c r="I178" i="94"/>
  <c r="AV85" i="94"/>
  <c r="AX110" i="94"/>
  <c r="AY80" i="94"/>
  <c r="H167" i="94"/>
  <c r="AE192" i="94"/>
  <c r="BD85" i="94"/>
  <c r="T182" i="94"/>
  <c r="AT109" i="94"/>
  <c r="J184" i="94"/>
  <c r="BC112" i="94"/>
  <c r="BC230" i="94" s="1"/>
  <c r="H161" i="94"/>
  <c r="BA94" i="94"/>
  <c r="BE79" i="94"/>
  <c r="R182" i="94"/>
  <c r="BC79" i="94"/>
  <c r="AZ89" i="94"/>
  <c r="AR98" i="94"/>
  <c r="BC83" i="94"/>
  <c r="AK122" i="94"/>
  <c r="AK240" i="94" s="1"/>
  <c r="BA128" i="94"/>
  <c r="BA246" i="94" s="1"/>
  <c r="AX118" i="94"/>
  <c r="AX236" i="94" s="1"/>
  <c r="AP96" i="94"/>
  <c r="BI120" i="94"/>
  <c r="BI238" i="94" s="1"/>
  <c r="BD124" i="94"/>
  <c r="BD242" i="94" s="1"/>
  <c r="Y190" i="94"/>
  <c r="J167" i="94"/>
  <c r="AL118" i="94"/>
  <c r="AL236" i="94" s="1"/>
  <c r="T151" i="94"/>
  <c r="AR91" i="94"/>
  <c r="BC117" i="94"/>
  <c r="BC235" i="94" s="1"/>
  <c r="AG173" i="94"/>
  <c r="BG111" i="94"/>
  <c r="BG229" i="94" s="1"/>
  <c r="AZ107" i="94"/>
  <c r="AA153" i="94"/>
  <c r="Q164" i="94"/>
  <c r="BI88" i="94"/>
  <c r="H174" i="94"/>
  <c r="H149" i="94"/>
  <c r="BG99" i="94"/>
  <c r="AV122" i="94"/>
  <c r="AV240" i="94" s="1"/>
  <c r="AR117" i="94"/>
  <c r="AR235" i="94" s="1"/>
  <c r="AC159" i="94"/>
  <c r="AO121" i="94"/>
  <c r="AO239" i="94" s="1"/>
  <c r="AL104" i="94"/>
  <c r="AM109" i="94"/>
  <c r="BI102" i="94"/>
  <c r="R183" i="94"/>
  <c r="AM119" i="94"/>
  <c r="AM237" i="94" s="1"/>
  <c r="AW78" i="94"/>
  <c r="BC110" i="94"/>
  <c r="AW88" i="94"/>
  <c r="Z158" i="94"/>
  <c r="BB86" i="94"/>
  <c r="O157" i="94"/>
  <c r="AV88" i="94"/>
  <c r="I149" i="94"/>
  <c r="AN129" i="94"/>
  <c r="AN247" i="94" s="1"/>
  <c r="AP111" i="94"/>
  <c r="AP229" i="94" s="1"/>
  <c r="AT120" i="94"/>
  <c r="AT238" i="94" s="1"/>
  <c r="S185" i="94"/>
  <c r="O152" i="94"/>
  <c r="P152" i="94"/>
  <c r="AD181" i="94"/>
  <c r="S166" i="94"/>
  <c r="AU89" i="94"/>
  <c r="AF185" i="94"/>
  <c r="U190" i="94"/>
  <c r="AG157" i="94"/>
  <c r="X169" i="94"/>
  <c r="U171" i="94"/>
  <c r="M175" i="94"/>
  <c r="AW113" i="94"/>
  <c r="AW231" i="94" s="1"/>
  <c r="AZ129" i="94"/>
  <c r="AZ247" i="94" s="1"/>
  <c r="AO88" i="94"/>
  <c r="AN98" i="94"/>
  <c r="O169" i="94"/>
  <c r="AG188" i="94"/>
  <c r="BF111" i="94"/>
  <c r="BF229" i="94" s="1"/>
  <c r="AP123" i="94"/>
  <c r="AP241" i="94" s="1"/>
  <c r="X146" i="94"/>
  <c r="AL100" i="94"/>
  <c r="AS128" i="94"/>
  <c r="AS246" i="94" s="1"/>
  <c r="AX124" i="94"/>
  <c r="AX242" i="94" s="1"/>
  <c r="AX106" i="94"/>
  <c r="AX127" i="94"/>
  <c r="AX245" i="94" s="1"/>
  <c r="T140" i="94"/>
  <c r="I162" i="94"/>
  <c r="I172" i="94"/>
  <c r="BB112" i="94"/>
  <c r="BB230" i="94" s="1"/>
  <c r="Y156" i="94"/>
  <c r="AM106" i="94"/>
  <c r="BB100" i="94"/>
  <c r="AD191" i="94"/>
  <c r="AJ108" i="94"/>
  <c r="AY108" i="94"/>
  <c r="BI126" i="94"/>
  <c r="BI244" i="94" s="1"/>
  <c r="AT104" i="94"/>
  <c r="T173" i="94"/>
  <c r="L182" i="94"/>
  <c r="K146" i="94"/>
  <c r="BH95" i="94"/>
  <c r="AL110" i="94"/>
  <c r="AD184" i="94"/>
  <c r="AQ101" i="94"/>
  <c r="I144" i="94"/>
  <c r="BB103" i="94"/>
  <c r="AF150" i="94"/>
  <c r="BC122" i="94"/>
  <c r="BC240" i="94" s="1"/>
  <c r="V192" i="94"/>
  <c r="T191" i="94"/>
  <c r="U167" i="94"/>
  <c r="AF190" i="94"/>
  <c r="AQ92" i="94"/>
  <c r="H190" i="94"/>
  <c r="J155" i="94"/>
  <c r="AA169" i="94"/>
  <c r="AW124" i="94"/>
  <c r="AW242" i="94" s="1"/>
  <c r="V147" i="94"/>
  <c r="Z175" i="94"/>
  <c r="AS98" i="94"/>
  <c r="N192" i="94"/>
  <c r="AN114" i="94"/>
  <c r="AN232" i="94" s="1"/>
  <c r="AY93" i="94"/>
  <c r="AQ118" i="94"/>
  <c r="AQ236" i="94" s="1"/>
  <c r="J180" i="94"/>
  <c r="AG146" i="94"/>
  <c r="AC191" i="94"/>
  <c r="P145" i="94"/>
  <c r="M173" i="94"/>
  <c r="V182" i="94"/>
  <c r="J153" i="94"/>
  <c r="AO103" i="94"/>
  <c r="AC167" i="94"/>
  <c r="U189" i="94"/>
  <c r="AD180" i="94"/>
  <c r="AK125" i="94"/>
  <c r="AK243" i="94" s="1"/>
  <c r="H164" i="94"/>
  <c r="AK129" i="94"/>
  <c r="AK247" i="94" s="1"/>
  <c r="BC95" i="94"/>
  <c r="AC153" i="94"/>
  <c r="O158" i="94"/>
  <c r="BB101" i="94"/>
  <c r="AJ98" i="94"/>
  <c r="K174" i="94"/>
  <c r="AV83" i="94"/>
  <c r="AN92" i="94"/>
  <c r="BC127" i="94"/>
  <c r="BC245" i="94" s="1"/>
  <c r="AC189" i="94"/>
  <c r="AK119" i="94"/>
  <c r="AK237" i="94" s="1"/>
  <c r="AE179" i="94"/>
  <c r="AR90" i="94"/>
  <c r="BC126" i="94"/>
  <c r="BC244" i="94" s="1"/>
  <c r="BE97" i="94"/>
  <c r="AE181" i="94"/>
  <c r="Y165" i="94"/>
  <c r="Z183" i="94"/>
  <c r="AF188" i="94"/>
  <c r="H176" i="94"/>
  <c r="AR129" i="94"/>
  <c r="AR247" i="94" s="1"/>
  <c r="K156" i="94"/>
  <c r="BC120" i="94"/>
  <c r="BC238" i="94" s="1"/>
  <c r="S180" i="94"/>
  <c r="K192" i="94"/>
  <c r="Z162" i="94"/>
  <c r="Y169" i="94"/>
  <c r="AV121" i="94"/>
  <c r="AV239" i="94" s="1"/>
  <c r="BG123" i="94"/>
  <c r="BG241" i="94" s="1"/>
  <c r="T166" i="94"/>
  <c r="AG141" i="94"/>
  <c r="AQ121" i="94"/>
  <c r="AQ239" i="94" s="1"/>
  <c r="AS100" i="94"/>
  <c r="Y160" i="94"/>
  <c r="J181" i="94"/>
  <c r="N186" i="94"/>
  <c r="AD168" i="94"/>
  <c r="AD182" i="94"/>
  <c r="BB104" i="94"/>
  <c r="W176" i="94"/>
  <c r="AQ94" i="94"/>
  <c r="AA173" i="94"/>
  <c r="AO123" i="94"/>
  <c r="AO241" i="94" s="1"/>
  <c r="AL114" i="94"/>
  <c r="AL232" i="94" s="1"/>
  <c r="W185" i="94"/>
  <c r="L165" i="94"/>
  <c r="AX107" i="94"/>
  <c r="X162" i="94"/>
  <c r="AM124" i="94"/>
  <c r="AM242" i="94" s="1"/>
  <c r="H163" i="94"/>
  <c r="X191" i="94"/>
  <c r="K178" i="94"/>
  <c r="AU119" i="94"/>
  <c r="AU237" i="94" s="1"/>
  <c r="P165" i="94"/>
  <c r="X174" i="94"/>
  <c r="Q174" i="94"/>
  <c r="AT85" i="94"/>
  <c r="M189" i="94"/>
  <c r="U188" i="94"/>
  <c r="P154" i="94"/>
  <c r="AU94" i="94"/>
  <c r="AT98" i="94"/>
  <c r="AO109" i="94"/>
  <c r="Q148" i="94"/>
  <c r="Q173" i="94"/>
  <c r="AF174" i="94"/>
  <c r="Z184" i="94"/>
  <c r="AU121" i="94"/>
  <c r="AU239" i="94" s="1"/>
  <c r="Y168" i="94"/>
  <c r="AS84" i="94"/>
  <c r="BE84" i="94"/>
  <c r="AF145" i="94"/>
  <c r="AC148" i="94"/>
  <c r="AA180" i="94"/>
  <c r="T167" i="94"/>
  <c r="AE173" i="94"/>
  <c r="W149" i="94"/>
  <c r="AA149" i="94"/>
  <c r="AO120" i="94"/>
  <c r="AO238" i="94" s="1"/>
  <c r="AK105" i="94"/>
  <c r="AZ110" i="94"/>
  <c r="AO87" i="94"/>
  <c r="BE110" i="94"/>
  <c r="X140" i="94"/>
  <c r="AW106" i="94"/>
  <c r="BG103" i="94"/>
  <c r="AM107" i="94"/>
  <c r="AE164" i="94"/>
  <c r="BG110" i="94"/>
  <c r="BB113" i="94"/>
  <c r="BB231" i="94" s="1"/>
  <c r="BF102" i="94"/>
  <c r="R141" i="94"/>
  <c r="BH124" i="94"/>
  <c r="BH242" i="94" s="1"/>
  <c r="BF90" i="94"/>
  <c r="AN110" i="94"/>
  <c r="L152" i="94"/>
  <c r="AL107" i="94"/>
  <c r="M179" i="94"/>
  <c r="M151" i="94"/>
  <c r="AG175" i="94"/>
  <c r="AA175" i="94"/>
  <c r="AW87" i="94"/>
  <c r="J165" i="94"/>
  <c r="AE158" i="94"/>
  <c r="R155" i="94"/>
  <c r="O191" i="94"/>
  <c r="O192" i="94"/>
  <c r="AJ103" i="94"/>
  <c r="BC121" i="94"/>
  <c r="BC239" i="94" s="1"/>
  <c r="AS113" i="94"/>
  <c r="AS231" i="94" s="1"/>
  <c r="AB141" i="94"/>
  <c r="AZ93" i="94"/>
  <c r="AM79" i="94"/>
  <c r="AO122" i="94"/>
  <c r="AO240" i="94" s="1"/>
  <c r="S189" i="94"/>
  <c r="AA158" i="94"/>
  <c r="AQ130" i="94"/>
  <c r="AQ248" i="94" s="1"/>
  <c r="AU120" i="94"/>
  <c r="AU238" i="94" s="1"/>
  <c r="AW121" i="94"/>
  <c r="AW239" i="94" s="1"/>
  <c r="Q142" i="94"/>
  <c r="BF106" i="94"/>
  <c r="AS86" i="94"/>
  <c r="S161" i="94"/>
  <c r="AK124" i="94"/>
  <c r="AK242" i="94" s="1"/>
  <c r="N182" i="94"/>
  <c r="BD104" i="94"/>
  <c r="AM82" i="94"/>
  <c r="AJ80" i="94"/>
  <c r="AW109" i="94"/>
  <c r="L150" i="94"/>
  <c r="AJ99" i="94"/>
  <c r="AS111" i="94"/>
  <c r="AS229" i="94" s="1"/>
  <c r="AN112" i="94"/>
  <c r="AN230" i="94" s="1"/>
  <c r="AL82" i="94"/>
  <c r="AT112" i="94"/>
  <c r="AT230" i="94" s="1"/>
  <c r="AS85" i="94"/>
  <c r="AT124" i="94"/>
  <c r="AT242" i="94" s="1"/>
  <c r="R158" i="94"/>
  <c r="BB90" i="94"/>
  <c r="AW97" i="94"/>
  <c r="AV93" i="94"/>
  <c r="AT114" i="94"/>
  <c r="AT232" i="94" s="1"/>
  <c r="AY128" i="94"/>
  <c r="AY246" i="94" s="1"/>
  <c r="AN79" i="94"/>
  <c r="AU123" i="94"/>
  <c r="AU241" i="94" s="1"/>
  <c r="AE162" i="94"/>
  <c r="BH122" i="94"/>
  <c r="BH240" i="94" s="1"/>
  <c r="AX112" i="94"/>
  <c r="AX230" i="94" s="1"/>
  <c r="O162" i="94"/>
  <c r="I143" i="94"/>
  <c r="AW91" i="94"/>
  <c r="AV127" i="94"/>
  <c r="AV245" i="94" s="1"/>
  <c r="AZ87" i="94"/>
  <c r="AJ106" i="94"/>
  <c r="AZ111" i="94"/>
  <c r="AZ229" i="94" s="1"/>
  <c r="T149" i="94"/>
  <c r="N179" i="94"/>
  <c r="BF103" i="94"/>
  <c r="AJ78" i="94"/>
  <c r="AZ114" i="94"/>
  <c r="AZ232" i="94" s="1"/>
  <c r="BH113" i="94"/>
  <c r="BH231" i="94" s="1"/>
  <c r="AJ89" i="94"/>
  <c r="I171" i="94"/>
  <c r="K158" i="94"/>
  <c r="BE130" i="94"/>
  <c r="BE248" i="94" s="1"/>
  <c r="W192" i="94"/>
  <c r="BE95" i="94"/>
  <c r="BD96" i="94"/>
  <c r="X186" i="94"/>
  <c r="U176" i="94"/>
  <c r="W191" i="94"/>
  <c r="Y191" i="94"/>
  <c r="AE160" i="94"/>
  <c r="BE88" i="94"/>
  <c r="K181" i="94"/>
  <c r="AS78" i="94"/>
  <c r="AC185" i="94"/>
  <c r="AB190" i="94"/>
  <c r="AV113" i="94"/>
  <c r="AV231" i="94" s="1"/>
  <c r="AF180" i="94"/>
  <c r="BE112" i="94"/>
  <c r="BE230" i="94" s="1"/>
  <c r="AJ109" i="94"/>
  <c r="O148" i="94"/>
  <c r="AK92" i="94"/>
  <c r="BH96" i="94"/>
  <c r="X168" i="94"/>
  <c r="AY87" i="94"/>
  <c r="K140" i="94"/>
  <c r="AE155" i="94"/>
  <c r="V191" i="94"/>
  <c r="H148" i="94"/>
  <c r="U182" i="94"/>
  <c r="BD88" i="94"/>
  <c r="AK79" i="94"/>
  <c r="M164" i="94"/>
  <c r="W183" i="94"/>
  <c r="AG192" i="94"/>
  <c r="AA141" i="94"/>
  <c r="L171" i="94"/>
  <c r="AY122" i="94"/>
  <c r="AY240" i="94" s="1"/>
  <c r="AG161" i="94"/>
  <c r="O173" i="94"/>
  <c r="L142" i="94"/>
  <c r="I154" i="94"/>
  <c r="BH108" i="94"/>
  <c r="AM111" i="94"/>
  <c r="AM229" i="94" s="1"/>
  <c r="L140" i="94"/>
  <c r="U181" i="94"/>
  <c r="J143" i="94"/>
  <c r="AL78" i="94"/>
  <c r="S192" i="94"/>
  <c r="AA171" i="94"/>
  <c r="L166" i="94"/>
  <c r="AU129" i="94"/>
  <c r="AU247" i="94" s="1"/>
  <c r="BE83" i="94"/>
  <c r="AN103" i="94"/>
  <c r="AP92" i="94"/>
  <c r="BC106" i="94"/>
  <c r="BG104" i="94"/>
  <c r="AR122" i="94"/>
  <c r="AR240" i="94" s="1"/>
  <c r="AK96" i="94"/>
  <c r="AX79" i="94"/>
  <c r="AG142" i="94"/>
  <c r="V152" i="94"/>
  <c r="AZ109" i="94"/>
  <c r="AX102" i="94"/>
  <c r="BI99" i="94"/>
  <c r="AY96" i="94"/>
  <c r="Z160" i="94"/>
  <c r="BG93" i="94"/>
  <c r="W170" i="94"/>
  <c r="AO84" i="94"/>
  <c r="P183" i="94"/>
  <c r="BA100" i="94"/>
  <c r="AY113" i="94"/>
  <c r="AY231" i="94" s="1"/>
  <c r="AQ129" i="94"/>
  <c r="AQ247" i="94" s="1"/>
  <c r="AJ121" i="94"/>
  <c r="AJ239" i="94" s="1"/>
  <c r="BH104" i="94"/>
  <c r="AS109" i="94"/>
  <c r="AX96" i="94"/>
  <c r="AD154" i="94"/>
  <c r="BA124" i="94"/>
  <c r="BA242" i="94" s="1"/>
  <c r="V155" i="94"/>
  <c r="BE122" i="94"/>
  <c r="BE240" i="94" s="1"/>
  <c r="AF192" i="94"/>
  <c r="AN80" i="94"/>
  <c r="AV101" i="94"/>
  <c r="AN102" i="94"/>
  <c r="AQ110" i="94"/>
  <c r="AM123" i="94"/>
  <c r="AM241" i="94" s="1"/>
  <c r="AL115" i="94"/>
  <c r="AL233" i="94" s="1"/>
  <c r="AJ104" i="94"/>
  <c r="AU78" i="94"/>
  <c r="AE141" i="94"/>
  <c r="AK99" i="94"/>
  <c r="BF95" i="94"/>
  <c r="AL120" i="94"/>
  <c r="AL238" i="94" s="1"/>
  <c r="AN85" i="94"/>
  <c r="AY89" i="94"/>
  <c r="BD107" i="94"/>
  <c r="AM95" i="94"/>
  <c r="BA78" i="94"/>
  <c r="AO126" i="94"/>
  <c r="AO244" i="94" s="1"/>
  <c r="AX105" i="94"/>
  <c r="BG106" i="94"/>
  <c r="BE87" i="94"/>
  <c r="P163" i="94"/>
  <c r="I146" i="94"/>
  <c r="X155" i="94"/>
  <c r="AO127" i="94"/>
  <c r="AO245" i="94" s="1"/>
  <c r="BA95" i="94"/>
  <c r="AN130" i="94"/>
  <c r="AN248" i="94" s="1"/>
  <c r="BE102" i="94"/>
  <c r="AT83" i="94"/>
  <c r="AU80" i="94"/>
  <c r="AO99" i="94"/>
  <c r="BI127" i="94"/>
  <c r="BI245" i="94" s="1"/>
  <c r="BF85" i="94"/>
  <c r="AM121" i="94"/>
  <c r="AM239" i="94" s="1"/>
  <c r="AJ128" i="94"/>
  <c r="AJ246" i="94" s="1"/>
  <c r="AT102" i="94"/>
  <c r="BH111" i="94"/>
  <c r="BH229" i="94" s="1"/>
  <c r="AQ111" i="94"/>
  <c r="AQ229" i="94" s="1"/>
  <c r="AK78" i="94"/>
  <c r="AO97" i="94"/>
  <c r="Q162" i="94"/>
  <c r="AU85" i="94"/>
  <c r="AZ92" i="94"/>
  <c r="BE86" i="94"/>
  <c r="AT108" i="94"/>
  <c r="M145" i="94"/>
  <c r="AR97" i="94"/>
  <c r="AU118" i="94"/>
  <c r="AU236" i="94" s="1"/>
  <c r="AZ101" i="94"/>
  <c r="AT99" i="94"/>
  <c r="AZ102" i="94"/>
  <c r="AY117" i="94"/>
  <c r="AY235" i="94" s="1"/>
  <c r="P166" i="94"/>
  <c r="AL128" i="94"/>
  <c r="AL246" i="94" s="1"/>
  <c r="V142" i="94"/>
  <c r="P176" i="94"/>
  <c r="AT96" i="94"/>
  <c r="AK85" i="94"/>
  <c r="T181" i="94"/>
  <c r="AY121" i="94"/>
  <c r="AY239" i="94" s="1"/>
  <c r="J185" i="94"/>
  <c r="Z141" i="94"/>
  <c r="BI93" i="94"/>
  <c r="L148" i="94"/>
  <c r="AP108" i="94"/>
  <c r="AS112" i="94"/>
  <c r="AS230" i="94" s="1"/>
  <c r="R168" i="94"/>
  <c r="W141" i="94"/>
  <c r="BC99" i="94"/>
  <c r="AR127" i="94"/>
  <c r="AR245" i="94" s="1"/>
  <c r="BA80" i="94"/>
  <c r="BI130" i="94"/>
  <c r="BI248" i="94" s="1"/>
  <c r="AW118" i="94"/>
  <c r="AW236" i="94" s="1"/>
  <c r="O151" i="94"/>
  <c r="AC172" i="94"/>
  <c r="AD173" i="94"/>
  <c r="AD176" i="94"/>
  <c r="U180" i="94"/>
  <c r="AO104" i="94"/>
  <c r="AD174" i="94"/>
  <c r="AE183" i="94"/>
  <c r="AZ85" i="94"/>
  <c r="AY104" i="94"/>
  <c r="AV129" i="94"/>
  <c r="AV247" i="94" s="1"/>
  <c r="AO105" i="94"/>
  <c r="AR96" i="94"/>
  <c r="BD121" i="94"/>
  <c r="BD239" i="94" s="1"/>
  <c r="W181" i="94"/>
  <c r="AX114" i="94"/>
  <c r="AX232" i="94" s="1"/>
  <c r="BD89" i="94"/>
  <c r="AZ123" i="94"/>
  <c r="AZ241" i="94" s="1"/>
  <c r="AK102" i="94"/>
  <c r="AZ80" i="94"/>
  <c r="AB183" i="94"/>
  <c r="U141" i="94"/>
  <c r="AR83" i="94"/>
  <c r="X149" i="94"/>
  <c r="AT110" i="94"/>
  <c r="AB147" i="94"/>
  <c r="W160" i="94"/>
  <c r="AE185" i="94"/>
  <c r="BF119" i="94"/>
  <c r="BF237" i="94" s="1"/>
  <c r="AM102" i="94"/>
  <c r="AL99" i="94"/>
  <c r="AL80" i="94"/>
  <c r="AL79" i="94"/>
  <c r="AL109" i="94"/>
  <c r="X171" i="94"/>
  <c r="AC168" i="94"/>
  <c r="AD166" i="94"/>
  <c r="O172" i="94"/>
  <c r="K183" i="94"/>
  <c r="N157" i="94"/>
  <c r="AL119" i="94"/>
  <c r="AL237" i="94" s="1"/>
  <c r="H185" i="94"/>
  <c r="J168" i="94"/>
  <c r="J148" i="94"/>
  <c r="AA161" i="94"/>
  <c r="AK107" i="94"/>
  <c r="P184" i="94"/>
  <c r="K176" i="94"/>
  <c r="I141" i="94"/>
  <c r="AF147" i="94"/>
  <c r="AF162" i="94"/>
  <c r="AF163" i="94"/>
  <c r="BE114" i="94"/>
  <c r="BE232" i="94" s="1"/>
  <c r="BD122" i="94"/>
  <c r="BD240" i="94" s="1"/>
  <c r="P189" i="94"/>
  <c r="AP78" i="94"/>
  <c r="AC145" i="94"/>
  <c r="BC93" i="94"/>
  <c r="AZ96" i="94"/>
  <c r="W164" i="94"/>
  <c r="AZ119" i="94"/>
  <c r="AZ237" i="94" s="1"/>
  <c r="J186" i="94"/>
  <c r="AJ129" i="94"/>
  <c r="AJ247" i="94" s="1"/>
  <c r="AP114" i="94"/>
  <c r="AP232" i="94" s="1"/>
  <c r="AK100" i="94"/>
  <c r="AL121" i="94"/>
  <c r="AL239" i="94" s="1"/>
  <c r="BI94" i="94"/>
  <c r="Z181" i="94"/>
  <c r="AT117" i="94"/>
  <c r="AT235" i="94" s="1"/>
  <c r="AA182" i="94"/>
  <c r="AK123" i="94"/>
  <c r="AK241" i="94" s="1"/>
  <c r="AX120" i="94"/>
  <c r="AX238" i="94" s="1"/>
  <c r="AM80" i="94"/>
  <c r="AE145" i="94"/>
  <c r="BD87" i="94"/>
  <c r="AM110" i="94"/>
  <c r="AS96" i="94"/>
  <c r="AC157" i="94"/>
  <c r="AP119" i="94"/>
  <c r="AP237" i="94" s="1"/>
  <c r="AJ110" i="94"/>
  <c r="AU92" i="94"/>
  <c r="AT97" i="94"/>
  <c r="BB122" i="94"/>
  <c r="BB240" i="94" s="1"/>
  <c r="BI103" i="94"/>
  <c r="X156" i="94"/>
  <c r="AV117" i="94"/>
  <c r="AV235" i="94" s="1"/>
  <c r="AU83" i="94"/>
  <c r="BD119" i="94"/>
  <c r="BD237" i="94" s="1"/>
  <c r="AM104" i="94"/>
  <c r="AT91" i="94"/>
  <c r="AL85" i="94"/>
  <c r="AP98" i="94"/>
  <c r="AL86" i="94"/>
  <c r="AX93" i="94"/>
  <c r="T185" i="94"/>
  <c r="AY97" i="94"/>
  <c r="AF149" i="94"/>
  <c r="AJ92" i="94"/>
  <c r="AQ78" i="94"/>
  <c r="AS80" i="94"/>
  <c r="AQ122" i="94"/>
  <c r="AQ240" i="94" s="1"/>
  <c r="AM130" i="94"/>
  <c r="AM248" i="94" s="1"/>
  <c r="BC92" i="94"/>
  <c r="AB184" i="94"/>
  <c r="V141" i="94"/>
  <c r="AU98" i="94"/>
  <c r="AQ90" i="94"/>
  <c r="BC108" i="94"/>
  <c r="M156" i="94"/>
  <c r="U184" i="94"/>
  <c r="BA122" i="94"/>
  <c r="BA240" i="94" s="1"/>
  <c r="AT127" i="94"/>
  <c r="AT245" i="94" s="1"/>
  <c r="AG140" i="94"/>
  <c r="T155" i="94"/>
  <c r="AP117" i="94"/>
  <c r="AP235" i="94" s="1"/>
  <c r="M160" i="94"/>
  <c r="AK111" i="94"/>
  <c r="AK229" i="94" s="1"/>
  <c r="H184" i="94"/>
  <c r="AR84" i="94"/>
  <c r="AV104" i="94"/>
  <c r="AX92" i="94"/>
  <c r="AO111" i="94"/>
  <c r="AO229" i="94" s="1"/>
  <c r="S148" i="94"/>
  <c r="M148" i="94"/>
  <c r="AP86" i="94"/>
  <c r="S163" i="94"/>
  <c r="AQ104" i="94"/>
  <c r="AK84" i="94"/>
  <c r="AL108" i="94"/>
  <c r="BE85" i="94"/>
  <c r="AC171" i="94"/>
  <c r="AE150" i="94"/>
  <c r="N188" i="94"/>
  <c r="AT126" i="94"/>
  <c r="AT244" i="94" s="1"/>
  <c r="AM88" i="94"/>
  <c r="H154" i="94"/>
  <c r="AK101" i="94"/>
  <c r="BD86" i="94"/>
  <c r="BI111" i="94"/>
  <c r="BI229" i="94" s="1"/>
  <c r="AC180" i="94"/>
  <c r="AL89" i="94"/>
  <c r="AS92" i="94"/>
  <c r="AA148" i="94"/>
  <c r="AY83" i="94"/>
  <c r="AL123" i="94"/>
  <c r="AL241" i="94" s="1"/>
  <c r="BF124" i="94"/>
  <c r="BF242" i="94" s="1"/>
  <c r="N173" i="94"/>
  <c r="AK93" i="94"/>
  <c r="AQ83" i="94"/>
  <c r="AN107" i="94"/>
  <c r="AW94" i="94"/>
  <c r="AJ84" i="94"/>
  <c r="AO101" i="94"/>
  <c r="L158" i="94"/>
  <c r="H140" i="94"/>
  <c r="AF179" i="94"/>
  <c r="AR89" i="94"/>
  <c r="J169" i="94"/>
  <c r="AO98" i="94"/>
  <c r="AX99" i="94"/>
  <c r="BD95" i="94"/>
  <c r="AR105" i="94"/>
  <c r="AT88" i="94"/>
  <c r="Z146" i="94"/>
  <c r="AP118" i="94"/>
  <c r="AP236" i="94" s="1"/>
  <c r="I185" i="94"/>
  <c r="BG78" i="94"/>
  <c r="AV99" i="94"/>
  <c r="Q160" i="94"/>
  <c r="BD97" i="94"/>
  <c r="AU96" i="94"/>
  <c r="BE103" i="94"/>
  <c r="BG102" i="94"/>
  <c r="BF114" i="94"/>
  <c r="BF232" i="94" s="1"/>
  <c r="AD179" i="94"/>
  <c r="R163" i="94"/>
  <c r="AX130" i="94"/>
  <c r="AX248" i="94" s="1"/>
  <c r="AV130" i="94"/>
  <c r="AV248" i="94" s="1"/>
  <c r="BE121" i="94"/>
  <c r="BE239" i="94" s="1"/>
  <c r="BF78" i="94"/>
  <c r="K170" i="94"/>
  <c r="BF108" i="94"/>
  <c r="BA102" i="94"/>
  <c r="BB119" i="94"/>
  <c r="BB237" i="94" s="1"/>
  <c r="BD109" i="94"/>
  <c r="BF96" i="94"/>
  <c r="U169" i="94"/>
  <c r="AK87" i="94"/>
  <c r="AT111" i="94"/>
  <c r="AT229" i="94" s="1"/>
  <c r="N152" i="94"/>
  <c r="AT101" i="94"/>
  <c r="M190" i="94"/>
  <c r="AO128" i="94"/>
  <c r="AO246" i="94" s="1"/>
  <c r="BG112" i="94"/>
  <c r="BG230" i="94" s="1"/>
  <c r="O167" i="94"/>
  <c r="Z174" i="94"/>
  <c r="X190" i="94"/>
  <c r="AV79" i="94"/>
  <c r="AM93" i="94"/>
  <c r="AL90" i="94"/>
  <c r="AW103" i="94"/>
  <c r="BD120" i="94"/>
  <c r="BD238" i="94" s="1"/>
  <c r="BF84" i="94"/>
  <c r="AG179" i="94"/>
  <c r="AF168" i="94"/>
  <c r="Q163" i="94"/>
  <c r="Z155" i="94"/>
  <c r="AO113" i="94"/>
  <c r="AO231" i="94" s="1"/>
  <c r="V186" i="94"/>
  <c r="AP94" i="94"/>
  <c r="BB106" i="94"/>
  <c r="V161" i="94"/>
  <c r="BH127" i="94"/>
  <c r="BH245" i="94" s="1"/>
  <c r="O163" i="94"/>
  <c r="AF173" i="94"/>
  <c r="O188" i="94"/>
  <c r="AX113" i="94"/>
  <c r="AX231" i="94" s="1"/>
  <c r="X145" i="94"/>
  <c r="Z159" i="94"/>
  <c r="AV111" i="94"/>
  <c r="AV229" i="94" s="1"/>
  <c r="BE90" i="94"/>
  <c r="Q155" i="94"/>
  <c r="AN83" i="94"/>
  <c r="BB91" i="94"/>
  <c r="Z168" i="94"/>
  <c r="BC104" i="94"/>
  <c r="BC107" i="94"/>
  <c r="BG124" i="94"/>
  <c r="BG242" i="94" s="1"/>
  <c r="K152" i="94"/>
  <c r="BD130" i="94"/>
  <c r="BD248" i="94" s="1"/>
  <c r="I153" i="94"/>
  <c r="I168" i="94"/>
  <c r="AN96" i="94"/>
  <c r="AR78" i="94"/>
  <c r="AK94" i="94"/>
  <c r="AK116" i="94"/>
  <c r="AK234" i="94" s="1"/>
  <c r="AP91" i="94"/>
  <c r="AQ87" i="94"/>
  <c r="S171" i="94"/>
  <c r="AN84" i="94"/>
  <c r="BE106" i="94"/>
  <c r="AA140" i="94"/>
  <c r="AU110" i="94"/>
  <c r="BH83" i="94"/>
  <c r="J141" i="94"/>
  <c r="BI87" i="94"/>
  <c r="AS89" i="94"/>
  <c r="Z164" i="94"/>
  <c r="O154" i="94"/>
  <c r="U185" i="94"/>
  <c r="AZ79" i="94"/>
  <c r="AS79" i="94"/>
  <c r="AS126" i="94"/>
  <c r="AS244" i="94" s="1"/>
  <c r="BC123" i="94"/>
  <c r="BC241" i="94" s="1"/>
  <c r="AM129" i="94"/>
  <c r="AM247" i="94" s="1"/>
  <c r="AU130" i="94"/>
  <c r="AU248" i="94" s="1"/>
  <c r="AX121" i="94"/>
  <c r="AX239" i="94" s="1"/>
  <c r="AV105" i="94"/>
  <c r="AS105" i="94"/>
  <c r="BG122" i="94"/>
  <c r="BG240" i="94" s="1"/>
  <c r="AJ86" i="94"/>
  <c r="V150" i="94"/>
  <c r="BI80" i="94"/>
  <c r="BA111" i="94"/>
  <c r="BA229" i="94" s="1"/>
  <c r="AG172" i="94"/>
  <c r="BB118" i="94"/>
  <c r="BB236" i="94" s="1"/>
  <c r="BA86" i="94"/>
  <c r="AY124" i="94"/>
  <c r="AY242" i="94" s="1"/>
  <c r="BA110" i="94"/>
  <c r="AK83" i="94"/>
  <c r="BG96" i="94"/>
  <c r="BI107" i="94"/>
  <c r="BG118" i="94"/>
  <c r="BG236" i="94" s="1"/>
  <c r="AN121" i="94"/>
  <c r="AN239" i="94" s="1"/>
  <c r="BI89" i="94"/>
  <c r="AC154" i="94"/>
  <c r="AR107" i="94"/>
  <c r="BG89" i="94"/>
  <c r="AW89" i="94"/>
  <c r="AW117" i="94"/>
  <c r="AW235" i="94" s="1"/>
  <c r="BE108" i="94"/>
  <c r="X147" i="94"/>
  <c r="BA127" i="94"/>
  <c r="BA245" i="94" s="1"/>
  <c r="W146" i="94"/>
  <c r="BB105" i="94"/>
  <c r="Y152" i="94"/>
  <c r="BH92" i="94"/>
  <c r="I150" i="94"/>
  <c r="AO80" i="94"/>
  <c r="BC114" i="94"/>
  <c r="BC232" i="94" s="1"/>
  <c r="BH99" i="94"/>
  <c r="BB92" i="94"/>
  <c r="BC98" i="94"/>
  <c r="AL81" i="94"/>
  <c r="AK98" i="94"/>
  <c r="BH78" i="94"/>
  <c r="BC105" i="94"/>
  <c r="AL111" i="94"/>
  <c r="AL229" i="94" s="1"/>
  <c r="BI123" i="94"/>
  <c r="BI241" i="94" s="1"/>
  <c r="X180" i="94"/>
  <c r="V156" i="94"/>
  <c r="I180" i="94"/>
  <c r="BB107" i="94"/>
  <c r="BH120" i="94"/>
  <c r="BH238" i="94" s="1"/>
  <c r="M158" i="94"/>
  <c r="AQ109" i="94"/>
  <c r="AR106" i="94"/>
  <c r="AU127" i="94"/>
  <c r="AU245" i="94" s="1"/>
  <c r="AJ96" i="94"/>
  <c r="S162" i="94"/>
  <c r="AW93" i="94"/>
  <c r="AV91" i="94"/>
  <c r="R150" i="94"/>
  <c r="AY78" i="94"/>
  <c r="AM122" i="94"/>
  <c r="AM240" i="94" s="1"/>
  <c r="AY99" i="94"/>
  <c r="AA159" i="94"/>
  <c r="AO110" i="94"/>
  <c r="AK115" i="94"/>
  <c r="AK233" i="94" s="1"/>
  <c r="AV84" i="94"/>
  <c r="N158" i="94"/>
  <c r="AM98" i="94"/>
  <c r="AS121" i="94"/>
  <c r="AS239" i="94" s="1"/>
  <c r="AV86" i="94"/>
  <c r="AP113" i="94"/>
  <c r="AP231" i="94" s="1"/>
  <c r="R152" i="94"/>
  <c r="AP126" i="94"/>
  <c r="AP244" i="94" s="1"/>
  <c r="AL84" i="94"/>
  <c r="AJ87" i="94"/>
  <c r="BG117" i="94"/>
  <c r="BG235" i="94" s="1"/>
  <c r="AT113" i="94"/>
  <c r="AT231" i="94" s="1"/>
  <c r="BD127" i="94"/>
  <c r="BD245" i="94" s="1"/>
  <c r="BF92" i="94"/>
  <c r="BA98" i="94"/>
  <c r="AF189" i="94"/>
  <c r="AF157" i="94"/>
  <c r="AS122" i="94"/>
  <c r="AS240" i="94" s="1"/>
  <c r="AY114" i="94"/>
  <c r="AY232" i="94" s="1"/>
  <c r="Y140" i="94"/>
  <c r="AQ102" i="94"/>
  <c r="AN128" i="94"/>
  <c r="AN246" i="94" s="1"/>
  <c r="BD84" i="94"/>
  <c r="AX117" i="94"/>
  <c r="AX235" i="94" s="1"/>
  <c r="W180" i="94"/>
  <c r="AF146" i="94"/>
  <c r="V188" i="94"/>
  <c r="U186" i="94"/>
  <c r="N156" i="94"/>
  <c r="AB191" i="94"/>
  <c r="Y185" i="94"/>
  <c r="M141" i="94"/>
  <c r="K141" i="94"/>
  <c r="BA91" i="94"/>
  <c r="T150" i="94"/>
  <c r="Q156" i="94"/>
  <c r="AQ91" i="94"/>
  <c r="AR94" i="94"/>
  <c r="AM92" i="94"/>
  <c r="BE104" i="94"/>
  <c r="AK103" i="94"/>
  <c r="BI118" i="94"/>
  <c r="BI236" i="94" s="1"/>
  <c r="AV126" i="94"/>
  <c r="AV244" i="94" s="1"/>
  <c r="Q147" i="94"/>
  <c r="T158" i="94"/>
  <c r="BG83" i="94"/>
  <c r="AD160" i="94"/>
  <c r="X160" i="94"/>
  <c r="Q175" i="94"/>
  <c r="W157" i="94"/>
  <c r="BI105" i="94"/>
  <c r="BC118" i="94"/>
  <c r="BC236" i="94" s="1"/>
  <c r="W147" i="94"/>
  <c r="BE91" i="94"/>
  <c r="M150" i="94"/>
  <c r="AU101" i="94"/>
  <c r="AS103" i="94"/>
  <c r="AQ85" i="94"/>
  <c r="AC146" i="94"/>
  <c r="BH97" i="94"/>
  <c r="AY95" i="94"/>
  <c r="N167" i="94"/>
  <c r="N174" i="94"/>
  <c r="Y180" i="94"/>
  <c r="Q191" i="94"/>
  <c r="O164" i="94"/>
  <c r="U191" i="94"/>
  <c r="AQ88" i="94"/>
  <c r="AS107" i="94"/>
  <c r="K171" i="94"/>
  <c r="N185" i="94"/>
  <c r="AB154" i="94"/>
  <c r="AB163" i="94"/>
  <c r="AA155" i="94"/>
  <c r="J182" i="94"/>
  <c r="AD165" i="94"/>
  <c r="L192" i="94"/>
  <c r="BE78" i="94"/>
  <c r="AV103" i="94"/>
  <c r="BA107" i="94"/>
  <c r="AJ122" i="94"/>
  <c r="AJ240" i="94" s="1"/>
  <c r="AW126" i="94"/>
  <c r="AW244" i="94" s="1"/>
  <c r="BG88" i="94"/>
  <c r="AM89" i="94"/>
  <c r="AZ112" i="94"/>
  <c r="AZ230" i="94" s="1"/>
  <c r="BD128" i="94"/>
  <c r="BD246" i="94" s="1"/>
  <c r="AY92" i="94"/>
  <c r="N155" i="94"/>
  <c r="AJ94" i="94"/>
  <c r="V181" i="94"/>
  <c r="BC129" i="94"/>
  <c r="BC247" i="94" s="1"/>
  <c r="W172" i="94"/>
  <c r="X164" i="94"/>
  <c r="O179" i="94"/>
  <c r="N147" i="94"/>
  <c r="W179" i="94"/>
  <c r="BI96" i="94"/>
  <c r="BF89" i="94"/>
  <c r="BD129" i="94"/>
  <c r="BD247" i="94" s="1"/>
  <c r="BA119" i="94"/>
  <c r="BA237" i="94" s="1"/>
  <c r="AS93" i="94"/>
  <c r="AJ112" i="94"/>
  <c r="AJ230" i="94" s="1"/>
  <c r="U146" i="94"/>
  <c r="AA164" i="94"/>
  <c r="AB150" i="94"/>
  <c r="AE175" i="94"/>
  <c r="H178" i="94"/>
  <c r="L181" i="94"/>
  <c r="BA112" i="94"/>
  <c r="BA230" i="94" s="1"/>
  <c r="N190" i="94"/>
  <c r="J191" i="94"/>
  <c r="AC160" i="94"/>
  <c r="I145" i="94"/>
  <c r="AC184" i="94"/>
  <c r="AP127" i="94"/>
  <c r="AP245" i="94" s="1"/>
  <c r="AY100" i="94"/>
  <c r="AD167" i="94"/>
  <c r="BI104" i="94"/>
  <c r="AA147" i="94"/>
  <c r="AC140" i="94"/>
  <c r="AE140" i="94"/>
  <c r="I179" i="94"/>
  <c r="AG191" i="94"/>
  <c r="AC173" i="94"/>
  <c r="AN95" i="94"/>
  <c r="BD90" i="94"/>
  <c r="M162" i="94"/>
  <c r="AG158" i="94"/>
  <c r="AD172" i="94"/>
  <c r="Q176" i="94"/>
  <c r="AK128" i="94"/>
  <c r="AK246" i="94" s="1"/>
  <c r="N170" i="94"/>
  <c r="P174" i="94"/>
  <c r="AZ78" i="94"/>
  <c r="AV109" i="94"/>
  <c r="AB185" i="94"/>
  <c r="AR102" i="94"/>
  <c r="AP129" i="94"/>
  <c r="AP247" i="94" s="1"/>
  <c r="AV92" i="94"/>
  <c r="AT79" i="94"/>
  <c r="Y153" i="94"/>
  <c r="K182" i="94"/>
  <c r="BD126" i="94"/>
  <c r="BD244" i="94" s="1"/>
  <c r="BE99" i="94"/>
  <c r="AL88" i="94"/>
  <c r="AN86" i="94"/>
  <c r="BF91" i="94"/>
  <c r="AR86" i="94"/>
  <c r="L191" i="94"/>
  <c r="Q171" i="94"/>
  <c r="L162" i="94"/>
  <c r="M174" i="94"/>
  <c r="AU87" i="94"/>
  <c r="BA87" i="94"/>
  <c r="BI85" i="94"/>
  <c r="N176" i="94"/>
  <c r="V157" i="94"/>
  <c r="AC190" i="94"/>
  <c r="BG101" i="94"/>
  <c r="AW104" i="94"/>
  <c r="AV128" i="94"/>
  <c r="AV246" i="94" s="1"/>
  <c r="AP106" i="94"/>
  <c r="AW100" i="94"/>
  <c r="AT80" i="94"/>
  <c r="BH130" i="94"/>
  <c r="BH248" i="94" s="1"/>
  <c r="BG105" i="94"/>
  <c r="AZ124" i="94"/>
  <c r="AZ242" i="94" s="1"/>
  <c r="AL113" i="94"/>
  <c r="AL231" i="94" s="1"/>
  <c r="BB96" i="94"/>
  <c r="BC90" i="94"/>
  <c r="AL103" i="94"/>
  <c r="BH102" i="94"/>
  <c r="BH93" i="94"/>
  <c r="AM86" i="94"/>
  <c r="M168" i="94"/>
  <c r="W140" i="94"/>
  <c r="AT118" i="94"/>
  <c r="AT236" i="94" s="1"/>
  <c r="N164" i="94"/>
  <c r="AD141" i="94"/>
  <c r="BB109" i="94"/>
  <c r="W188" i="94"/>
  <c r="AD159" i="94"/>
  <c r="BI98" i="94"/>
  <c r="AN93" i="94"/>
  <c r="AO78" i="94"/>
  <c r="AL96" i="94"/>
  <c r="S173" i="94"/>
  <c r="AS114" i="94"/>
  <c r="AS232" i="94" s="1"/>
  <c r="BC78" i="94"/>
  <c r="AQ123" i="94"/>
  <c r="AQ241" i="94" s="1"/>
  <c r="Y175" i="94"/>
  <c r="AP107" i="94"/>
  <c r="Q182" i="94"/>
  <c r="K155" i="94"/>
  <c r="AG163" i="94"/>
  <c r="K189" i="94"/>
  <c r="V174" i="94"/>
  <c r="J187" i="94"/>
  <c r="O140" i="94"/>
  <c r="H150" i="94"/>
  <c r="AM97" i="94"/>
  <c r="AQ119" i="94"/>
  <c r="AQ237" i="94" s="1"/>
  <c r="R181" i="94"/>
  <c r="AP109" i="94"/>
  <c r="U150" i="94"/>
  <c r="AF191" i="94"/>
  <c r="R188" i="94"/>
  <c r="P148" i="94"/>
  <c r="L161" i="94"/>
  <c r="AV80" i="94"/>
  <c r="J189" i="94"/>
  <c r="BE94" i="94"/>
  <c r="X167" i="94"/>
  <c r="AK118" i="94"/>
  <c r="AK236" i="94" s="1"/>
  <c r="AE142" i="94"/>
  <c r="BB94" i="94"/>
  <c r="V160" i="94"/>
  <c r="Q161" i="94"/>
  <c r="AZ91" i="94"/>
  <c r="AK82" i="94"/>
  <c r="W145" i="94"/>
  <c r="AP83" i="94"/>
  <c r="V165" i="94"/>
  <c r="AX94" i="94"/>
  <c r="AE168" i="94"/>
  <c r="AF165" i="94"/>
  <c r="AL105" i="94"/>
  <c r="BA109" i="94"/>
  <c r="O156" i="94"/>
  <c r="BB87" i="94"/>
  <c r="BB108" i="94"/>
  <c r="AL129" i="94"/>
  <c r="AL247" i="94" s="1"/>
  <c r="BI78" i="94"/>
  <c r="BB111" i="94"/>
  <c r="BB229" i="94" s="1"/>
  <c r="P140" i="94"/>
  <c r="BD110" i="94"/>
  <c r="P147" i="94"/>
  <c r="BH119" i="94"/>
  <c r="BH237" i="94" s="1"/>
  <c r="BD94" i="94"/>
  <c r="S150" i="94"/>
  <c r="AZ83" i="94"/>
  <c r="AY86" i="94"/>
  <c r="BB97" i="94"/>
  <c r="AW120" i="94"/>
  <c r="AW238" i="94" s="1"/>
  <c r="Y141" i="94"/>
  <c r="BC85" i="94"/>
  <c r="AN123" i="94"/>
  <c r="AN241" i="94" s="1"/>
  <c r="AM127" i="94"/>
  <c r="AM245" i="94" s="1"/>
  <c r="T161" i="94"/>
  <c r="P149" i="94"/>
  <c r="AP101" i="94"/>
  <c r="AW80" i="94"/>
  <c r="H169" i="94"/>
  <c r="X148" i="94"/>
  <c r="AP85" i="94"/>
  <c r="AX104" i="94"/>
  <c r="AP80" i="94"/>
  <c r="Q154" i="94"/>
  <c r="AM126" i="94"/>
  <c r="AM244" i="94" s="1"/>
  <c r="BC91" i="94"/>
  <c r="AY85" i="94"/>
  <c r="BB114" i="94"/>
  <c r="BB232" i="94" s="1"/>
  <c r="AM103" i="94"/>
  <c r="BE98" i="94"/>
  <c r="AN90" i="94"/>
  <c r="BF112" i="94"/>
  <c r="BF230" i="94" s="1"/>
  <c r="BB99" i="94"/>
  <c r="AU100" i="94"/>
  <c r="Y173" i="94"/>
  <c r="S146" i="94"/>
  <c r="AE174" i="94"/>
  <c r="AR113" i="94"/>
  <c r="AR231" i="94" s="1"/>
  <c r="R192" i="94"/>
  <c r="AQ108" i="94"/>
  <c r="AU108" i="94"/>
  <c r="AA166" i="94"/>
  <c r="BB121" i="94"/>
  <c r="BB239" i="94" s="1"/>
  <c r="BH89" i="94"/>
  <c r="AU97" i="94"/>
  <c r="AZ97" i="94"/>
  <c r="AP103" i="94"/>
  <c r="AY123" i="94"/>
  <c r="AY241" i="94" s="1"/>
  <c r="AO107" i="94"/>
  <c r="AX86" i="94"/>
  <c r="AA156" i="94"/>
  <c r="V154" i="94"/>
  <c r="AN117" i="94"/>
  <c r="AN235" i="94" s="1"/>
  <c r="Y157" i="94"/>
  <c r="BI117" i="94"/>
  <c r="BI235" i="94" s="1"/>
  <c r="BH106" i="94"/>
  <c r="BD123" i="94"/>
  <c r="BD241" i="94" s="1"/>
  <c r="AK104" i="94"/>
  <c r="BC130" i="94"/>
  <c r="BC248" i="94" s="1"/>
  <c r="N169" i="94"/>
  <c r="AL87" i="94"/>
  <c r="AY109" i="94"/>
  <c r="AK80" i="94"/>
  <c r="AO108" i="94"/>
  <c r="AQ128" i="94"/>
  <c r="AQ246" i="94" s="1"/>
  <c r="AM117" i="94"/>
  <c r="AM235" i="94" s="1"/>
  <c r="BH129" i="94"/>
  <c r="BH247" i="94" s="1"/>
  <c r="J190" i="94"/>
  <c r="V166" i="94"/>
  <c r="Z163" i="94"/>
  <c r="BF109" i="94"/>
  <c r="BI122" i="94"/>
  <c r="BI240" i="94" s="1"/>
  <c r="W166" i="94"/>
  <c r="L170" i="94"/>
  <c r="AU106" i="94"/>
  <c r="H141" i="94"/>
  <c r="AP102" i="94"/>
  <c r="BH105" i="94"/>
  <c r="AX89" i="94"/>
  <c r="AR79" i="94"/>
  <c r="S188" i="94"/>
  <c r="AN104" i="94"/>
  <c r="BD103" i="94"/>
  <c r="BD100" i="94"/>
  <c r="AQ106" i="94"/>
  <c r="AV120" i="94"/>
  <c r="AV238" i="94" s="1"/>
  <c r="BB83" i="94"/>
  <c r="AM91" i="94"/>
  <c r="AN126" i="94"/>
  <c r="AN244" i="94" s="1"/>
  <c r="AQ93" i="94"/>
  <c r="AT107" i="94"/>
  <c r="BF87" i="94"/>
  <c r="AK89" i="94"/>
  <c r="BC97" i="94"/>
  <c r="AS104" i="94"/>
  <c r="I148" i="94"/>
  <c r="BB98" i="94"/>
  <c r="AL122" i="94"/>
  <c r="AL240" i="94" s="1"/>
  <c r="AA174" i="94"/>
  <c r="L167" i="94"/>
  <c r="M182" i="94"/>
  <c r="AX95" i="94"/>
  <c r="BB85" i="94"/>
  <c r="R161" i="94"/>
  <c r="AW86" i="94"/>
  <c r="BG108" i="94"/>
  <c r="AT93" i="94"/>
  <c r="AR121" i="94"/>
  <c r="AR239" i="94" s="1"/>
  <c r="W171" i="94"/>
  <c r="BH114" i="94"/>
  <c r="BH232" i="94" s="1"/>
  <c r="AU109" i="94"/>
  <c r="AT105" i="94"/>
  <c r="P170" i="94"/>
  <c r="S141" i="94"/>
  <c r="V173" i="94"/>
  <c r="H157" i="94"/>
  <c r="AR80" i="94"/>
  <c r="BI90" i="94"/>
  <c r="AZ118" i="94"/>
  <c r="AZ236" i="94" s="1"/>
  <c r="AN105" i="94"/>
  <c r="AW84" i="94"/>
  <c r="BF88" i="94"/>
  <c r="N140" i="94"/>
  <c r="AR85" i="94"/>
  <c r="AR120" i="94"/>
  <c r="AR238" i="94" s="1"/>
  <c r="AS83" i="94"/>
  <c r="BA85" i="94"/>
  <c r="R175" i="94"/>
  <c r="N181" i="94"/>
  <c r="AS87" i="94"/>
  <c r="V185" i="94"/>
  <c r="J156" i="94"/>
  <c r="BD78" i="94"/>
  <c r="AN124" i="94"/>
  <c r="AN242" i="94" s="1"/>
  <c r="M170" i="94"/>
  <c r="AV89" i="94"/>
  <c r="AO90" i="94"/>
  <c r="BE120" i="94"/>
  <c r="BE238" i="94" s="1"/>
  <c r="AZ104" i="94"/>
  <c r="AF170" i="94"/>
  <c r="U151" i="94"/>
  <c r="AP99" i="94"/>
  <c r="M140" i="94"/>
  <c r="BH84" i="94"/>
  <c r="P169" i="94"/>
  <c r="AT103" i="94"/>
  <c r="AB162" i="94"/>
  <c r="AD169" i="94"/>
  <c r="AN118" i="94"/>
  <c r="AN236" i="94" s="1"/>
  <c r="AU95" i="94"/>
  <c r="BI121" i="94"/>
  <c r="BI239" i="94" s="1"/>
  <c r="BH86" i="94"/>
  <c r="BD83" i="94"/>
  <c r="AL101" i="94"/>
  <c r="AE146" i="94"/>
  <c r="AP90" i="94"/>
  <c r="AB148" i="94"/>
  <c r="K163" i="94"/>
  <c r="I156" i="94"/>
  <c r="AV110" i="94"/>
  <c r="K191" i="94"/>
  <c r="BI129" i="94"/>
  <c r="BI247" i="94" s="1"/>
  <c r="M176" i="94"/>
  <c r="AL97" i="94"/>
  <c r="L172" i="94"/>
  <c r="H146" i="94"/>
  <c r="BI106" i="94"/>
  <c r="AV97" i="94"/>
  <c r="AW123" i="94"/>
  <c r="AW241" i="94" s="1"/>
  <c r="BH94" i="94"/>
  <c r="AN88" i="94"/>
  <c r="L179" i="94"/>
  <c r="BC119" i="94"/>
  <c r="BC237" i="94" s="1"/>
  <c r="AQ103" i="94"/>
  <c r="AV96" i="94"/>
  <c r="R149" i="94"/>
  <c r="AJ102" i="94"/>
  <c r="H173" i="94"/>
  <c r="BG128" i="94"/>
  <c r="BG246" i="94" s="1"/>
  <c r="AN89" i="94"/>
  <c r="P162" i="94"/>
  <c r="AV107" i="94"/>
  <c r="Y146" i="94"/>
  <c r="Q153" i="94"/>
  <c r="U183" i="94"/>
  <c r="BE111" i="94"/>
  <c r="BE229" i="94" s="1"/>
  <c r="J149" i="94"/>
  <c r="AK106" i="94"/>
  <c r="AB189" i="94"/>
  <c r="AD188" i="94"/>
  <c r="AQ120" i="94"/>
  <c r="AQ238" i="94" s="1"/>
  <c r="AK86" i="94"/>
  <c r="AX91" i="94"/>
  <c r="AT129" i="94"/>
  <c r="AT247" i="94" s="1"/>
  <c r="AO117" i="94"/>
  <c r="AO235" i="94" s="1"/>
  <c r="BB126" i="94"/>
  <c r="BB244" i="94" s="1"/>
  <c r="BE107" i="94"/>
  <c r="U172" i="94"/>
  <c r="AJ100" i="94"/>
  <c r="M152" i="94"/>
  <c r="I177" i="94"/>
  <c r="AG187" i="94"/>
  <c r="AT125" i="94"/>
  <c r="AT243" i="94" s="1"/>
  <c r="O187" i="94"/>
  <c r="AU125" i="94"/>
  <c r="AU243" i="94" s="1"/>
  <c r="M177" i="94"/>
  <c r="BF115" i="94"/>
  <c r="BF233" i="94" s="1"/>
  <c r="AT115" i="94"/>
  <c r="AT233" i="94" s="1"/>
  <c r="AG178" i="94"/>
  <c r="AT116" i="94"/>
  <c r="AT234" i="94" s="1"/>
  <c r="BA116" i="94"/>
  <c r="BA234" i="94" s="1"/>
  <c r="AE178" i="94"/>
  <c r="V159" i="94"/>
  <c r="M144" i="94"/>
  <c r="BF82" i="94"/>
  <c r="BC82" i="94"/>
  <c r="AN82" i="94"/>
  <c r="BA81" i="94"/>
  <c r="V143" i="94"/>
  <c r="M143" i="94"/>
  <c r="AB143" i="94"/>
  <c r="J177" i="94"/>
  <c r="M187" i="94"/>
  <c r="BG125" i="94"/>
  <c r="BG243" i="94" s="1"/>
  <c r="S187" i="94"/>
  <c r="P177" i="94"/>
  <c r="BD115" i="94"/>
  <c r="BD233" i="94" s="1"/>
  <c r="AX115" i="94"/>
  <c r="AX233" i="94" s="1"/>
  <c r="AC177" i="94"/>
  <c r="N178" i="94"/>
  <c r="BF116" i="94"/>
  <c r="BF234" i="94" s="1"/>
  <c r="AU116" i="94"/>
  <c r="AU234" i="94" s="1"/>
  <c r="AY116" i="94"/>
  <c r="AY234" i="94" s="1"/>
  <c r="O159" i="94"/>
  <c r="T144" i="94"/>
  <c r="P144" i="94"/>
  <c r="AT82" i="94"/>
  <c r="BD82" i="94"/>
  <c r="AN81" i="94"/>
  <c r="Y143" i="94"/>
  <c r="O143" i="94"/>
  <c r="T143" i="94"/>
  <c r="H177" i="94"/>
  <c r="AS125" i="94"/>
  <c r="AS243" i="94" s="1"/>
  <c r="K187" i="94"/>
  <c r="AD187" i="94"/>
  <c r="S177" i="94"/>
  <c r="BI115" i="94"/>
  <c r="BI233" i="94" s="1"/>
  <c r="BE115" i="94"/>
  <c r="BE233" i="94" s="1"/>
  <c r="AD177" i="94"/>
  <c r="V178" i="94"/>
  <c r="AQ116" i="94"/>
  <c r="AQ234" i="94" s="1"/>
  <c r="AB178" i="94"/>
  <c r="AP116" i="94"/>
  <c r="AP234" i="94" s="1"/>
  <c r="H159" i="94"/>
  <c r="AV82" i="94"/>
  <c r="R144" i="94"/>
  <c r="BE82" i="94"/>
  <c r="AS82" i="94"/>
  <c r="BG81" i="94"/>
  <c r="AO81" i="94"/>
  <c r="AD143" i="94"/>
  <c r="X143" i="94"/>
  <c r="AA187" i="94"/>
  <c r="W187" i="94"/>
  <c r="BD125" i="94"/>
  <c r="BD243" i="94" s="1"/>
  <c r="R187" i="94"/>
  <c r="BA115" i="94"/>
  <c r="BA233" i="94" s="1"/>
  <c r="AF177" i="94"/>
  <c r="AB177" i="94"/>
  <c r="AG177" i="94"/>
  <c r="BE116" i="94"/>
  <c r="BE234" i="94" s="1"/>
  <c r="Q178" i="94"/>
  <c r="Y178" i="94"/>
  <c r="X159" i="94"/>
  <c r="W159" i="94"/>
  <c r="AA144" i="94"/>
  <c r="BH82" i="94"/>
  <c r="AW82" i="94"/>
  <c r="BB82" i="94"/>
  <c r="S143" i="94"/>
  <c r="W143" i="94"/>
  <c r="AG143" i="94"/>
  <c r="BH81" i="94"/>
  <c r="AQ125" i="94"/>
  <c r="AQ243" i="94" s="1"/>
  <c r="BB125" i="94"/>
  <c r="BB243" i="94" s="1"/>
  <c r="Q187" i="94"/>
  <c r="AZ125" i="94"/>
  <c r="AZ243" i="94" s="1"/>
  <c r="V177" i="94"/>
  <c r="O177" i="94"/>
  <c r="BC115" i="94"/>
  <c r="BC233" i="94" s="1"/>
  <c r="W177" i="94"/>
  <c r="BC116" i="94"/>
  <c r="BC234" i="94" s="1"/>
  <c r="P178" i="94"/>
  <c r="T178" i="94"/>
  <c r="R159" i="94"/>
  <c r="T159" i="94"/>
  <c r="AF144" i="94"/>
  <c r="AY82" i="94"/>
  <c r="AO82" i="94"/>
  <c r="K160" i="94"/>
  <c r="AV81" i="94"/>
  <c r="AS81" i="94"/>
  <c r="BB81" i="94"/>
  <c r="AF187" i="94"/>
  <c r="V187" i="94"/>
  <c r="AC187" i="94"/>
  <c r="BA125" i="94"/>
  <c r="BA243" i="94" s="1"/>
  <c r="AO115" i="94"/>
  <c r="AO233" i="94" s="1"/>
  <c r="AA177" i="94"/>
  <c r="AY115" i="94"/>
  <c r="AY233" i="94" s="1"/>
  <c r="K177" i="94"/>
  <c r="AZ116" i="94"/>
  <c r="AZ234" i="94" s="1"/>
  <c r="AD178" i="94"/>
  <c r="R178" i="94"/>
  <c r="N159" i="94"/>
  <c r="S159" i="94"/>
  <c r="Z144" i="94"/>
  <c r="AP82" i="94"/>
  <c r="AC144" i="94"/>
  <c r="I160" i="94"/>
  <c r="L143" i="94"/>
  <c r="BF81" i="94"/>
  <c r="AU81" i="94"/>
  <c r="BE125" i="94"/>
  <c r="BE243" i="94" s="1"/>
  <c r="AB187" i="94"/>
  <c r="U187" i="94"/>
  <c r="AY125" i="94"/>
  <c r="AY243" i="94" s="1"/>
  <c r="AZ115" i="94"/>
  <c r="AZ233" i="94" s="1"/>
  <c r="AE177" i="94"/>
  <c r="L177" i="94"/>
  <c r="Y177" i="94"/>
  <c r="Z178" i="94"/>
  <c r="BH116" i="94"/>
  <c r="BH234" i="94" s="1"/>
  <c r="O178" i="94"/>
  <c r="U159" i="94"/>
  <c r="Q159" i="94"/>
  <c r="V144" i="94"/>
  <c r="O144" i="94"/>
  <c r="AE144" i="94"/>
  <c r="J160" i="94"/>
  <c r="AZ81" i="94"/>
  <c r="AT81" i="94"/>
  <c r="BC81" i="94"/>
  <c r="BC125" i="94"/>
  <c r="BC243" i="94" s="1"/>
  <c r="P187" i="94"/>
  <c r="T187" i="94"/>
  <c r="X187" i="94"/>
  <c r="Q177" i="94"/>
  <c r="AU115" i="94"/>
  <c r="AU233" i="94" s="1"/>
  <c r="AW115" i="94"/>
  <c r="AW233" i="94" s="1"/>
  <c r="BH115" i="94"/>
  <c r="BH233" i="94" s="1"/>
  <c r="AF178" i="94"/>
  <c r="BI116" i="94"/>
  <c r="BI234" i="94" s="1"/>
  <c r="AA178" i="94"/>
  <c r="I159" i="94"/>
  <c r="K159" i="94"/>
  <c r="AQ82" i="94"/>
  <c r="Q144" i="94"/>
  <c r="AG144" i="94"/>
  <c r="H160" i="94"/>
  <c r="AX81" i="94"/>
  <c r="BD81" i="94"/>
  <c r="U143" i="94"/>
  <c r="AP125" i="94"/>
  <c r="AP243" i="94" s="1"/>
  <c r="Y187" i="94"/>
  <c r="Z187" i="94"/>
  <c r="AE187" i="94"/>
  <c r="BB115" i="94"/>
  <c r="BB233" i="94" s="1"/>
  <c r="AM115" i="94"/>
  <c r="AM233" i="94" s="1"/>
  <c r="AN115" i="94"/>
  <c r="AN233" i="94" s="1"/>
  <c r="R177" i="94"/>
  <c r="S178" i="94"/>
  <c r="AC178" i="94"/>
  <c r="W178" i="94"/>
  <c r="L159" i="94"/>
  <c r="AB144" i="94"/>
  <c r="N144" i="94"/>
  <c r="S144" i="94"/>
  <c r="BG82" i="94"/>
  <c r="Z143" i="94"/>
  <c r="R143" i="94"/>
  <c r="AA143" i="94"/>
  <c r="AP81" i="94"/>
  <c r="AW125" i="94"/>
  <c r="AW243" i="94" s="1"/>
  <c r="AX125" i="94"/>
  <c r="AX243" i="94" s="1"/>
  <c r="BI125" i="94"/>
  <c r="BI243" i="94" s="1"/>
  <c r="AN125" i="94"/>
  <c r="AN243" i="94" s="1"/>
  <c r="AR115" i="94"/>
  <c r="AR233" i="94" s="1"/>
  <c r="N177" i="94"/>
  <c r="AV115" i="94"/>
  <c r="AV233" i="94" s="1"/>
  <c r="AP115" i="94"/>
  <c r="AP233" i="94" s="1"/>
  <c r="AS116" i="94"/>
  <c r="AS234" i="94" s="1"/>
  <c r="AV116" i="94"/>
  <c r="AV234" i="94" s="1"/>
  <c r="X178" i="94"/>
  <c r="P159" i="94"/>
  <c r="AX82" i="94"/>
  <c r="BA82" i="94"/>
  <c r="U144" i="94"/>
  <c r="W144" i="94"/>
  <c r="N143" i="94"/>
  <c r="BE81" i="94"/>
  <c r="AY81" i="94"/>
  <c r="AW81" i="94"/>
  <c r="L187" i="94"/>
  <c r="AR125" i="94"/>
  <c r="AR243" i="94" s="1"/>
  <c r="AM125" i="94"/>
  <c r="AM243" i="94" s="1"/>
  <c r="AO125" i="94"/>
  <c r="AO243" i="94" s="1"/>
  <c r="X177" i="94"/>
  <c r="U177" i="94"/>
  <c r="AS115" i="94"/>
  <c r="AS233" i="94" s="1"/>
  <c r="BG115" i="94"/>
  <c r="BG233" i="94" s="1"/>
  <c r="AX116" i="94"/>
  <c r="AX234" i="94" s="1"/>
  <c r="U178" i="94"/>
  <c r="BD116" i="94"/>
  <c r="BD234" i="94" s="1"/>
  <c r="M159" i="94"/>
  <c r="AR82" i="94"/>
  <c r="X144" i="94"/>
  <c r="AZ82" i="94"/>
  <c r="L144" i="94"/>
  <c r="P143" i="94"/>
  <c r="AC143" i="94"/>
  <c r="AR81" i="94"/>
  <c r="AQ81" i="94"/>
  <c r="N187" i="94"/>
  <c r="BF125" i="94"/>
  <c r="BF243" i="94" s="1"/>
  <c r="AV125" i="94"/>
  <c r="AV243" i="94" s="1"/>
  <c r="BH125" i="94"/>
  <c r="BH243" i="94" s="1"/>
  <c r="Z177" i="94"/>
  <c r="AQ115" i="94"/>
  <c r="AQ233" i="94" s="1"/>
  <c r="T177" i="94"/>
  <c r="BB116" i="94"/>
  <c r="BB234" i="94" s="1"/>
  <c r="BG116" i="94"/>
  <c r="BG234" i="94" s="1"/>
  <c r="AW116" i="94"/>
  <c r="AW234" i="94" s="1"/>
  <c r="AR116" i="94"/>
  <c r="AR234" i="94" s="1"/>
  <c r="J159" i="94"/>
  <c r="AD144" i="94"/>
  <c r="BI82" i="94"/>
  <c r="Y144" i="94"/>
  <c r="AU82" i="94"/>
  <c r="Q143" i="94"/>
  <c r="BI81" i="94"/>
  <c r="AF143" i="94"/>
  <c r="AE143" i="94"/>
  <c r="FU44" i="94" l="1"/>
  <c r="FJ44" i="94"/>
  <c r="FM44" i="94"/>
  <c r="FE44" i="94"/>
  <c r="FR44" i="94"/>
  <c r="FO44" i="94"/>
  <c r="FF44" i="94"/>
  <c r="FD44" i="94"/>
  <c r="FA44" i="94"/>
  <c r="FT44" i="94"/>
  <c r="EV44" i="94"/>
  <c r="FP44" i="94"/>
  <c r="EY44" i="94"/>
  <c r="FH44" i="94"/>
  <c r="FK44" i="94"/>
  <c r="EZ44" i="94"/>
  <c r="FN44" i="94"/>
  <c r="FS44" i="94"/>
  <c r="FG44" i="94"/>
  <c r="FB44" i="94"/>
  <c r="FC44" i="94"/>
  <c r="FQ44" i="94"/>
  <c r="EW44" i="94"/>
  <c r="FI44" i="94"/>
  <c r="FL44" i="94"/>
  <c r="EX44" i="94"/>
  <c r="V127" i="1"/>
  <c r="V36" i="1"/>
  <c r="V37" i="1"/>
  <c r="V85" i="1"/>
  <c r="V105" i="1"/>
  <c r="V43" i="1"/>
  <c r="V40" i="1"/>
  <c r="V82" i="1"/>
  <c r="V84" i="1"/>
  <c r="V39" i="1"/>
  <c r="V124" i="1"/>
  <c r="V35" i="1"/>
  <c r="V126" i="1"/>
  <c r="V41" i="1"/>
  <c r="V33" i="1"/>
  <c r="V125" i="1"/>
  <c r="V106" i="1"/>
  <c r="V123" i="1"/>
  <c r="V34" i="1"/>
  <c r="V83" i="1"/>
  <c r="V122" i="1"/>
  <c r="V32" i="1"/>
  <c r="V104" i="1"/>
  <c r="V38" i="1"/>
  <c r="V109" i="1"/>
  <c r="V42" i="1"/>
  <c r="V107" i="1"/>
  <c r="V81" i="1"/>
  <c r="V108" i="1"/>
  <c r="V80" i="1"/>
  <c r="F120" i="94" l="1"/>
  <c r="ES124" i="94"/>
  <c r="EP130" i="94"/>
  <c r="EQ130" i="94" s="1"/>
  <c r="F128" i="94"/>
  <c r="F87" i="94"/>
  <c r="EP94" i="94"/>
  <c r="EQ94" i="94" s="1"/>
  <c r="F113" i="94"/>
  <c r="EP132" i="94"/>
  <c r="EQ132" i="94" s="1"/>
  <c r="EP134" i="94"/>
  <c r="EQ134" i="94" s="1"/>
  <c r="EP131" i="94"/>
  <c r="EQ131" i="94" s="1"/>
  <c r="F119" i="94"/>
  <c r="EP112" i="94"/>
  <c r="EQ112" i="94" s="1"/>
  <c r="F132" i="94"/>
  <c r="F123" i="94"/>
  <c r="F99" i="94"/>
  <c r="F84" i="94"/>
  <c r="F106" i="94"/>
  <c r="F95" i="94"/>
  <c r="F111" i="94"/>
  <c r="F110" i="94"/>
  <c r="F90" i="94"/>
  <c r="F104" i="94"/>
  <c r="F98" i="94"/>
  <c r="F80" i="94"/>
  <c r="EP96" i="94"/>
  <c r="EQ96" i="94" s="1"/>
  <c r="F88" i="94"/>
  <c r="EP122" i="94"/>
  <c r="EQ122" i="94" s="1"/>
  <c r="EP125" i="94"/>
  <c r="EQ125" i="94" s="1"/>
  <c r="ES127" i="94"/>
  <c r="EP113" i="94"/>
  <c r="EQ113" i="94" s="1"/>
  <c r="ES135" i="94"/>
  <c r="ES130" i="94"/>
  <c r="ES113" i="94"/>
  <c r="ES134" i="94"/>
  <c r="F109" i="94"/>
  <c r="F81" i="94"/>
  <c r="EP126" i="94"/>
  <c r="EQ126" i="94" s="1"/>
  <c r="F108" i="94"/>
  <c r="ES123" i="94"/>
  <c r="EP129" i="94"/>
  <c r="EQ129" i="94" s="1"/>
  <c r="EP84" i="94"/>
  <c r="EQ84" i="94" s="1"/>
  <c r="F133" i="94"/>
  <c r="F101" i="94"/>
  <c r="ES114" i="94"/>
  <c r="F116" i="94"/>
  <c r="F135" i="94"/>
  <c r="EP128" i="94"/>
  <c r="EQ128" i="94" s="1"/>
  <c r="F125" i="94"/>
  <c r="EP133" i="94"/>
  <c r="EQ133" i="94" s="1"/>
  <c r="EP95" i="94"/>
  <c r="EQ95" i="94" s="1"/>
  <c r="F85" i="94"/>
  <c r="F134" i="94"/>
  <c r="EP81" i="94"/>
  <c r="EQ81" i="94" s="1"/>
  <c r="F114" i="94"/>
  <c r="F103" i="94"/>
  <c r="F112" i="94"/>
  <c r="ES126" i="94"/>
  <c r="F102" i="94"/>
  <c r="F127" i="94"/>
  <c r="F96" i="94"/>
  <c r="F92" i="94"/>
  <c r="F115" i="94"/>
  <c r="F121" i="94"/>
  <c r="ES111" i="94"/>
  <c r="EP123" i="94"/>
  <c r="EQ123" i="94" s="1"/>
  <c r="EP124" i="94"/>
  <c r="EQ124" i="94" s="1"/>
  <c r="ES120" i="94"/>
  <c r="F86" i="94"/>
  <c r="F89" i="94"/>
  <c r="EP116" i="94"/>
  <c r="EQ116" i="94" s="1"/>
  <c r="F105" i="94"/>
  <c r="EP118" i="94"/>
  <c r="EQ118" i="94" s="1"/>
  <c r="EP119" i="94"/>
  <c r="EQ119" i="94" s="1"/>
  <c r="F79" i="94"/>
  <c r="EP82" i="94"/>
  <c r="EQ82" i="94" s="1"/>
  <c r="F91" i="94"/>
  <c r="F130" i="94"/>
  <c r="ES112" i="94"/>
  <c r="F107" i="94"/>
  <c r="ES132" i="94"/>
  <c r="EP115" i="94"/>
  <c r="EQ115" i="94" s="1"/>
  <c r="EP83" i="94"/>
  <c r="EQ83" i="94" s="1"/>
  <c r="F100" i="94"/>
  <c r="F93" i="94"/>
  <c r="F97" i="94"/>
  <c r="EP135" i="94"/>
  <c r="EQ135" i="94" s="1"/>
  <c r="ES118" i="94"/>
  <c r="F129" i="94"/>
  <c r="EP127" i="94"/>
  <c r="EQ127" i="94" s="1"/>
  <c r="ES122" i="94"/>
  <c r="EP117" i="94"/>
  <c r="EQ117" i="94" s="1"/>
  <c r="F124" i="94"/>
  <c r="F131" i="94"/>
  <c r="F94" i="94"/>
  <c r="ES133" i="94"/>
  <c r="F126" i="94"/>
  <c r="ES121" i="94"/>
  <c r="F82" i="94"/>
  <c r="F122" i="94"/>
  <c r="ES117" i="94"/>
  <c r="EP111" i="94"/>
  <c r="EQ111" i="94" s="1"/>
  <c r="ES119" i="94"/>
  <c r="ES131" i="94"/>
  <c r="EP120" i="94"/>
  <c r="EQ120" i="94" s="1"/>
  <c r="F83" i="94"/>
  <c r="EP121" i="94"/>
  <c r="EQ121" i="94" s="1"/>
  <c r="F118" i="94"/>
  <c r="F117" i="94"/>
  <c r="ES128" i="94"/>
  <c r="BO143" i="94" l="1"/>
  <c r="BQ143" i="94"/>
  <c r="BM143" i="94"/>
  <c r="BN143" i="94"/>
  <c r="BL143" i="94"/>
  <c r="BP143" i="94"/>
  <c r="BR143" i="94"/>
  <c r="BE143" i="94" a="1"/>
  <c r="BE143" i="94" s="1"/>
  <c r="BE199" i="94" s="1"/>
  <c r="BQ144" i="94"/>
  <c r="AY143" i="94" a="1"/>
  <c r="AY143" i="94" s="1"/>
  <c r="AY199" i="94" s="1"/>
  <c r="BM144" i="94"/>
  <c r="BG143" i="94" a="1"/>
  <c r="BG143" i="94" s="1"/>
  <c r="BG199" i="94" s="1"/>
  <c r="BF143" i="94" a="1"/>
  <c r="BF143" i="94" s="1"/>
  <c r="BF199" i="94" s="1"/>
  <c r="BN144" i="94"/>
  <c r="BA143" i="94" a="1"/>
  <c r="BA143" i="94" s="1"/>
  <c r="BA199" i="94" s="1"/>
  <c r="AT143" i="94" a="1"/>
  <c r="AT143" i="94" s="1"/>
  <c r="AT199" i="94" s="1"/>
  <c r="BD143" i="94" a="1"/>
  <c r="BD143" i="94" s="1"/>
  <c r="BD199" i="94" s="1"/>
  <c r="AQ143" i="94" a="1"/>
  <c r="AQ143" i="94" s="1"/>
  <c r="AQ199" i="94" s="1"/>
  <c r="AW143" i="94" a="1"/>
  <c r="AW143" i="94" s="1"/>
  <c r="AW199" i="94" s="1"/>
  <c r="BC143" i="94" a="1"/>
  <c r="BC143" i="94" s="1"/>
  <c r="BC199" i="94" s="1"/>
  <c r="BP144" i="94"/>
  <c r="BR144" i="94"/>
  <c r="BB143" i="94" a="1"/>
  <c r="BB143" i="94" s="1"/>
  <c r="BB199" i="94" s="1"/>
  <c r="BH143" i="94" a="1"/>
  <c r="BH143" i="94" s="1"/>
  <c r="BH199" i="94" s="1"/>
  <c r="AP143" i="94" a="1"/>
  <c r="AP143" i="94" s="1"/>
  <c r="AP199" i="94" s="1"/>
  <c r="AZ143" i="94" a="1"/>
  <c r="AZ143" i="94" s="1"/>
  <c r="AZ199" i="94" s="1"/>
  <c r="AK143" i="94" a="1"/>
  <c r="AK143" i="94" s="1"/>
  <c r="AK199" i="94" s="1"/>
  <c r="AL143" i="94" a="1"/>
  <c r="AL143" i="94" s="1"/>
  <c r="AL199" i="94" s="1"/>
  <c r="AR143" i="94" a="1"/>
  <c r="AR143" i="94" s="1"/>
  <c r="AR199" i="94" s="1"/>
  <c r="AU143" i="94" a="1"/>
  <c r="AU143" i="94" s="1"/>
  <c r="AU199" i="94" s="1"/>
  <c r="BL144" i="94"/>
  <c r="BO144" i="94"/>
  <c r="AN143" i="94" a="1"/>
  <c r="AN143" i="94" s="1"/>
  <c r="AN199" i="94" s="1"/>
  <c r="AO143" i="94" a="1"/>
  <c r="AO143" i="94" s="1"/>
  <c r="AO199" i="94" s="1"/>
  <c r="AX143" i="94" a="1"/>
  <c r="AX143" i="94" s="1"/>
  <c r="AX199" i="94" s="1"/>
  <c r="AV143" i="94" a="1"/>
  <c r="AV143" i="94" s="1"/>
  <c r="AV199" i="94" s="1"/>
  <c r="BI143" i="94" a="1"/>
  <c r="BI143" i="94" s="1"/>
  <c r="BI199" i="94" s="1"/>
  <c r="AS143" i="94" a="1"/>
  <c r="AS143" i="94" s="1"/>
  <c r="AS199" i="94" s="1"/>
  <c r="AJ143" i="94" a="1"/>
  <c r="AJ143" i="94" s="1"/>
  <c r="AJ199" i="94" s="1"/>
  <c r="AM143" i="94" a="1"/>
  <c r="AM143" i="94" s="1"/>
  <c r="AM199" i="94" s="1"/>
  <c r="AK171" i="94" a="1"/>
  <c r="AK171" i="94" s="1"/>
  <c r="AK227" i="94" s="1"/>
  <c r="AQ171" i="94" a="1"/>
  <c r="AQ171" i="94" s="1"/>
  <c r="AQ227" i="94" s="1"/>
  <c r="AJ171" i="94" a="1"/>
  <c r="AJ171" i="94" s="1"/>
  <c r="AJ227" i="94" s="1"/>
  <c r="AW171" i="94" a="1"/>
  <c r="AW171" i="94" s="1"/>
  <c r="AW227" i="94" s="1"/>
  <c r="AU171" i="94" a="1"/>
  <c r="AU171" i="94" s="1"/>
  <c r="AU227" i="94" s="1"/>
  <c r="AN171" i="94" a="1"/>
  <c r="AN171" i="94" s="1"/>
  <c r="AN227" i="94" s="1"/>
  <c r="AY171" i="94" a="1"/>
  <c r="AY171" i="94" s="1"/>
  <c r="AY227" i="94" s="1"/>
  <c r="BI171" i="94" a="1"/>
  <c r="BI171" i="94" s="1"/>
  <c r="BI227" i="94" s="1"/>
  <c r="BE171" i="94" a="1"/>
  <c r="BE171" i="94" s="1"/>
  <c r="BE227" i="94" s="1"/>
  <c r="AO171" i="94" a="1"/>
  <c r="AO171" i="94" s="1"/>
  <c r="AO227" i="94" s="1"/>
  <c r="AR171" i="94" a="1"/>
  <c r="AR171" i="94" s="1"/>
  <c r="AR227" i="94" s="1"/>
  <c r="BH171" i="94" a="1"/>
  <c r="BH171" i="94" s="1"/>
  <c r="BH227" i="94" s="1"/>
  <c r="AS171" i="94" a="1"/>
  <c r="AS171" i="94" s="1"/>
  <c r="AS227" i="94" s="1"/>
  <c r="BG171" i="94" a="1"/>
  <c r="BG171" i="94" s="1"/>
  <c r="BG227" i="94" s="1"/>
  <c r="BF171" i="94" a="1"/>
  <c r="BF171" i="94" s="1"/>
  <c r="BF227" i="94" s="1"/>
  <c r="BB171" i="94" a="1"/>
  <c r="BB171" i="94" s="1"/>
  <c r="BB227" i="94" s="1"/>
  <c r="AL171" i="94" a="1"/>
  <c r="AL171" i="94" s="1"/>
  <c r="AL227" i="94" s="1"/>
  <c r="AM171" i="94" a="1"/>
  <c r="AM171" i="94" s="1"/>
  <c r="AM227" i="94" s="1"/>
  <c r="AX171" i="94" a="1"/>
  <c r="AX171" i="94" s="1"/>
  <c r="AX227" i="94" s="1"/>
  <c r="AT171" i="94" a="1"/>
  <c r="AT171" i="94" s="1"/>
  <c r="AT227" i="94" s="1"/>
  <c r="BC171" i="94" a="1"/>
  <c r="BC171" i="94" s="1"/>
  <c r="BC227" i="94" s="1"/>
  <c r="AZ171" i="94" a="1"/>
  <c r="AZ171" i="94" s="1"/>
  <c r="AZ227" i="94" s="1"/>
  <c r="AV171" i="94" a="1"/>
  <c r="AV171" i="94" s="1"/>
  <c r="AV227" i="94" s="1"/>
  <c r="BA171" i="94" a="1"/>
  <c r="BA171" i="94" s="1"/>
  <c r="BA227" i="94" s="1"/>
  <c r="BD171" i="94" a="1"/>
  <c r="BD171" i="94" s="1"/>
  <c r="BD227" i="94" s="1"/>
  <c r="AP171" i="94" a="1"/>
  <c r="AP171" i="94" s="1"/>
  <c r="AP227" i="94" s="1"/>
  <c r="AU142" i="94" a="1"/>
  <c r="AU142" i="94" s="1"/>
  <c r="AU198" i="94" s="1"/>
  <c r="AN142" i="94" a="1"/>
  <c r="AN142" i="94" s="1"/>
  <c r="AN198" i="94" s="1"/>
  <c r="BA142" i="94" a="1"/>
  <c r="BA142" i="94" s="1"/>
  <c r="BA198" i="94" s="1"/>
  <c r="BG142" i="94" a="1"/>
  <c r="BG142" i="94" s="1"/>
  <c r="BG198" i="94" s="1"/>
  <c r="AO142" i="94" a="1"/>
  <c r="AO142" i="94" s="1"/>
  <c r="AO198" i="94" s="1"/>
  <c r="BE142" i="94" a="1"/>
  <c r="BE142" i="94" s="1"/>
  <c r="BE198" i="94" s="1"/>
  <c r="AL142" i="94" a="1"/>
  <c r="AL142" i="94" s="1"/>
  <c r="AL198" i="94" s="1"/>
  <c r="AR142" i="94" a="1"/>
  <c r="AR142" i="94" s="1"/>
  <c r="AR198" i="94" s="1"/>
  <c r="AS142" i="94" a="1"/>
  <c r="AS142" i="94" s="1"/>
  <c r="AS198" i="94" s="1"/>
  <c r="AM142" i="94" a="1"/>
  <c r="AM142" i="94" s="1"/>
  <c r="AM198" i="94" s="1"/>
  <c r="BD142" i="94" a="1"/>
  <c r="BD142" i="94" s="1"/>
  <c r="BD198" i="94" s="1"/>
  <c r="AJ142" i="94" a="1"/>
  <c r="AJ142" i="94" s="1"/>
  <c r="AJ198" i="94" s="1"/>
  <c r="BC142" i="94" a="1"/>
  <c r="BC142" i="94" s="1"/>
  <c r="BC198" i="94" s="1"/>
  <c r="AZ142" i="94" a="1"/>
  <c r="AZ142" i="94" s="1"/>
  <c r="AZ198" i="94" s="1"/>
  <c r="AT142" i="94" a="1"/>
  <c r="AT142" i="94" s="1"/>
  <c r="AT198" i="94" s="1"/>
  <c r="BB142" i="94" a="1"/>
  <c r="BB142" i="94" s="1"/>
  <c r="BB198" i="94" s="1"/>
  <c r="AV142" i="94" a="1"/>
  <c r="AV142" i="94" s="1"/>
  <c r="AV198" i="94" s="1"/>
  <c r="BF142" i="94" a="1"/>
  <c r="BF142" i="94" s="1"/>
  <c r="BF198" i="94" s="1"/>
  <c r="AP142" i="94" a="1"/>
  <c r="AP142" i="94" s="1"/>
  <c r="AP198" i="94" s="1"/>
  <c r="AW142" i="94" a="1"/>
  <c r="AW142" i="94" s="1"/>
  <c r="AW198" i="94" s="1"/>
  <c r="AY142" i="94" a="1"/>
  <c r="AY142" i="94" s="1"/>
  <c r="AY198" i="94" s="1"/>
  <c r="BI142" i="94" a="1"/>
  <c r="BI142" i="94" s="1"/>
  <c r="BI198" i="94" s="1"/>
  <c r="AQ142" i="94" a="1"/>
  <c r="AQ142" i="94" s="1"/>
  <c r="AQ198" i="94" s="1"/>
  <c r="AX142" i="94" a="1"/>
  <c r="AX142" i="94" s="1"/>
  <c r="AX198" i="94" s="1"/>
  <c r="AK142" i="94" a="1"/>
  <c r="AK142" i="94" s="1"/>
  <c r="AK198" i="94" s="1"/>
  <c r="BH142" i="94" a="1"/>
  <c r="BH142" i="94" s="1"/>
  <c r="BH198" i="94" s="1"/>
  <c r="AZ168" i="94" a="1"/>
  <c r="AZ168" i="94" s="1"/>
  <c r="AZ224" i="94" s="1"/>
  <c r="BI168" i="94" a="1"/>
  <c r="BI168" i="94" s="1"/>
  <c r="BI224" i="94" s="1"/>
  <c r="BF168" i="94" a="1"/>
  <c r="BF168" i="94" s="1"/>
  <c r="BF224" i="94" s="1"/>
  <c r="AU168" i="94" a="1"/>
  <c r="AU168" i="94" s="1"/>
  <c r="AU224" i="94" s="1"/>
  <c r="BD168" i="94" a="1"/>
  <c r="BD168" i="94" s="1"/>
  <c r="BD224" i="94" s="1"/>
  <c r="AW168" i="94" a="1"/>
  <c r="AW168" i="94" s="1"/>
  <c r="AW224" i="94" s="1"/>
  <c r="AN168" i="94" a="1"/>
  <c r="AN168" i="94" s="1"/>
  <c r="AN224" i="94" s="1"/>
  <c r="AQ168" i="94" a="1"/>
  <c r="AQ168" i="94" s="1"/>
  <c r="AQ224" i="94" s="1"/>
  <c r="AX168" i="94" a="1"/>
  <c r="AX168" i="94" s="1"/>
  <c r="AX224" i="94" s="1"/>
  <c r="BC168" i="94" a="1"/>
  <c r="BC168" i="94" s="1"/>
  <c r="BC224" i="94" s="1"/>
  <c r="AL168" i="94" a="1"/>
  <c r="AL168" i="94" s="1"/>
  <c r="AL224" i="94" s="1"/>
  <c r="AT168" i="94" a="1"/>
  <c r="AT168" i="94" s="1"/>
  <c r="AT224" i="94" s="1"/>
  <c r="BG168" i="94" a="1"/>
  <c r="BG168" i="94" s="1"/>
  <c r="BG224" i="94" s="1"/>
  <c r="AM168" i="94" a="1"/>
  <c r="AM168" i="94" s="1"/>
  <c r="AM224" i="94" s="1"/>
  <c r="AV168" i="94" a="1"/>
  <c r="AV168" i="94" s="1"/>
  <c r="AV224" i="94" s="1"/>
  <c r="AK168" i="94" a="1"/>
  <c r="AK168" i="94" s="1"/>
  <c r="AK224" i="94" s="1"/>
  <c r="AP168" i="94" a="1"/>
  <c r="AP168" i="94" s="1"/>
  <c r="AP224" i="94" s="1"/>
  <c r="BA168" i="94" a="1"/>
  <c r="BA168" i="94" s="1"/>
  <c r="BA224" i="94" s="1"/>
  <c r="AS168" i="94" a="1"/>
  <c r="AS168" i="94" s="1"/>
  <c r="AS224" i="94" s="1"/>
  <c r="BE168" i="94" a="1"/>
  <c r="BE168" i="94" s="1"/>
  <c r="BE224" i="94" s="1"/>
  <c r="BB168" i="94" a="1"/>
  <c r="BB168" i="94" s="1"/>
  <c r="BB224" i="94" s="1"/>
  <c r="BH168" i="94" a="1"/>
  <c r="BH168" i="94" s="1"/>
  <c r="BH224" i="94" s="1"/>
  <c r="AJ168" i="94" a="1"/>
  <c r="AJ168" i="94" s="1"/>
  <c r="AJ224" i="94" s="1"/>
  <c r="AO168" i="94" a="1"/>
  <c r="AO168" i="94" s="1"/>
  <c r="AO224" i="94" s="1"/>
  <c r="AY168" i="94" a="1"/>
  <c r="AY168" i="94" s="1"/>
  <c r="AY224" i="94" s="1"/>
  <c r="AR168" i="94" a="1"/>
  <c r="AR168" i="94" s="1"/>
  <c r="AR224" i="94" s="1"/>
  <c r="AR145" i="94" a="1"/>
  <c r="AR145" i="94" s="1"/>
  <c r="AR201" i="94" s="1"/>
  <c r="BB145" i="94" a="1"/>
  <c r="BB145" i="94" s="1"/>
  <c r="BB201" i="94" s="1"/>
  <c r="AU145" i="94" a="1"/>
  <c r="AU145" i="94" s="1"/>
  <c r="AU201" i="94" s="1"/>
  <c r="AT145" i="94" a="1"/>
  <c r="AT145" i="94" s="1"/>
  <c r="AT201" i="94" s="1"/>
  <c r="BE145" i="94" a="1"/>
  <c r="BE145" i="94" s="1"/>
  <c r="BE201" i="94" s="1"/>
  <c r="BN139" i="94"/>
  <c r="AL145" i="94" a="1"/>
  <c r="AL145" i="94" s="1"/>
  <c r="AL201" i="94" s="1"/>
  <c r="AX145" i="94" a="1"/>
  <c r="AX145" i="94" s="1"/>
  <c r="AX201" i="94" s="1"/>
  <c r="AP145" i="94" a="1"/>
  <c r="AP145" i="94" s="1"/>
  <c r="AP201" i="94" s="1"/>
  <c r="BR139" i="94"/>
  <c r="AM145" i="94" a="1"/>
  <c r="AM145" i="94" s="1"/>
  <c r="AM201" i="94" s="1"/>
  <c r="BD145" i="94" a="1"/>
  <c r="BD145" i="94" s="1"/>
  <c r="BD201" i="94" s="1"/>
  <c r="BM139" i="94"/>
  <c r="AV145" i="94" a="1"/>
  <c r="AV145" i="94" s="1"/>
  <c r="AV201" i="94" s="1"/>
  <c r="AW145" i="94" a="1"/>
  <c r="AW145" i="94" s="1"/>
  <c r="AW201" i="94" s="1"/>
  <c r="AQ145" i="94" a="1"/>
  <c r="AQ145" i="94" s="1"/>
  <c r="AQ201" i="94" s="1"/>
  <c r="BP139" i="94"/>
  <c r="AO145" i="94" a="1"/>
  <c r="AO145" i="94" s="1"/>
  <c r="AO201" i="94" s="1"/>
  <c r="BA145" i="94" a="1"/>
  <c r="BA145" i="94" s="1"/>
  <c r="BA201" i="94" s="1"/>
  <c r="BG145" i="94" a="1"/>
  <c r="BG145" i="94" s="1"/>
  <c r="BG201" i="94" s="1"/>
  <c r="BQ139" i="94"/>
  <c r="AN145" i="94" a="1"/>
  <c r="AN145" i="94" s="1"/>
  <c r="AN201" i="94" s="1"/>
  <c r="AJ145" i="94" a="1"/>
  <c r="AJ145" i="94" s="1"/>
  <c r="AJ201" i="94" s="1"/>
  <c r="AY145" i="94" a="1"/>
  <c r="AY145" i="94" s="1"/>
  <c r="AY201" i="94" s="1"/>
  <c r="BC145" i="94" a="1"/>
  <c r="BC145" i="94" s="1"/>
  <c r="BC201" i="94" s="1"/>
  <c r="BF145" i="94" a="1"/>
  <c r="BF145" i="94" s="1"/>
  <c r="BF201" i="94" s="1"/>
  <c r="BL139" i="94"/>
  <c r="BI145" i="94" a="1"/>
  <c r="BI145" i="94" s="1"/>
  <c r="BI201" i="94" s="1"/>
  <c r="AS145" i="94" a="1"/>
  <c r="AS145" i="94" s="1"/>
  <c r="AS201" i="94" s="1"/>
  <c r="AK145" i="94" a="1"/>
  <c r="AK145" i="94" s="1"/>
  <c r="AK201" i="94" s="1"/>
  <c r="BO139" i="94"/>
  <c r="AZ145" i="94" a="1"/>
  <c r="AZ145" i="94" s="1"/>
  <c r="AZ201" i="94" s="1"/>
  <c r="BH145" i="94" a="1"/>
  <c r="BH145" i="94" s="1"/>
  <c r="BH201" i="94" s="1"/>
  <c r="BG153" i="94" a="1"/>
  <c r="BG153" i="94" s="1"/>
  <c r="BG209" i="94" s="1"/>
  <c r="AV153" i="94" a="1"/>
  <c r="AV153" i="94" s="1"/>
  <c r="AV209" i="94" s="1"/>
  <c r="AW153" i="94" a="1"/>
  <c r="AW153" i="94" s="1"/>
  <c r="AW209" i="94" s="1"/>
  <c r="AQ153" i="94" a="1"/>
  <c r="AQ153" i="94" s="1"/>
  <c r="AQ209" i="94" s="1"/>
  <c r="BE153" i="94" a="1"/>
  <c r="BE153" i="94" s="1"/>
  <c r="BE209" i="94" s="1"/>
  <c r="BD153" i="94" a="1"/>
  <c r="BD153" i="94" s="1"/>
  <c r="BD209" i="94" s="1"/>
  <c r="AJ153" i="94" a="1"/>
  <c r="AJ153" i="94" s="1"/>
  <c r="AJ209" i="94" s="1"/>
  <c r="AR153" i="94" a="1"/>
  <c r="AR153" i="94" s="1"/>
  <c r="AR209" i="94" s="1"/>
  <c r="AP153" i="94" a="1"/>
  <c r="AP153" i="94" s="1"/>
  <c r="AP209" i="94" s="1"/>
  <c r="AM153" i="94" a="1"/>
  <c r="AM153" i="94" s="1"/>
  <c r="AM209" i="94" s="1"/>
  <c r="BF153" i="94" a="1"/>
  <c r="BF153" i="94" s="1"/>
  <c r="BF209" i="94" s="1"/>
  <c r="BI153" i="94" a="1"/>
  <c r="BI153" i="94" s="1"/>
  <c r="BI209" i="94" s="1"/>
  <c r="AS153" i="94" a="1"/>
  <c r="AS153" i="94" s="1"/>
  <c r="AS209" i="94" s="1"/>
  <c r="BH153" i="94" a="1"/>
  <c r="BH153" i="94" s="1"/>
  <c r="BH209" i="94" s="1"/>
  <c r="BB153" i="94" a="1"/>
  <c r="BB153" i="94" s="1"/>
  <c r="BB209" i="94" s="1"/>
  <c r="BC153" i="94" a="1"/>
  <c r="BC153" i="94" s="1"/>
  <c r="BC209" i="94" s="1"/>
  <c r="AX153" i="94" a="1"/>
  <c r="AX153" i="94" s="1"/>
  <c r="AX209" i="94" s="1"/>
  <c r="AN153" i="94" a="1"/>
  <c r="AN153" i="94" s="1"/>
  <c r="AN209" i="94" s="1"/>
  <c r="AK153" i="94" a="1"/>
  <c r="AK153" i="94" s="1"/>
  <c r="AK209" i="94" s="1"/>
  <c r="AO153" i="94" a="1"/>
  <c r="AO153" i="94" s="1"/>
  <c r="AO209" i="94" s="1"/>
  <c r="AT153" i="94" a="1"/>
  <c r="AT153" i="94" s="1"/>
  <c r="AT209" i="94" s="1"/>
  <c r="AZ153" i="94" a="1"/>
  <c r="AZ153" i="94" s="1"/>
  <c r="AZ209" i="94" s="1"/>
  <c r="AU153" i="94" a="1"/>
  <c r="AU153" i="94" s="1"/>
  <c r="AU209" i="94" s="1"/>
  <c r="AY153" i="94" a="1"/>
  <c r="AY153" i="94" s="1"/>
  <c r="AY209" i="94" s="1"/>
  <c r="BA153" i="94" a="1"/>
  <c r="BA153" i="94" s="1"/>
  <c r="BA209" i="94" s="1"/>
  <c r="AL153" i="94" a="1"/>
  <c r="AL153" i="94" s="1"/>
  <c r="AL209" i="94" s="1"/>
  <c r="BI165" i="94" a="1"/>
  <c r="BI165" i="94" s="1"/>
  <c r="BI221" i="94" s="1"/>
  <c r="AK165" i="94" a="1"/>
  <c r="AK165" i="94" s="1"/>
  <c r="AK221" i="94" s="1"/>
  <c r="BG165" i="94" a="1"/>
  <c r="BG165" i="94" s="1"/>
  <c r="BG221" i="94" s="1"/>
  <c r="AM165" i="94" a="1"/>
  <c r="AM165" i="94" s="1"/>
  <c r="AM221" i="94" s="1"/>
  <c r="AQ165" i="94" a="1"/>
  <c r="AQ165" i="94" s="1"/>
  <c r="AQ221" i="94" s="1"/>
  <c r="AU165" i="94" a="1"/>
  <c r="AU165" i="94" s="1"/>
  <c r="AU221" i="94" s="1"/>
  <c r="AP165" i="94" a="1"/>
  <c r="AP165" i="94" s="1"/>
  <c r="AP221" i="94" s="1"/>
  <c r="BA165" i="94" a="1"/>
  <c r="BA165" i="94" s="1"/>
  <c r="BA221" i="94" s="1"/>
  <c r="AT165" i="94" a="1"/>
  <c r="AT165" i="94" s="1"/>
  <c r="AT221" i="94" s="1"/>
  <c r="AY165" i="94" a="1"/>
  <c r="AY165" i="94" s="1"/>
  <c r="AY221" i="94" s="1"/>
  <c r="AZ165" i="94" a="1"/>
  <c r="AZ165" i="94" s="1"/>
  <c r="AZ221" i="94" s="1"/>
  <c r="AJ165" i="94" a="1"/>
  <c r="AJ165" i="94" s="1"/>
  <c r="AJ221" i="94" s="1"/>
  <c r="BC165" i="94" a="1"/>
  <c r="BC165" i="94" s="1"/>
  <c r="BC221" i="94" s="1"/>
  <c r="BD165" i="94" a="1"/>
  <c r="BD165" i="94" s="1"/>
  <c r="BD221" i="94" s="1"/>
  <c r="AX165" i="94" a="1"/>
  <c r="AX165" i="94" s="1"/>
  <c r="AX221" i="94" s="1"/>
  <c r="AR165" i="94" a="1"/>
  <c r="AR165" i="94" s="1"/>
  <c r="AR221" i="94" s="1"/>
  <c r="BF165" i="94" a="1"/>
  <c r="BF165" i="94" s="1"/>
  <c r="BF221" i="94" s="1"/>
  <c r="AL165" i="94" a="1"/>
  <c r="AL165" i="94" s="1"/>
  <c r="AL221" i="94" s="1"/>
  <c r="AO165" i="94" a="1"/>
  <c r="AO165" i="94" s="1"/>
  <c r="AO221" i="94" s="1"/>
  <c r="BE165" i="94" a="1"/>
  <c r="BE165" i="94" s="1"/>
  <c r="BE221" i="94" s="1"/>
  <c r="BB165" i="94" a="1"/>
  <c r="BB165" i="94" s="1"/>
  <c r="BB221" i="94" s="1"/>
  <c r="AV165" i="94" a="1"/>
  <c r="AV165" i="94" s="1"/>
  <c r="AV221" i="94" s="1"/>
  <c r="AW165" i="94" a="1"/>
  <c r="AW165" i="94" s="1"/>
  <c r="AW221" i="94" s="1"/>
  <c r="AS165" i="94" a="1"/>
  <c r="AS165" i="94" s="1"/>
  <c r="AS221" i="94" s="1"/>
  <c r="AN165" i="94" a="1"/>
  <c r="AN165" i="94" s="1"/>
  <c r="AN221" i="94" s="1"/>
  <c r="BH165" i="94" a="1"/>
  <c r="BH165" i="94" s="1"/>
  <c r="BH221" i="94" s="1"/>
  <c r="BF160" i="94" a="1"/>
  <c r="BF160" i="94" s="1"/>
  <c r="BF216" i="94" s="1"/>
  <c r="AM160" i="94" a="1"/>
  <c r="AM160" i="94" s="1"/>
  <c r="AM216" i="94" s="1"/>
  <c r="AQ160" i="94" a="1"/>
  <c r="AQ160" i="94" s="1"/>
  <c r="AQ216" i="94" s="1"/>
  <c r="AS160" i="94" a="1"/>
  <c r="AS160" i="94" s="1"/>
  <c r="AS216" i="94" s="1"/>
  <c r="AU160" i="94" a="1"/>
  <c r="AU160" i="94" s="1"/>
  <c r="AU216" i="94" s="1"/>
  <c r="AX160" i="94" a="1"/>
  <c r="AX160" i="94" s="1"/>
  <c r="AX216" i="94" s="1"/>
  <c r="BB160" i="94" a="1"/>
  <c r="BB160" i="94" s="1"/>
  <c r="BB216" i="94" s="1"/>
  <c r="BE160" i="94" a="1"/>
  <c r="BE160" i="94" s="1"/>
  <c r="BE216" i="94" s="1"/>
  <c r="BH160" i="94" a="1"/>
  <c r="BH160" i="94" s="1"/>
  <c r="BH216" i="94" s="1"/>
  <c r="BA160" i="94" a="1"/>
  <c r="BA160" i="94" s="1"/>
  <c r="BA216" i="94" s="1"/>
  <c r="AY160" i="94" a="1"/>
  <c r="AY160" i="94" s="1"/>
  <c r="AY216" i="94" s="1"/>
  <c r="AJ160" i="94" a="1"/>
  <c r="AJ160" i="94" s="1"/>
  <c r="AJ216" i="94" s="1"/>
  <c r="AV160" i="94" a="1"/>
  <c r="AV160" i="94" s="1"/>
  <c r="AV216" i="94" s="1"/>
  <c r="BI160" i="94" a="1"/>
  <c r="BI160" i="94" s="1"/>
  <c r="BI216" i="94" s="1"/>
  <c r="AZ160" i="94" a="1"/>
  <c r="AZ160" i="94" s="1"/>
  <c r="AZ216" i="94" s="1"/>
  <c r="BC160" i="94" a="1"/>
  <c r="BC160" i="94" s="1"/>
  <c r="BC216" i="94" s="1"/>
  <c r="AK160" i="94" a="1"/>
  <c r="AK160" i="94" s="1"/>
  <c r="AK216" i="94" s="1"/>
  <c r="AL160" i="94" a="1"/>
  <c r="AL160" i="94" s="1"/>
  <c r="AL216" i="94" s="1"/>
  <c r="BD160" i="94" a="1"/>
  <c r="BD160" i="94" s="1"/>
  <c r="BD216" i="94" s="1"/>
  <c r="AN160" i="94" a="1"/>
  <c r="AN160" i="94" s="1"/>
  <c r="AN216" i="94" s="1"/>
  <c r="AT160" i="94" a="1"/>
  <c r="AT160" i="94" s="1"/>
  <c r="AT216" i="94" s="1"/>
  <c r="BG160" i="94" a="1"/>
  <c r="BG160" i="94" s="1"/>
  <c r="BG216" i="94" s="1"/>
  <c r="AR160" i="94" a="1"/>
  <c r="AR160" i="94" s="1"/>
  <c r="AR216" i="94" s="1"/>
  <c r="AP160" i="94" a="1"/>
  <c r="AP160" i="94" s="1"/>
  <c r="AP216" i="94" s="1"/>
  <c r="AW160" i="94" a="1"/>
  <c r="AW160" i="94" s="1"/>
  <c r="AW216" i="94" s="1"/>
  <c r="AO160" i="94" a="1"/>
  <c r="AO160" i="94" s="1"/>
  <c r="AO216" i="94" s="1"/>
  <c r="BC146" i="94" a="1"/>
  <c r="BC146" i="94" s="1"/>
  <c r="BC202" i="94" s="1"/>
  <c r="AU146" i="94" a="1"/>
  <c r="AU146" i="94" s="1"/>
  <c r="AU202" i="94" s="1"/>
  <c r="AL146" i="94" a="1"/>
  <c r="AL146" i="94" s="1"/>
  <c r="AL202" i="94" s="1"/>
  <c r="BD146" i="94" a="1"/>
  <c r="BD146" i="94" s="1"/>
  <c r="BD202" i="94" s="1"/>
  <c r="BH146" i="94" a="1"/>
  <c r="BH146" i="94" s="1"/>
  <c r="BH202" i="94" s="1"/>
  <c r="AM146" i="94" a="1"/>
  <c r="AM146" i="94" s="1"/>
  <c r="AM202" i="94" s="1"/>
  <c r="AK146" i="94" a="1"/>
  <c r="AK146" i="94" s="1"/>
  <c r="AK202" i="94" s="1"/>
  <c r="AQ146" i="94" a="1"/>
  <c r="AQ146" i="94" s="1"/>
  <c r="AQ202" i="94" s="1"/>
  <c r="AX146" i="94" a="1"/>
  <c r="AX146" i="94" s="1"/>
  <c r="AX202" i="94" s="1"/>
  <c r="AZ146" i="94" a="1"/>
  <c r="AZ146" i="94" s="1"/>
  <c r="AZ202" i="94" s="1"/>
  <c r="AO146" i="94" a="1"/>
  <c r="AO146" i="94" s="1"/>
  <c r="AO202" i="94" s="1"/>
  <c r="AR146" i="94" a="1"/>
  <c r="AR146" i="94" s="1"/>
  <c r="AR202" i="94" s="1"/>
  <c r="BI146" i="94" a="1"/>
  <c r="BI146" i="94" s="1"/>
  <c r="BI202" i="94" s="1"/>
  <c r="BE146" i="94" a="1"/>
  <c r="BE146" i="94" s="1"/>
  <c r="BE202" i="94" s="1"/>
  <c r="BB146" i="94" a="1"/>
  <c r="BB146" i="94" s="1"/>
  <c r="BB202" i="94" s="1"/>
  <c r="BA146" i="94" a="1"/>
  <c r="BA146" i="94" s="1"/>
  <c r="BA202" i="94" s="1"/>
  <c r="BF146" i="94" a="1"/>
  <c r="BF146" i="94" s="1"/>
  <c r="BF202" i="94" s="1"/>
  <c r="AW146" i="94" a="1"/>
  <c r="AW146" i="94" s="1"/>
  <c r="AW202" i="94" s="1"/>
  <c r="AY146" i="94" a="1"/>
  <c r="AY146" i="94" s="1"/>
  <c r="AY202" i="94" s="1"/>
  <c r="AV146" i="94" a="1"/>
  <c r="AV146" i="94" s="1"/>
  <c r="AV202" i="94" s="1"/>
  <c r="AJ146" i="94" a="1"/>
  <c r="AJ146" i="94" s="1"/>
  <c r="AJ202" i="94" s="1"/>
  <c r="AP146" i="94" a="1"/>
  <c r="AP146" i="94" s="1"/>
  <c r="AP202" i="94" s="1"/>
  <c r="BG146" i="94" a="1"/>
  <c r="BG146" i="94" s="1"/>
  <c r="BG202" i="94" s="1"/>
  <c r="AS146" i="94" a="1"/>
  <c r="AS146" i="94" s="1"/>
  <c r="AS202" i="94" s="1"/>
  <c r="AT146" i="94" a="1"/>
  <c r="AT146" i="94" s="1"/>
  <c r="AT202" i="94" s="1"/>
  <c r="AN146" i="94" a="1"/>
  <c r="AN146" i="94" s="1"/>
  <c r="AN202" i="94" s="1"/>
  <c r="AT163" i="94" a="1"/>
  <c r="AT163" i="94" s="1"/>
  <c r="AT219" i="94" s="1"/>
  <c r="BA163" i="94" a="1"/>
  <c r="BA163" i="94" s="1"/>
  <c r="BA219" i="94" s="1"/>
  <c r="AU163" i="94" a="1"/>
  <c r="AU163" i="94" s="1"/>
  <c r="AU219" i="94" s="1"/>
  <c r="AX163" i="94" a="1"/>
  <c r="AX163" i="94" s="1"/>
  <c r="AX219" i="94" s="1"/>
  <c r="BH163" i="94" a="1"/>
  <c r="BH163" i="94" s="1"/>
  <c r="BH219" i="94" s="1"/>
  <c r="AK163" i="94" a="1"/>
  <c r="AK163" i="94" s="1"/>
  <c r="AK219" i="94" s="1"/>
  <c r="BF163" i="94" a="1"/>
  <c r="BF163" i="94" s="1"/>
  <c r="BF219" i="94" s="1"/>
  <c r="BG163" i="94" a="1"/>
  <c r="BG163" i="94" s="1"/>
  <c r="BG219" i="94" s="1"/>
  <c r="BC163" i="94" a="1"/>
  <c r="BC163" i="94" s="1"/>
  <c r="BC219" i="94" s="1"/>
  <c r="AR163" i="94" a="1"/>
  <c r="AR163" i="94" s="1"/>
  <c r="AR219" i="94" s="1"/>
  <c r="BE163" i="94" a="1"/>
  <c r="BE163" i="94" s="1"/>
  <c r="BE219" i="94" s="1"/>
  <c r="BD163" i="94" a="1"/>
  <c r="BD163" i="94" s="1"/>
  <c r="BD219" i="94" s="1"/>
  <c r="AS163" i="94" a="1"/>
  <c r="AS163" i="94" s="1"/>
  <c r="AS219" i="94" s="1"/>
  <c r="AJ163" i="94" a="1"/>
  <c r="AJ163" i="94" s="1"/>
  <c r="AJ219" i="94" s="1"/>
  <c r="BB163" i="94" a="1"/>
  <c r="BB163" i="94" s="1"/>
  <c r="BB219" i="94" s="1"/>
  <c r="AV163" i="94" a="1"/>
  <c r="AV163" i="94" s="1"/>
  <c r="AV219" i="94" s="1"/>
  <c r="AQ163" i="94" a="1"/>
  <c r="AQ163" i="94" s="1"/>
  <c r="AQ219" i="94" s="1"/>
  <c r="AY163" i="94" a="1"/>
  <c r="AY163" i="94" s="1"/>
  <c r="AY219" i="94" s="1"/>
  <c r="AN163" i="94" a="1"/>
  <c r="AN163" i="94" s="1"/>
  <c r="AN219" i="94" s="1"/>
  <c r="BI163" i="94" a="1"/>
  <c r="BI163" i="94" s="1"/>
  <c r="BI219" i="94" s="1"/>
  <c r="AO163" i="94" a="1"/>
  <c r="AO163" i="94" s="1"/>
  <c r="AO219" i="94" s="1"/>
  <c r="AZ163" i="94" a="1"/>
  <c r="AZ163" i="94" s="1"/>
  <c r="AZ219" i="94" s="1"/>
  <c r="AM163" i="94" a="1"/>
  <c r="AM163" i="94" s="1"/>
  <c r="AM219" i="94" s="1"/>
  <c r="AL163" i="94" a="1"/>
  <c r="AL163" i="94" s="1"/>
  <c r="AL219" i="94" s="1"/>
  <c r="AW163" i="94" a="1"/>
  <c r="AW163" i="94" s="1"/>
  <c r="AW219" i="94" s="1"/>
  <c r="AP163" i="94" a="1"/>
  <c r="AP163" i="94" s="1"/>
  <c r="AP219" i="94" s="1"/>
  <c r="AN161" i="94" a="1"/>
  <c r="AN161" i="94" s="1"/>
  <c r="AN217" i="94" s="1"/>
  <c r="BG161" i="94" a="1"/>
  <c r="BG161" i="94" s="1"/>
  <c r="BG217" i="94" s="1"/>
  <c r="BH161" i="94" a="1"/>
  <c r="BH161" i="94" s="1"/>
  <c r="BH217" i="94" s="1"/>
  <c r="AP161" i="94" a="1"/>
  <c r="AP161" i="94" s="1"/>
  <c r="AP217" i="94" s="1"/>
  <c r="AL161" i="94" a="1"/>
  <c r="AL161" i="94" s="1"/>
  <c r="AL217" i="94" s="1"/>
  <c r="AY161" i="94" a="1"/>
  <c r="AY161" i="94" s="1"/>
  <c r="AY217" i="94" s="1"/>
  <c r="BE161" i="94" a="1"/>
  <c r="BE161" i="94" s="1"/>
  <c r="BE217" i="94" s="1"/>
  <c r="AQ161" i="94" a="1"/>
  <c r="AQ161" i="94" s="1"/>
  <c r="AQ217" i="94" s="1"/>
  <c r="BD161" i="94" a="1"/>
  <c r="BD161" i="94" s="1"/>
  <c r="BD217" i="94" s="1"/>
  <c r="AU161" i="94" a="1"/>
  <c r="AU161" i="94" s="1"/>
  <c r="AU217" i="94" s="1"/>
  <c r="AJ161" i="94" a="1"/>
  <c r="AJ161" i="94" s="1"/>
  <c r="AJ217" i="94" s="1"/>
  <c r="BN142" i="94"/>
  <c r="AR161" i="94" a="1"/>
  <c r="AR161" i="94" s="1"/>
  <c r="AR217" i="94" s="1"/>
  <c r="BL142" i="94"/>
  <c r="AO161" i="94" a="1"/>
  <c r="AO161" i="94" s="1"/>
  <c r="AO217" i="94" s="1"/>
  <c r="BI161" i="94" a="1"/>
  <c r="BI161" i="94" s="1"/>
  <c r="BI217" i="94" s="1"/>
  <c r="BB161" i="94" a="1"/>
  <c r="BB161" i="94" s="1"/>
  <c r="BB217" i="94" s="1"/>
  <c r="BF161" i="94" a="1"/>
  <c r="BF161" i="94" s="1"/>
  <c r="BF217" i="94" s="1"/>
  <c r="BP142" i="94"/>
  <c r="AT161" i="94" a="1"/>
  <c r="AT161" i="94" s="1"/>
  <c r="AT217" i="94" s="1"/>
  <c r="BR142" i="94"/>
  <c r="AS161" i="94" a="1"/>
  <c r="AS161" i="94" s="1"/>
  <c r="AS217" i="94" s="1"/>
  <c r="AM161" i="94" a="1"/>
  <c r="AM161" i="94" s="1"/>
  <c r="AM217" i="94" s="1"/>
  <c r="BO142" i="94"/>
  <c r="AV161" i="94" a="1"/>
  <c r="AV161" i="94" s="1"/>
  <c r="AV217" i="94" s="1"/>
  <c r="AX161" i="94" a="1"/>
  <c r="AX161" i="94" s="1"/>
  <c r="AX217" i="94" s="1"/>
  <c r="BC161" i="94" a="1"/>
  <c r="BC161" i="94" s="1"/>
  <c r="BC217" i="94" s="1"/>
  <c r="AW161" i="94" a="1"/>
  <c r="AW161" i="94" s="1"/>
  <c r="AW217" i="94" s="1"/>
  <c r="BQ142" i="94"/>
  <c r="BM142" i="94"/>
  <c r="AZ161" i="94" a="1"/>
  <c r="AZ161" i="94" s="1"/>
  <c r="AZ217" i="94" s="1"/>
  <c r="BA161" i="94" a="1"/>
  <c r="BA161" i="94" s="1"/>
  <c r="BA217" i="94" s="1"/>
  <c r="AK161" i="94" a="1"/>
  <c r="AK161" i="94" s="1"/>
  <c r="AK217" i="94" s="1"/>
  <c r="BG156" i="94" a="1"/>
  <c r="BG156" i="94" s="1"/>
  <c r="BG212" i="94" s="1"/>
  <c r="AM156" i="94" a="1"/>
  <c r="AM156" i="94" s="1"/>
  <c r="AM212" i="94" s="1"/>
  <c r="BA156" i="94" a="1"/>
  <c r="BA156" i="94" s="1"/>
  <c r="BA212" i="94" s="1"/>
  <c r="BB156" i="94" a="1"/>
  <c r="BB156" i="94" s="1"/>
  <c r="BB212" i="94" s="1"/>
  <c r="BI156" i="94" a="1"/>
  <c r="BI156" i="94" s="1"/>
  <c r="BI212" i="94" s="1"/>
  <c r="AS156" i="94" a="1"/>
  <c r="AS156" i="94" s="1"/>
  <c r="AS212" i="94" s="1"/>
  <c r="AW156" i="94" a="1"/>
  <c r="AW156" i="94" s="1"/>
  <c r="AW212" i="94" s="1"/>
  <c r="AN156" i="94" a="1"/>
  <c r="AN156" i="94" s="1"/>
  <c r="AN212" i="94" s="1"/>
  <c r="BC156" i="94" a="1"/>
  <c r="BC156" i="94" s="1"/>
  <c r="BC212" i="94" s="1"/>
  <c r="AO156" i="94" a="1"/>
  <c r="AO156" i="94" s="1"/>
  <c r="AO212" i="94" s="1"/>
  <c r="BH156" i="94" a="1"/>
  <c r="BH156" i="94" s="1"/>
  <c r="BH212" i="94" s="1"/>
  <c r="AJ156" i="94" a="1"/>
  <c r="AJ156" i="94" s="1"/>
  <c r="AJ212" i="94" s="1"/>
  <c r="BE156" i="94" a="1"/>
  <c r="BE156" i="94" s="1"/>
  <c r="BE212" i="94" s="1"/>
  <c r="AP156" i="94" a="1"/>
  <c r="AP156" i="94" s="1"/>
  <c r="AP212" i="94" s="1"/>
  <c r="AU156" i="94" a="1"/>
  <c r="AU156" i="94" s="1"/>
  <c r="AU212" i="94" s="1"/>
  <c r="AZ156" i="94" a="1"/>
  <c r="AZ156" i="94" s="1"/>
  <c r="AZ212" i="94" s="1"/>
  <c r="AY156" i="94" a="1"/>
  <c r="AY156" i="94" s="1"/>
  <c r="AY212" i="94" s="1"/>
  <c r="AL156" i="94" a="1"/>
  <c r="AL156" i="94" s="1"/>
  <c r="AL212" i="94" s="1"/>
  <c r="BF156" i="94" a="1"/>
  <c r="BF156" i="94" s="1"/>
  <c r="BF212" i="94" s="1"/>
  <c r="BD156" i="94" a="1"/>
  <c r="BD156" i="94" s="1"/>
  <c r="BD212" i="94" s="1"/>
  <c r="AQ156" i="94" a="1"/>
  <c r="AQ156" i="94" s="1"/>
  <c r="AQ212" i="94" s="1"/>
  <c r="AX156" i="94" a="1"/>
  <c r="AX156" i="94" s="1"/>
  <c r="AX212" i="94" s="1"/>
  <c r="AT156" i="94" a="1"/>
  <c r="AT156" i="94" s="1"/>
  <c r="AT212" i="94" s="1"/>
  <c r="AR156" i="94" a="1"/>
  <c r="AR156" i="94" s="1"/>
  <c r="AR212" i="94" s="1"/>
  <c r="AK156" i="94" a="1"/>
  <c r="AK156" i="94" s="1"/>
  <c r="AK212" i="94" s="1"/>
  <c r="AV156" i="94" a="1"/>
  <c r="AV156" i="94" s="1"/>
  <c r="AV212" i="94" s="1"/>
  <c r="BF141" i="94" a="1"/>
  <c r="BF141" i="94" s="1"/>
  <c r="BF197" i="94" s="1"/>
  <c r="AY141" i="94" a="1"/>
  <c r="AY141" i="94" s="1"/>
  <c r="AY197" i="94" s="1"/>
  <c r="AR141" i="94" a="1"/>
  <c r="AR141" i="94" s="1"/>
  <c r="AR197" i="94" s="1"/>
  <c r="BE141" i="94" a="1"/>
  <c r="BE141" i="94" s="1"/>
  <c r="BE197" i="94" s="1"/>
  <c r="AP141" i="94" a="1"/>
  <c r="AP141" i="94" s="1"/>
  <c r="AP197" i="94" s="1"/>
  <c r="AN141" i="94" a="1"/>
  <c r="AN141" i="94" s="1"/>
  <c r="AN197" i="94" s="1"/>
  <c r="AJ141" i="94" a="1"/>
  <c r="AJ141" i="94" s="1"/>
  <c r="AJ197" i="94" s="1"/>
  <c r="BA141" i="94" a="1"/>
  <c r="BA141" i="94" s="1"/>
  <c r="BA197" i="94" s="1"/>
  <c r="AX141" i="94" a="1"/>
  <c r="AX141" i="94" s="1"/>
  <c r="AX197" i="94" s="1"/>
  <c r="BD141" i="94" a="1"/>
  <c r="BD141" i="94" s="1"/>
  <c r="BD197" i="94" s="1"/>
  <c r="AZ141" i="94" a="1"/>
  <c r="AZ141" i="94" s="1"/>
  <c r="AZ197" i="94" s="1"/>
  <c r="AU141" i="94" a="1"/>
  <c r="AU141" i="94" s="1"/>
  <c r="AU197" i="94" s="1"/>
  <c r="AV141" i="94" a="1"/>
  <c r="AV141" i="94" s="1"/>
  <c r="AV197" i="94" s="1"/>
  <c r="BH141" i="94" a="1"/>
  <c r="BH141" i="94" s="1"/>
  <c r="BH197" i="94" s="1"/>
  <c r="AQ141" i="94" a="1"/>
  <c r="AQ141" i="94" s="1"/>
  <c r="AQ197" i="94" s="1"/>
  <c r="AW141" i="94" a="1"/>
  <c r="AW141" i="94" s="1"/>
  <c r="AW197" i="94" s="1"/>
  <c r="AS141" i="94" a="1"/>
  <c r="AS141" i="94" s="1"/>
  <c r="AS197" i="94" s="1"/>
  <c r="AT141" i="94" a="1"/>
  <c r="AT141" i="94" s="1"/>
  <c r="AT197" i="94" s="1"/>
  <c r="AL141" i="94" a="1"/>
  <c r="AL141" i="94" s="1"/>
  <c r="AL197" i="94" s="1"/>
  <c r="BI141" i="94" a="1"/>
  <c r="BI141" i="94" s="1"/>
  <c r="BI197" i="94" s="1"/>
  <c r="AO141" i="94" a="1"/>
  <c r="AO141" i="94" s="1"/>
  <c r="AO197" i="94" s="1"/>
  <c r="BC141" i="94" a="1"/>
  <c r="BC141" i="94" s="1"/>
  <c r="BC197" i="94" s="1"/>
  <c r="BB141" i="94" a="1"/>
  <c r="BB141" i="94" s="1"/>
  <c r="BB197" i="94" s="1"/>
  <c r="AM141" i="94" a="1"/>
  <c r="AM141" i="94" s="1"/>
  <c r="AM197" i="94" s="1"/>
  <c r="AK141" i="94" a="1"/>
  <c r="AK141" i="94" s="1"/>
  <c r="AK197" i="94" s="1"/>
  <c r="BG141" i="94" a="1"/>
  <c r="BG141" i="94" s="1"/>
  <c r="BG197" i="94" s="1"/>
  <c r="BD159" i="94" a="1"/>
  <c r="BD159" i="94" s="1"/>
  <c r="BD215" i="94" s="1"/>
  <c r="AL159" i="94" a="1"/>
  <c r="AL159" i="94" s="1"/>
  <c r="AL215" i="94" s="1"/>
  <c r="BG159" i="94" a="1"/>
  <c r="BG159" i="94" s="1"/>
  <c r="BG215" i="94" s="1"/>
  <c r="BC159" i="94" a="1"/>
  <c r="BC159" i="94" s="1"/>
  <c r="BC215" i="94" s="1"/>
  <c r="AM159" i="94" a="1"/>
  <c r="AM159" i="94" s="1"/>
  <c r="AM215" i="94" s="1"/>
  <c r="AK159" i="94" a="1"/>
  <c r="AK159" i="94" s="1"/>
  <c r="AK215" i="94" s="1"/>
  <c r="BH159" i="94" a="1"/>
  <c r="BH159" i="94" s="1"/>
  <c r="BH215" i="94" s="1"/>
  <c r="AZ159" i="94" a="1"/>
  <c r="AZ159" i="94" s="1"/>
  <c r="AZ215" i="94" s="1"/>
  <c r="BO141" i="94"/>
  <c r="AY159" i="94" a="1"/>
  <c r="AY159" i="94" s="1"/>
  <c r="AY215" i="94" s="1"/>
  <c r="AJ159" i="94" a="1"/>
  <c r="AJ159" i="94" s="1"/>
  <c r="AJ215" i="94" s="1"/>
  <c r="AQ159" i="94" a="1"/>
  <c r="AQ159" i="94" s="1"/>
  <c r="AQ215" i="94" s="1"/>
  <c r="AX159" i="94" a="1"/>
  <c r="AX159" i="94" s="1"/>
  <c r="AX215" i="94" s="1"/>
  <c r="BB159" i="94" a="1"/>
  <c r="BB159" i="94" s="1"/>
  <c r="BB215" i="94" s="1"/>
  <c r="BN141" i="94"/>
  <c r="BP141" i="94"/>
  <c r="AO159" i="94" a="1"/>
  <c r="AO159" i="94" s="1"/>
  <c r="AO215" i="94" s="1"/>
  <c r="AN159" i="94" a="1"/>
  <c r="AN159" i="94" s="1"/>
  <c r="AN215" i="94" s="1"/>
  <c r="BL141" i="94"/>
  <c r="AT159" i="94" a="1"/>
  <c r="AT159" i="94" s="1"/>
  <c r="AT215" i="94" s="1"/>
  <c r="BM141" i="94"/>
  <c r="AS159" i="94" a="1"/>
  <c r="AS159" i="94" s="1"/>
  <c r="AS215" i="94" s="1"/>
  <c r="AU159" i="94" a="1"/>
  <c r="AU159" i="94" s="1"/>
  <c r="AU215" i="94" s="1"/>
  <c r="AW159" i="94" a="1"/>
  <c r="AW159" i="94" s="1"/>
  <c r="AW215" i="94" s="1"/>
  <c r="AR159" i="94" a="1"/>
  <c r="AR159" i="94" s="1"/>
  <c r="AR215" i="94" s="1"/>
  <c r="BQ141" i="94"/>
  <c r="BI159" i="94" a="1"/>
  <c r="BI159" i="94" s="1"/>
  <c r="BI215" i="94" s="1"/>
  <c r="AP159" i="94" a="1"/>
  <c r="AP159" i="94" s="1"/>
  <c r="AP215" i="94" s="1"/>
  <c r="AV159" i="94" a="1"/>
  <c r="AV159" i="94" s="1"/>
  <c r="AV215" i="94" s="1"/>
  <c r="BF159" i="94" a="1"/>
  <c r="BF159" i="94" s="1"/>
  <c r="BF215" i="94" s="1"/>
  <c r="BA159" i="94" a="1"/>
  <c r="BA159" i="94" s="1"/>
  <c r="BA215" i="94" s="1"/>
  <c r="BE159" i="94" a="1"/>
  <c r="BE159" i="94" s="1"/>
  <c r="BE215" i="94" s="1"/>
  <c r="BR141" i="94"/>
  <c r="AR155" i="94" a="1"/>
  <c r="AR155" i="94" s="1"/>
  <c r="AR211" i="94" s="1"/>
  <c r="AU155" i="94" a="1"/>
  <c r="AU155" i="94" s="1"/>
  <c r="AU211" i="94" s="1"/>
  <c r="AT155" i="94" a="1"/>
  <c r="AT155" i="94" s="1"/>
  <c r="AT211" i="94" s="1"/>
  <c r="AL155" i="94" a="1"/>
  <c r="AL155" i="94" s="1"/>
  <c r="AL211" i="94" s="1"/>
  <c r="BH155" i="94" a="1"/>
  <c r="BH155" i="94" s="1"/>
  <c r="BH211" i="94" s="1"/>
  <c r="AZ155" i="94" a="1"/>
  <c r="AZ155" i="94" s="1"/>
  <c r="AZ211" i="94" s="1"/>
  <c r="AW155" i="94" a="1"/>
  <c r="AW155" i="94" s="1"/>
  <c r="AW211" i="94" s="1"/>
  <c r="AN155" i="94" a="1"/>
  <c r="AN155" i="94" s="1"/>
  <c r="AN211" i="94" s="1"/>
  <c r="AJ155" i="94" a="1"/>
  <c r="AJ155" i="94" s="1"/>
  <c r="AJ211" i="94" s="1"/>
  <c r="BB155" i="94" a="1"/>
  <c r="BB155" i="94" s="1"/>
  <c r="BB211" i="94" s="1"/>
  <c r="AV155" i="94" a="1"/>
  <c r="AV155" i="94" s="1"/>
  <c r="AV211" i="94" s="1"/>
  <c r="AY155" i="94" a="1"/>
  <c r="AY155" i="94" s="1"/>
  <c r="AY211" i="94" s="1"/>
  <c r="BD155" i="94" a="1"/>
  <c r="BD155" i="94" s="1"/>
  <c r="BD211" i="94" s="1"/>
  <c r="AO155" i="94" a="1"/>
  <c r="AO155" i="94" s="1"/>
  <c r="AO211" i="94" s="1"/>
  <c r="AP155" i="94" a="1"/>
  <c r="AP155" i="94" s="1"/>
  <c r="AP211" i="94" s="1"/>
  <c r="AS155" i="94" a="1"/>
  <c r="AS155" i="94" s="1"/>
  <c r="AS211" i="94" s="1"/>
  <c r="AQ155" i="94" a="1"/>
  <c r="AQ155" i="94" s="1"/>
  <c r="AQ211" i="94" s="1"/>
  <c r="AM155" i="94" a="1"/>
  <c r="AM155" i="94" s="1"/>
  <c r="AM211" i="94" s="1"/>
  <c r="AK155" i="94" a="1"/>
  <c r="AK155" i="94" s="1"/>
  <c r="AK211" i="94" s="1"/>
  <c r="BC155" i="94" a="1"/>
  <c r="BC155" i="94" s="1"/>
  <c r="BC211" i="94" s="1"/>
  <c r="BG155" i="94" a="1"/>
  <c r="BG155" i="94" s="1"/>
  <c r="BG211" i="94" s="1"/>
  <c r="BF155" i="94" a="1"/>
  <c r="BF155" i="94" s="1"/>
  <c r="BF211" i="94" s="1"/>
  <c r="BA155" i="94" a="1"/>
  <c r="BA155" i="94" s="1"/>
  <c r="BA211" i="94" s="1"/>
  <c r="BE155" i="94" a="1"/>
  <c r="BE155" i="94" s="1"/>
  <c r="BE211" i="94" s="1"/>
  <c r="AX155" i="94" a="1"/>
  <c r="AX155" i="94" s="1"/>
  <c r="AX211" i="94" s="1"/>
  <c r="BI155" i="94" a="1"/>
  <c r="BI155" i="94" s="1"/>
  <c r="BI211" i="94" s="1"/>
  <c r="AY147" i="94" a="1"/>
  <c r="AY147" i="94" s="1"/>
  <c r="AY203" i="94" s="1"/>
  <c r="BD147" i="94" a="1"/>
  <c r="BD147" i="94" s="1"/>
  <c r="BD203" i="94" s="1"/>
  <c r="BH147" i="94" a="1"/>
  <c r="BH147" i="94" s="1"/>
  <c r="BH203" i="94" s="1"/>
  <c r="AO147" i="94" a="1"/>
  <c r="AO147" i="94" s="1"/>
  <c r="AO203" i="94" s="1"/>
  <c r="BA147" i="94" a="1"/>
  <c r="BA147" i="94" s="1"/>
  <c r="BA203" i="94" s="1"/>
  <c r="BE147" i="94" a="1"/>
  <c r="BE147" i="94" s="1"/>
  <c r="BE203" i="94" s="1"/>
  <c r="BC147" i="94" a="1"/>
  <c r="BC147" i="94" s="1"/>
  <c r="BC203" i="94" s="1"/>
  <c r="AU147" i="94" a="1"/>
  <c r="AU147" i="94" s="1"/>
  <c r="AU203" i="94" s="1"/>
  <c r="AN147" i="94" a="1"/>
  <c r="AN147" i="94" s="1"/>
  <c r="AN203" i="94" s="1"/>
  <c r="AQ147" i="94" a="1"/>
  <c r="AQ147" i="94" s="1"/>
  <c r="AQ203" i="94" s="1"/>
  <c r="AK147" i="94" a="1"/>
  <c r="AK147" i="94" s="1"/>
  <c r="AK203" i="94" s="1"/>
  <c r="BB147" i="94" a="1"/>
  <c r="BB147" i="94" s="1"/>
  <c r="BB203" i="94" s="1"/>
  <c r="AV147" i="94" a="1"/>
  <c r="AV147" i="94" s="1"/>
  <c r="AV203" i="94" s="1"/>
  <c r="BG147" i="94" a="1"/>
  <c r="BG147" i="94" s="1"/>
  <c r="BG203" i="94" s="1"/>
  <c r="AW147" i="94" a="1"/>
  <c r="AW147" i="94" s="1"/>
  <c r="AW203" i="94" s="1"/>
  <c r="AS147" i="94" a="1"/>
  <c r="AS147" i="94" s="1"/>
  <c r="AS203" i="94" s="1"/>
  <c r="BI147" i="94" a="1"/>
  <c r="BI147" i="94" s="1"/>
  <c r="BI203" i="94" s="1"/>
  <c r="BF147" i="94" a="1"/>
  <c r="BF147" i="94" s="1"/>
  <c r="BF203" i="94" s="1"/>
  <c r="AP147" i="94" a="1"/>
  <c r="AP147" i="94" s="1"/>
  <c r="AP203" i="94" s="1"/>
  <c r="AM147" i="94" a="1"/>
  <c r="AM147" i="94" s="1"/>
  <c r="AM203" i="94" s="1"/>
  <c r="AJ147" i="94" a="1"/>
  <c r="AJ147" i="94" s="1"/>
  <c r="AJ203" i="94" s="1"/>
  <c r="AR147" i="94" a="1"/>
  <c r="AR147" i="94" s="1"/>
  <c r="AR203" i="94" s="1"/>
  <c r="AZ147" i="94" a="1"/>
  <c r="AZ147" i="94" s="1"/>
  <c r="AZ203" i="94" s="1"/>
  <c r="AT147" i="94" a="1"/>
  <c r="AT147" i="94" s="1"/>
  <c r="AT203" i="94" s="1"/>
  <c r="AX147" i="94" a="1"/>
  <c r="AX147" i="94" s="1"/>
  <c r="AX203" i="94" s="1"/>
  <c r="AL147" i="94" a="1"/>
  <c r="AL147" i="94" s="1"/>
  <c r="AL203" i="94" s="1"/>
  <c r="AJ166" i="94" a="1"/>
  <c r="AJ166" i="94" s="1"/>
  <c r="AJ222" i="94" s="1"/>
  <c r="AY166" i="94" a="1"/>
  <c r="AY166" i="94" s="1"/>
  <c r="AY222" i="94" s="1"/>
  <c r="AZ166" i="94" a="1"/>
  <c r="AZ166" i="94" s="1"/>
  <c r="AZ222" i="94" s="1"/>
  <c r="AP166" i="94" a="1"/>
  <c r="AP166" i="94" s="1"/>
  <c r="AP222" i="94" s="1"/>
  <c r="BH166" i="94" a="1"/>
  <c r="BH166" i="94" s="1"/>
  <c r="BH222" i="94" s="1"/>
  <c r="AU166" i="94" a="1"/>
  <c r="AU166" i="94" s="1"/>
  <c r="AU222" i="94" s="1"/>
  <c r="AO166" i="94" a="1"/>
  <c r="AO166" i="94" s="1"/>
  <c r="AO222" i="94" s="1"/>
  <c r="AR166" i="94" a="1"/>
  <c r="AR166" i="94" s="1"/>
  <c r="AR222" i="94" s="1"/>
  <c r="AK166" i="94" a="1"/>
  <c r="AK166" i="94" s="1"/>
  <c r="AK222" i="94" s="1"/>
  <c r="AT166" i="94" a="1"/>
  <c r="AT166" i="94" s="1"/>
  <c r="AT222" i="94" s="1"/>
  <c r="AS166" i="94" a="1"/>
  <c r="AS166" i="94" s="1"/>
  <c r="AS222" i="94" s="1"/>
  <c r="BD166" i="94" a="1"/>
  <c r="BD166" i="94" s="1"/>
  <c r="BD222" i="94" s="1"/>
  <c r="AN166" i="94" a="1"/>
  <c r="AN166" i="94" s="1"/>
  <c r="AN222" i="94" s="1"/>
  <c r="AV166" i="94" a="1"/>
  <c r="AV166" i="94" s="1"/>
  <c r="AV222" i="94" s="1"/>
  <c r="AL166" i="94" a="1"/>
  <c r="AL166" i="94" s="1"/>
  <c r="AL222" i="94" s="1"/>
  <c r="AQ166" i="94" a="1"/>
  <c r="AQ166" i="94" s="1"/>
  <c r="AQ222" i="94" s="1"/>
  <c r="BA166" i="94" a="1"/>
  <c r="BA166" i="94" s="1"/>
  <c r="BA222" i="94" s="1"/>
  <c r="BF166" i="94" a="1"/>
  <c r="BF166" i="94" s="1"/>
  <c r="BF222" i="94" s="1"/>
  <c r="AM166" i="94" a="1"/>
  <c r="AM166" i="94" s="1"/>
  <c r="AM222" i="94" s="1"/>
  <c r="BB166" i="94" a="1"/>
  <c r="BB166" i="94" s="1"/>
  <c r="BB222" i="94" s="1"/>
  <c r="BI166" i="94" a="1"/>
  <c r="BI166" i="94" s="1"/>
  <c r="BI222" i="94" s="1"/>
  <c r="BE166" i="94" a="1"/>
  <c r="BE166" i="94" s="1"/>
  <c r="BE222" i="94" s="1"/>
  <c r="AW166" i="94" a="1"/>
  <c r="AW166" i="94" s="1"/>
  <c r="AW222" i="94" s="1"/>
  <c r="BC166" i="94" a="1"/>
  <c r="BC166" i="94" s="1"/>
  <c r="BC222" i="94" s="1"/>
  <c r="BG166" i="94" a="1"/>
  <c r="BG166" i="94" s="1"/>
  <c r="BG222" i="94" s="1"/>
  <c r="AX166" i="94" a="1"/>
  <c r="AX166" i="94" s="1"/>
  <c r="AX222" i="94" s="1"/>
  <c r="BG152" i="94" a="1"/>
  <c r="BG152" i="94" s="1"/>
  <c r="BG208" i="94" s="1"/>
  <c r="AU152" i="94" a="1"/>
  <c r="AU152" i="94" s="1"/>
  <c r="AU208" i="94" s="1"/>
  <c r="AT152" i="94" a="1"/>
  <c r="AT152" i="94" s="1"/>
  <c r="AT208" i="94" s="1"/>
  <c r="BC152" i="94" a="1"/>
  <c r="BC152" i="94" s="1"/>
  <c r="BC208" i="94" s="1"/>
  <c r="AZ152" i="94" a="1"/>
  <c r="AZ152" i="94" s="1"/>
  <c r="AZ208" i="94" s="1"/>
  <c r="AO152" i="94" a="1"/>
  <c r="AO152" i="94" s="1"/>
  <c r="AO208" i="94" s="1"/>
  <c r="BE152" i="94" a="1"/>
  <c r="BE152" i="94" s="1"/>
  <c r="BE208" i="94" s="1"/>
  <c r="BH152" i="94" a="1"/>
  <c r="BH152" i="94" s="1"/>
  <c r="BH208" i="94" s="1"/>
  <c r="BF152" i="94" a="1"/>
  <c r="BF152" i="94" s="1"/>
  <c r="BF208" i="94" s="1"/>
  <c r="AP152" i="94" a="1"/>
  <c r="AP152" i="94" s="1"/>
  <c r="AP208" i="94" s="1"/>
  <c r="AK152" i="94" a="1"/>
  <c r="AK152" i="94" s="1"/>
  <c r="AK208" i="94" s="1"/>
  <c r="BB152" i="94" a="1"/>
  <c r="BB152" i="94" s="1"/>
  <c r="BB208" i="94" s="1"/>
  <c r="AR152" i="94" a="1"/>
  <c r="AR152" i="94" s="1"/>
  <c r="AR208" i="94" s="1"/>
  <c r="AN152" i="94" a="1"/>
  <c r="AN152" i="94" s="1"/>
  <c r="AN208" i="94" s="1"/>
  <c r="AY152" i="94" a="1"/>
  <c r="AY152" i="94" s="1"/>
  <c r="AY208" i="94" s="1"/>
  <c r="BI152" i="94" a="1"/>
  <c r="BI152" i="94" s="1"/>
  <c r="BI208" i="94" s="1"/>
  <c r="AX152" i="94" a="1"/>
  <c r="AX152" i="94" s="1"/>
  <c r="AX208" i="94" s="1"/>
  <c r="AJ152" i="94" a="1"/>
  <c r="AJ152" i="94" s="1"/>
  <c r="AJ208" i="94" s="1"/>
  <c r="AM152" i="94" a="1"/>
  <c r="AM152" i="94" s="1"/>
  <c r="AM208" i="94" s="1"/>
  <c r="AQ152" i="94" a="1"/>
  <c r="AQ152" i="94" s="1"/>
  <c r="AQ208" i="94" s="1"/>
  <c r="AL152" i="94" a="1"/>
  <c r="AL152" i="94" s="1"/>
  <c r="AL208" i="94" s="1"/>
  <c r="AW152" i="94" a="1"/>
  <c r="AW152" i="94" s="1"/>
  <c r="AW208" i="94" s="1"/>
  <c r="AV152" i="94" a="1"/>
  <c r="AV152" i="94" s="1"/>
  <c r="AV208" i="94" s="1"/>
  <c r="BA152" i="94" a="1"/>
  <c r="BA152" i="94" s="1"/>
  <c r="BA208" i="94" s="1"/>
  <c r="BD152" i="94" a="1"/>
  <c r="BD152" i="94" s="1"/>
  <c r="BD208" i="94" s="1"/>
  <c r="AS152" i="94" a="1"/>
  <c r="AS152" i="94" s="1"/>
  <c r="AS208" i="94" s="1"/>
  <c r="BD149" i="94" a="1"/>
  <c r="BD149" i="94" s="1"/>
  <c r="BD205" i="94" s="1"/>
  <c r="AZ149" i="94" a="1"/>
  <c r="AZ149" i="94" s="1"/>
  <c r="AZ205" i="94" s="1"/>
  <c r="AY149" i="94" a="1"/>
  <c r="AY149" i="94" s="1"/>
  <c r="AY205" i="94" s="1"/>
  <c r="BA149" i="94" a="1"/>
  <c r="BA149" i="94" s="1"/>
  <c r="BA205" i="94" s="1"/>
  <c r="AL149" i="94" a="1"/>
  <c r="AL149" i="94" s="1"/>
  <c r="AL205" i="94" s="1"/>
  <c r="BC149" i="94" a="1"/>
  <c r="BC149" i="94" s="1"/>
  <c r="BC205" i="94" s="1"/>
  <c r="AQ149" i="94" a="1"/>
  <c r="AQ149" i="94" s="1"/>
  <c r="AQ205" i="94" s="1"/>
  <c r="BF149" i="94" a="1"/>
  <c r="BF149" i="94" s="1"/>
  <c r="BF205" i="94" s="1"/>
  <c r="AP149" i="94" a="1"/>
  <c r="AP149" i="94" s="1"/>
  <c r="AP205" i="94" s="1"/>
  <c r="AS149" i="94" a="1"/>
  <c r="AS149" i="94" s="1"/>
  <c r="AS205" i="94" s="1"/>
  <c r="AV149" i="94" a="1"/>
  <c r="AV149" i="94" s="1"/>
  <c r="AV205" i="94" s="1"/>
  <c r="AK149" i="94" a="1"/>
  <c r="AK149" i="94" s="1"/>
  <c r="AK205" i="94" s="1"/>
  <c r="AO149" i="94" a="1"/>
  <c r="AO149" i="94" s="1"/>
  <c r="AO205" i="94" s="1"/>
  <c r="AJ149" i="94" a="1"/>
  <c r="AJ149" i="94" s="1"/>
  <c r="AJ205" i="94" s="1"/>
  <c r="BG149" i="94" a="1"/>
  <c r="BG149" i="94" s="1"/>
  <c r="BG205" i="94" s="1"/>
  <c r="AX149" i="94" a="1"/>
  <c r="AX149" i="94" s="1"/>
  <c r="AX205" i="94" s="1"/>
  <c r="BI149" i="94" a="1"/>
  <c r="BI149" i="94" s="1"/>
  <c r="BI205" i="94" s="1"/>
  <c r="AM149" i="94" a="1"/>
  <c r="AM149" i="94" s="1"/>
  <c r="AM205" i="94" s="1"/>
  <c r="AR149" i="94" a="1"/>
  <c r="AR149" i="94" s="1"/>
  <c r="AR205" i="94" s="1"/>
  <c r="BE149" i="94" a="1"/>
  <c r="BE149" i="94" s="1"/>
  <c r="BE205" i="94" s="1"/>
  <c r="AU149" i="94" a="1"/>
  <c r="AU149" i="94" s="1"/>
  <c r="AU205" i="94" s="1"/>
  <c r="AN149" i="94" a="1"/>
  <c r="AN149" i="94" s="1"/>
  <c r="AN205" i="94" s="1"/>
  <c r="BH149" i="94" a="1"/>
  <c r="BH149" i="94" s="1"/>
  <c r="BH205" i="94" s="1"/>
  <c r="BB149" i="94" a="1"/>
  <c r="BB149" i="94" s="1"/>
  <c r="BB205" i="94" s="1"/>
  <c r="AT149" i="94" a="1"/>
  <c r="AT149" i="94" s="1"/>
  <c r="AT205" i="94" s="1"/>
  <c r="AW149" i="94" a="1"/>
  <c r="AW149" i="94" s="1"/>
  <c r="AW205" i="94" s="1"/>
  <c r="AV162" i="94" a="1"/>
  <c r="AV162" i="94" s="1"/>
  <c r="AV218" i="94" s="1"/>
  <c r="BG162" i="94" a="1"/>
  <c r="BG162" i="94" s="1"/>
  <c r="BG218" i="94" s="1"/>
  <c r="AQ162" i="94" a="1"/>
  <c r="AQ162" i="94" s="1"/>
  <c r="AQ218" i="94" s="1"/>
  <c r="AL162" i="94" a="1"/>
  <c r="AL162" i="94" s="1"/>
  <c r="AL218" i="94" s="1"/>
  <c r="AM162" i="94" a="1"/>
  <c r="AM162" i="94" s="1"/>
  <c r="AM218" i="94" s="1"/>
  <c r="AY162" i="94" a="1"/>
  <c r="AY162" i="94" s="1"/>
  <c r="AY218" i="94" s="1"/>
  <c r="BB162" i="94" a="1"/>
  <c r="BB162" i="94" s="1"/>
  <c r="BB218" i="94" s="1"/>
  <c r="AJ162" i="94" a="1"/>
  <c r="AJ162" i="94" s="1"/>
  <c r="AJ218" i="94" s="1"/>
  <c r="AO162" i="94" a="1"/>
  <c r="AO162" i="94" s="1"/>
  <c r="AO218" i="94" s="1"/>
  <c r="AR162" i="94" a="1"/>
  <c r="AR162" i="94" s="1"/>
  <c r="AR218" i="94" s="1"/>
  <c r="AN162" i="94" a="1"/>
  <c r="AN162" i="94" s="1"/>
  <c r="AN218" i="94" s="1"/>
  <c r="AX162" i="94" a="1"/>
  <c r="AX162" i="94" s="1"/>
  <c r="AX218" i="94" s="1"/>
  <c r="AW162" i="94" a="1"/>
  <c r="AW162" i="94" s="1"/>
  <c r="AW218" i="94" s="1"/>
  <c r="BC162" i="94" a="1"/>
  <c r="BC162" i="94" s="1"/>
  <c r="BC218" i="94" s="1"/>
  <c r="BF162" i="94" a="1"/>
  <c r="BF162" i="94" s="1"/>
  <c r="BF218" i="94" s="1"/>
  <c r="BA162" i="94" a="1"/>
  <c r="BA162" i="94" s="1"/>
  <c r="BA218" i="94" s="1"/>
  <c r="BI162" i="94" a="1"/>
  <c r="BI162" i="94" s="1"/>
  <c r="BI218" i="94" s="1"/>
  <c r="AK162" i="94" a="1"/>
  <c r="AK162" i="94" s="1"/>
  <c r="AK218" i="94" s="1"/>
  <c r="AS162" i="94" a="1"/>
  <c r="AS162" i="94" s="1"/>
  <c r="AS218" i="94" s="1"/>
  <c r="AP162" i="94" a="1"/>
  <c r="AP162" i="94" s="1"/>
  <c r="AP218" i="94" s="1"/>
  <c r="BH162" i="94" a="1"/>
  <c r="BH162" i="94" s="1"/>
  <c r="BH218" i="94" s="1"/>
  <c r="AT162" i="94" a="1"/>
  <c r="AT162" i="94" s="1"/>
  <c r="AT218" i="94" s="1"/>
  <c r="AZ162" i="94" a="1"/>
  <c r="AZ162" i="94" s="1"/>
  <c r="AZ218" i="94" s="1"/>
  <c r="BE162" i="94" a="1"/>
  <c r="BE162" i="94" s="1"/>
  <c r="BE218" i="94" s="1"/>
  <c r="AU162" i="94" a="1"/>
  <c r="AU162" i="94" s="1"/>
  <c r="AU218" i="94" s="1"/>
  <c r="BD162" i="94" a="1"/>
  <c r="BD162" i="94" s="1"/>
  <c r="BD218" i="94" s="1"/>
  <c r="AQ167" i="94" a="1"/>
  <c r="AQ167" i="94" s="1"/>
  <c r="AQ223" i="94" s="1"/>
  <c r="AY167" i="94" a="1"/>
  <c r="AY167" i="94" s="1"/>
  <c r="AY223" i="94" s="1"/>
  <c r="BA167" i="94" a="1"/>
  <c r="BA167" i="94" s="1"/>
  <c r="BA223" i="94" s="1"/>
  <c r="BF167" i="94" a="1"/>
  <c r="BF167" i="94" s="1"/>
  <c r="BF223" i="94" s="1"/>
  <c r="AO167" i="94" a="1"/>
  <c r="AO167" i="94" s="1"/>
  <c r="AO223" i="94" s="1"/>
  <c r="BI167" i="94" a="1"/>
  <c r="BI167" i="94" s="1"/>
  <c r="BI223" i="94" s="1"/>
  <c r="BC167" i="94" a="1"/>
  <c r="BC167" i="94" s="1"/>
  <c r="BC223" i="94" s="1"/>
  <c r="AM167" i="94" a="1"/>
  <c r="AM167" i="94" s="1"/>
  <c r="AM223" i="94" s="1"/>
  <c r="BH167" i="94" a="1"/>
  <c r="BH167" i="94" s="1"/>
  <c r="BH223" i="94" s="1"/>
  <c r="AK167" i="94" a="1"/>
  <c r="AK167" i="94" s="1"/>
  <c r="AK223" i="94" s="1"/>
  <c r="AR167" i="94" a="1"/>
  <c r="AR167" i="94" s="1"/>
  <c r="AR223" i="94" s="1"/>
  <c r="BD167" i="94" a="1"/>
  <c r="BD167" i="94" s="1"/>
  <c r="BD223" i="94" s="1"/>
  <c r="BG167" i="94" a="1"/>
  <c r="BG167" i="94" s="1"/>
  <c r="BG223" i="94" s="1"/>
  <c r="AU167" i="94" a="1"/>
  <c r="AU167" i="94" s="1"/>
  <c r="AU223" i="94" s="1"/>
  <c r="AS167" i="94" a="1"/>
  <c r="AS167" i="94" s="1"/>
  <c r="AS223" i="94" s="1"/>
  <c r="AN167" i="94" a="1"/>
  <c r="AN167" i="94" s="1"/>
  <c r="AN223" i="94" s="1"/>
  <c r="AL167" i="94" a="1"/>
  <c r="AL167" i="94" s="1"/>
  <c r="AL223" i="94" s="1"/>
  <c r="AJ167" i="94" a="1"/>
  <c r="AJ167" i="94" s="1"/>
  <c r="AJ223" i="94" s="1"/>
  <c r="AT167" i="94" a="1"/>
  <c r="AT167" i="94" s="1"/>
  <c r="AT223" i="94" s="1"/>
  <c r="AV167" i="94" a="1"/>
  <c r="AV167" i="94" s="1"/>
  <c r="AV223" i="94" s="1"/>
  <c r="AZ167" i="94" a="1"/>
  <c r="AZ167" i="94" s="1"/>
  <c r="AZ223" i="94" s="1"/>
  <c r="BE167" i="94" a="1"/>
  <c r="BE167" i="94" s="1"/>
  <c r="BE223" i="94" s="1"/>
  <c r="BB167" i="94" a="1"/>
  <c r="BB167" i="94" s="1"/>
  <c r="BB223" i="94" s="1"/>
  <c r="AW167" i="94" a="1"/>
  <c r="AW167" i="94" s="1"/>
  <c r="AW223" i="94" s="1"/>
  <c r="AP167" i="94" a="1"/>
  <c r="AP167" i="94" s="1"/>
  <c r="AP223" i="94" s="1"/>
  <c r="AX167" i="94" a="1"/>
  <c r="AX167" i="94" s="1"/>
  <c r="AX223" i="94" s="1"/>
  <c r="AZ154" i="94" a="1"/>
  <c r="AZ154" i="94" s="1"/>
  <c r="AZ210" i="94" s="1"/>
  <c r="AP154" i="94" a="1"/>
  <c r="AP154" i="94" s="1"/>
  <c r="AP210" i="94" s="1"/>
  <c r="AR154" i="94" a="1"/>
  <c r="AR154" i="94" s="1"/>
  <c r="AR210" i="94" s="1"/>
  <c r="AO154" i="94" a="1"/>
  <c r="AO154" i="94" s="1"/>
  <c r="AO210" i="94" s="1"/>
  <c r="AN154" i="94" a="1"/>
  <c r="AN154" i="94" s="1"/>
  <c r="AN210" i="94" s="1"/>
  <c r="BB154" i="94" a="1"/>
  <c r="BB154" i="94" s="1"/>
  <c r="BB210" i="94" s="1"/>
  <c r="AU154" i="94" a="1"/>
  <c r="AU154" i="94" s="1"/>
  <c r="AU210" i="94" s="1"/>
  <c r="AK154" i="94" a="1"/>
  <c r="AK154" i="94" s="1"/>
  <c r="AK210" i="94" s="1"/>
  <c r="AX154" i="94" a="1"/>
  <c r="AX154" i="94" s="1"/>
  <c r="AX210" i="94" s="1"/>
  <c r="BF154" i="94" a="1"/>
  <c r="BF154" i="94" s="1"/>
  <c r="BF210" i="94" s="1"/>
  <c r="BG154" i="94" a="1"/>
  <c r="BG154" i="94" s="1"/>
  <c r="BG210" i="94" s="1"/>
  <c r="AM154" i="94" a="1"/>
  <c r="AM154" i="94" s="1"/>
  <c r="AM210" i="94" s="1"/>
  <c r="AL154" i="94" a="1"/>
  <c r="AL154" i="94" s="1"/>
  <c r="AL210" i="94" s="1"/>
  <c r="BI154" i="94" a="1"/>
  <c r="BI154" i="94" s="1"/>
  <c r="BI210" i="94" s="1"/>
  <c r="BE154" i="94" a="1"/>
  <c r="BE154" i="94" s="1"/>
  <c r="BE210" i="94" s="1"/>
  <c r="AJ154" i="94" a="1"/>
  <c r="AJ154" i="94" s="1"/>
  <c r="AJ210" i="94" s="1"/>
  <c r="BH154" i="94" a="1"/>
  <c r="BH154" i="94" s="1"/>
  <c r="BH210" i="94" s="1"/>
  <c r="AV154" i="94" a="1"/>
  <c r="AV154" i="94" s="1"/>
  <c r="AV210" i="94" s="1"/>
  <c r="BA154" i="94" a="1"/>
  <c r="BA154" i="94" s="1"/>
  <c r="BA210" i="94" s="1"/>
  <c r="AS154" i="94" a="1"/>
  <c r="AS154" i="94" s="1"/>
  <c r="AS210" i="94" s="1"/>
  <c r="AW154" i="94" a="1"/>
  <c r="AW154" i="94" s="1"/>
  <c r="AW210" i="94" s="1"/>
  <c r="AT154" i="94" a="1"/>
  <c r="AT154" i="94" s="1"/>
  <c r="AT210" i="94" s="1"/>
  <c r="AQ154" i="94" a="1"/>
  <c r="AQ154" i="94" s="1"/>
  <c r="AQ210" i="94" s="1"/>
  <c r="BC154" i="94" a="1"/>
  <c r="BC154" i="94" s="1"/>
  <c r="BC210" i="94" s="1"/>
  <c r="BD154" i="94" a="1"/>
  <c r="BD154" i="94" s="1"/>
  <c r="BD210" i="94" s="1"/>
  <c r="AY154" i="94" a="1"/>
  <c r="AY154" i="94" s="1"/>
  <c r="AY210" i="94" s="1"/>
  <c r="BB158" i="94" a="1"/>
  <c r="BB158" i="94" s="1"/>
  <c r="BB214" i="94" s="1"/>
  <c r="AO158" i="94" a="1"/>
  <c r="AO158" i="94" s="1"/>
  <c r="AO214" i="94" s="1"/>
  <c r="BI158" i="94" a="1"/>
  <c r="BI158" i="94" s="1"/>
  <c r="BI214" i="94" s="1"/>
  <c r="AQ158" i="94" a="1"/>
  <c r="AQ158" i="94" s="1"/>
  <c r="AQ214" i="94" s="1"/>
  <c r="AL158" i="94" a="1"/>
  <c r="AL158" i="94" s="1"/>
  <c r="AL214" i="94" s="1"/>
  <c r="AZ158" i="94" a="1"/>
  <c r="AZ158" i="94" s="1"/>
  <c r="AZ214" i="94" s="1"/>
  <c r="AY158" i="94" a="1"/>
  <c r="AY158" i="94" s="1"/>
  <c r="AY214" i="94" s="1"/>
  <c r="AW158" i="94" a="1"/>
  <c r="AW158" i="94" s="1"/>
  <c r="AW214" i="94" s="1"/>
  <c r="BF158" i="94" a="1"/>
  <c r="BF158" i="94" s="1"/>
  <c r="BF214" i="94" s="1"/>
  <c r="AT158" i="94" a="1"/>
  <c r="AT158" i="94" s="1"/>
  <c r="AT214" i="94" s="1"/>
  <c r="AS158" i="94" a="1"/>
  <c r="AS158" i="94" s="1"/>
  <c r="AS214" i="94" s="1"/>
  <c r="AN158" i="94" a="1"/>
  <c r="AN158" i="94" s="1"/>
  <c r="AN214" i="94" s="1"/>
  <c r="BD158" i="94" a="1"/>
  <c r="BD158" i="94" s="1"/>
  <c r="BD214" i="94" s="1"/>
  <c r="BE158" i="94" a="1"/>
  <c r="BE158" i="94" s="1"/>
  <c r="BE214" i="94" s="1"/>
  <c r="AR158" i="94" a="1"/>
  <c r="AR158" i="94" s="1"/>
  <c r="AR214" i="94" s="1"/>
  <c r="AP158" i="94" a="1"/>
  <c r="AP158" i="94" s="1"/>
  <c r="AP214" i="94" s="1"/>
  <c r="AU158" i="94" a="1"/>
  <c r="AU158" i="94" s="1"/>
  <c r="AU214" i="94" s="1"/>
  <c r="AK158" i="94" a="1"/>
  <c r="AK158" i="94" s="1"/>
  <c r="AK214" i="94" s="1"/>
  <c r="BH158" i="94" a="1"/>
  <c r="BH158" i="94" s="1"/>
  <c r="BH214" i="94" s="1"/>
  <c r="BA158" i="94" a="1"/>
  <c r="BA158" i="94" s="1"/>
  <c r="BA214" i="94" s="1"/>
  <c r="AM158" i="94" a="1"/>
  <c r="AM158" i="94" s="1"/>
  <c r="AM214" i="94" s="1"/>
  <c r="BC158" i="94" a="1"/>
  <c r="BC158" i="94" s="1"/>
  <c r="BC214" i="94" s="1"/>
  <c r="BG158" i="94" a="1"/>
  <c r="BG158" i="94" s="1"/>
  <c r="BG214" i="94" s="1"/>
  <c r="AJ158" i="94" a="1"/>
  <c r="AJ158" i="94" s="1"/>
  <c r="AJ214" i="94" s="1"/>
  <c r="AX158" i="94" a="1"/>
  <c r="AX158" i="94" s="1"/>
  <c r="AX214" i="94" s="1"/>
  <c r="AV158" i="94" a="1"/>
  <c r="AV158" i="94" s="1"/>
  <c r="AV214" i="94" s="1"/>
  <c r="AM172" i="94" a="1"/>
  <c r="AM172" i="94" s="1"/>
  <c r="AM228" i="94" s="1"/>
  <c r="AX172" i="94" a="1"/>
  <c r="AX172" i="94" s="1"/>
  <c r="AX228" i="94" s="1"/>
  <c r="AQ172" i="94" a="1"/>
  <c r="AQ172" i="94" s="1"/>
  <c r="AQ228" i="94" s="1"/>
  <c r="BB172" i="94" a="1"/>
  <c r="BB172" i="94" s="1"/>
  <c r="BB228" i="94" s="1"/>
  <c r="AU172" i="94" a="1"/>
  <c r="AU172" i="94" s="1"/>
  <c r="AU228" i="94" s="1"/>
  <c r="BC172" i="94" a="1"/>
  <c r="BC172" i="94" s="1"/>
  <c r="BC228" i="94" s="1"/>
  <c r="AT172" i="94" a="1"/>
  <c r="AT172" i="94" s="1"/>
  <c r="AT228" i="94" s="1"/>
  <c r="BD172" i="94" a="1"/>
  <c r="BD172" i="94" s="1"/>
  <c r="BD228" i="94" s="1"/>
  <c r="AP172" i="94" a="1"/>
  <c r="AP172" i="94" s="1"/>
  <c r="AP228" i="94" s="1"/>
  <c r="AO172" i="94" a="1"/>
  <c r="AO172" i="94" s="1"/>
  <c r="AO228" i="94" s="1"/>
  <c r="AJ172" i="94" a="1"/>
  <c r="AJ172" i="94" s="1"/>
  <c r="AJ228" i="94" s="1"/>
  <c r="AN172" i="94" a="1"/>
  <c r="AN172" i="94" s="1"/>
  <c r="AN228" i="94" s="1"/>
  <c r="AS172" i="94" a="1"/>
  <c r="AS172" i="94" s="1"/>
  <c r="AS228" i="94" s="1"/>
  <c r="AW172" i="94" a="1"/>
  <c r="AW172" i="94" s="1"/>
  <c r="AW228" i="94" s="1"/>
  <c r="BI172" i="94" a="1"/>
  <c r="BI172" i="94" s="1"/>
  <c r="BI228" i="94" s="1"/>
  <c r="AL172" i="94" a="1"/>
  <c r="AL172" i="94" s="1"/>
  <c r="AL228" i="94" s="1"/>
  <c r="BA172" i="94" a="1"/>
  <c r="BA172" i="94" s="1"/>
  <c r="BA228" i="94" s="1"/>
  <c r="BG172" i="94" a="1"/>
  <c r="BG172" i="94" s="1"/>
  <c r="BG228" i="94" s="1"/>
  <c r="BH172" i="94" a="1"/>
  <c r="BH172" i="94" s="1"/>
  <c r="BH228" i="94" s="1"/>
  <c r="BF172" i="94" a="1"/>
  <c r="BF172" i="94" s="1"/>
  <c r="BF228" i="94" s="1"/>
  <c r="AY172" i="94" a="1"/>
  <c r="AY172" i="94" s="1"/>
  <c r="AY228" i="94" s="1"/>
  <c r="AR172" i="94" a="1"/>
  <c r="AR172" i="94" s="1"/>
  <c r="AR228" i="94" s="1"/>
  <c r="AZ172" i="94" a="1"/>
  <c r="AZ172" i="94" s="1"/>
  <c r="AZ228" i="94" s="1"/>
  <c r="BE172" i="94" a="1"/>
  <c r="BE172" i="94" s="1"/>
  <c r="BE228" i="94" s="1"/>
  <c r="AV172" i="94" a="1"/>
  <c r="AV172" i="94" s="1"/>
  <c r="AV228" i="94" s="1"/>
  <c r="AK172" i="94" a="1"/>
  <c r="AK172" i="94" s="1"/>
  <c r="AK228" i="94" s="1"/>
  <c r="F78" i="94"/>
  <c r="BG151" i="94" a="1"/>
  <c r="BG151" i="94" s="1"/>
  <c r="BG207" i="94" s="1"/>
  <c r="AX151" i="94" a="1"/>
  <c r="AX151" i="94" s="1"/>
  <c r="AX207" i="94" s="1"/>
  <c r="AY151" i="94" a="1"/>
  <c r="AY151" i="94" s="1"/>
  <c r="AY207" i="94" s="1"/>
  <c r="BD151" i="94" a="1"/>
  <c r="BD151" i="94" s="1"/>
  <c r="BD207" i="94" s="1"/>
  <c r="BE151" i="94" a="1"/>
  <c r="BE151" i="94" s="1"/>
  <c r="BE207" i="94" s="1"/>
  <c r="AV151" i="94" a="1"/>
  <c r="AV151" i="94" s="1"/>
  <c r="AV207" i="94" s="1"/>
  <c r="AJ151" i="94" a="1"/>
  <c r="AJ151" i="94" s="1"/>
  <c r="AJ207" i="94" s="1"/>
  <c r="AM151" i="94" a="1"/>
  <c r="AM151" i="94" s="1"/>
  <c r="AM207" i="94" s="1"/>
  <c r="AU151" i="94" a="1"/>
  <c r="AU151" i="94" s="1"/>
  <c r="AU207" i="94" s="1"/>
  <c r="BC151" i="94" a="1"/>
  <c r="BC151" i="94" s="1"/>
  <c r="BC207" i="94" s="1"/>
  <c r="AT151" i="94" a="1"/>
  <c r="AT151" i="94" s="1"/>
  <c r="AT207" i="94" s="1"/>
  <c r="BH151" i="94" a="1"/>
  <c r="BH151" i="94" s="1"/>
  <c r="BH207" i="94" s="1"/>
  <c r="AQ151" i="94" a="1"/>
  <c r="AQ151" i="94" s="1"/>
  <c r="AQ207" i="94" s="1"/>
  <c r="BB151" i="94" a="1"/>
  <c r="BB151" i="94" s="1"/>
  <c r="BB207" i="94" s="1"/>
  <c r="AL151" i="94" a="1"/>
  <c r="AL151" i="94" s="1"/>
  <c r="AL207" i="94" s="1"/>
  <c r="BF151" i="94" a="1"/>
  <c r="BF151" i="94" s="1"/>
  <c r="BF207" i="94" s="1"/>
  <c r="AK151" i="94" a="1"/>
  <c r="AK151" i="94" s="1"/>
  <c r="AK207" i="94" s="1"/>
  <c r="AW151" i="94" a="1"/>
  <c r="AW151" i="94" s="1"/>
  <c r="AW207" i="94" s="1"/>
  <c r="AS151" i="94" a="1"/>
  <c r="AS151" i="94" s="1"/>
  <c r="AS207" i="94" s="1"/>
  <c r="AP151" i="94" a="1"/>
  <c r="AP151" i="94" s="1"/>
  <c r="AP207" i="94" s="1"/>
  <c r="AZ151" i="94" a="1"/>
  <c r="AZ151" i="94" s="1"/>
  <c r="AZ207" i="94" s="1"/>
  <c r="AR151" i="94" a="1"/>
  <c r="AR151" i="94" s="1"/>
  <c r="AR207" i="94" s="1"/>
  <c r="AO151" i="94" a="1"/>
  <c r="AO151" i="94" s="1"/>
  <c r="AO207" i="94" s="1"/>
  <c r="BI151" i="94" a="1"/>
  <c r="BI151" i="94" s="1"/>
  <c r="BI207" i="94" s="1"/>
  <c r="BA151" i="94" a="1"/>
  <c r="BA151" i="94" s="1"/>
  <c r="BA207" i="94" s="1"/>
  <c r="AN151" i="94" a="1"/>
  <c r="AN151" i="94" s="1"/>
  <c r="AN207" i="94" s="1"/>
  <c r="AU170" i="94" a="1"/>
  <c r="AU170" i="94" s="1"/>
  <c r="AU226" i="94" s="1"/>
  <c r="AN170" i="94" a="1"/>
  <c r="AN170" i="94" s="1"/>
  <c r="AN226" i="94" s="1"/>
  <c r="AJ170" i="94" a="1"/>
  <c r="AJ170" i="94" s="1"/>
  <c r="AJ226" i="94" s="1"/>
  <c r="BH170" i="94" a="1"/>
  <c r="BH170" i="94" s="1"/>
  <c r="BH226" i="94" s="1"/>
  <c r="AL170" i="94" a="1"/>
  <c r="AL170" i="94" s="1"/>
  <c r="AL226" i="94" s="1"/>
  <c r="BE170" i="94" a="1"/>
  <c r="BE170" i="94" s="1"/>
  <c r="BE226" i="94" s="1"/>
  <c r="BD170" i="94" a="1"/>
  <c r="BD170" i="94" s="1"/>
  <c r="BD226" i="94" s="1"/>
  <c r="AQ170" i="94" a="1"/>
  <c r="AQ170" i="94" s="1"/>
  <c r="AQ226" i="94" s="1"/>
  <c r="AW170" i="94" a="1"/>
  <c r="AW170" i="94" s="1"/>
  <c r="AW226" i="94" s="1"/>
  <c r="BI170" i="94" a="1"/>
  <c r="BI170" i="94" s="1"/>
  <c r="BI226" i="94" s="1"/>
  <c r="BB170" i="94" a="1"/>
  <c r="BB170" i="94" s="1"/>
  <c r="BB226" i="94" s="1"/>
  <c r="AS170" i="94" a="1"/>
  <c r="AS170" i="94" s="1"/>
  <c r="AS226" i="94" s="1"/>
  <c r="AM170" i="94" a="1"/>
  <c r="AM170" i="94" s="1"/>
  <c r="AM226" i="94" s="1"/>
  <c r="BC170" i="94" a="1"/>
  <c r="BC170" i="94" s="1"/>
  <c r="BC226" i="94" s="1"/>
  <c r="AZ170" i="94" a="1"/>
  <c r="AZ170" i="94" s="1"/>
  <c r="AZ226" i="94" s="1"/>
  <c r="AP170" i="94" a="1"/>
  <c r="AP170" i="94" s="1"/>
  <c r="AP226" i="94" s="1"/>
  <c r="AT170" i="94" a="1"/>
  <c r="AT170" i="94" s="1"/>
  <c r="AT226" i="94" s="1"/>
  <c r="AY170" i="94" a="1"/>
  <c r="AY170" i="94" s="1"/>
  <c r="AY226" i="94" s="1"/>
  <c r="BG170" i="94" a="1"/>
  <c r="BG170" i="94" s="1"/>
  <c r="BG226" i="94" s="1"/>
  <c r="AV170" i="94" a="1"/>
  <c r="AV170" i="94" s="1"/>
  <c r="AV226" i="94" s="1"/>
  <c r="AR170" i="94" a="1"/>
  <c r="AR170" i="94" s="1"/>
  <c r="AR226" i="94" s="1"/>
  <c r="BF170" i="94" a="1"/>
  <c r="BF170" i="94" s="1"/>
  <c r="BF226" i="94" s="1"/>
  <c r="BA170" i="94" a="1"/>
  <c r="BA170" i="94" s="1"/>
  <c r="BA226" i="94" s="1"/>
  <c r="AO170" i="94" a="1"/>
  <c r="AO170" i="94" s="1"/>
  <c r="AO226" i="94" s="1"/>
  <c r="AX170" i="94" a="1"/>
  <c r="AX170" i="94" s="1"/>
  <c r="AX226" i="94" s="1"/>
  <c r="AK170" i="94" a="1"/>
  <c r="AK170" i="94" s="1"/>
  <c r="AK226" i="94" s="1"/>
  <c r="AV144" i="94" a="1"/>
  <c r="AV144" i="94" s="1"/>
  <c r="AV200" i="94" s="1"/>
  <c r="AT144" i="94" a="1"/>
  <c r="AT144" i="94" s="1"/>
  <c r="AT200" i="94" s="1"/>
  <c r="AZ144" i="94" a="1"/>
  <c r="AZ144" i="94" s="1"/>
  <c r="AZ200" i="94" s="1"/>
  <c r="AM144" i="94" a="1"/>
  <c r="AM144" i="94" s="1"/>
  <c r="AM200" i="94" s="1"/>
  <c r="AX144" i="94" a="1"/>
  <c r="AX144" i="94" s="1"/>
  <c r="AX200" i="94" s="1"/>
  <c r="AW144" i="94" a="1"/>
  <c r="AW144" i="94" s="1"/>
  <c r="AW200" i="94" s="1"/>
  <c r="AR144" i="94" a="1"/>
  <c r="AR144" i="94" s="1"/>
  <c r="AR200" i="94" s="1"/>
  <c r="BF144" i="94" a="1"/>
  <c r="BF144" i="94" s="1"/>
  <c r="BF200" i="94" s="1"/>
  <c r="BC144" i="94" a="1"/>
  <c r="BC144" i="94" s="1"/>
  <c r="BC200" i="94" s="1"/>
  <c r="AJ144" i="94" a="1"/>
  <c r="AJ144" i="94" s="1"/>
  <c r="AJ200" i="94" s="1"/>
  <c r="BD144" i="94" a="1"/>
  <c r="BD144" i="94" s="1"/>
  <c r="BD200" i="94" s="1"/>
  <c r="BH144" i="94" a="1"/>
  <c r="BH144" i="94" s="1"/>
  <c r="BH200" i="94" s="1"/>
  <c r="AO144" i="94" a="1"/>
  <c r="AO144" i="94" s="1"/>
  <c r="AO200" i="94" s="1"/>
  <c r="BE144" i="94" a="1"/>
  <c r="BE144" i="94" s="1"/>
  <c r="BE200" i="94" s="1"/>
  <c r="BA144" i="94" a="1"/>
  <c r="BA144" i="94" s="1"/>
  <c r="BA200" i="94" s="1"/>
  <c r="AL144" i="94" a="1"/>
  <c r="AL144" i="94" s="1"/>
  <c r="AL200" i="94" s="1"/>
  <c r="AN144" i="94" a="1"/>
  <c r="AN144" i="94" s="1"/>
  <c r="AN200" i="94" s="1"/>
  <c r="BB144" i="94" a="1"/>
  <c r="BB144" i="94" s="1"/>
  <c r="BB200" i="94" s="1"/>
  <c r="BG144" i="94" a="1"/>
  <c r="BG144" i="94" s="1"/>
  <c r="BG200" i="94" s="1"/>
  <c r="AQ144" i="94" a="1"/>
  <c r="AQ144" i="94" s="1"/>
  <c r="AQ200" i="94" s="1"/>
  <c r="AU144" i="94" a="1"/>
  <c r="AU144" i="94" s="1"/>
  <c r="AU200" i="94" s="1"/>
  <c r="AS144" i="94" a="1"/>
  <c r="AS144" i="94" s="1"/>
  <c r="AS200" i="94" s="1"/>
  <c r="AP144" i="94" a="1"/>
  <c r="AP144" i="94" s="1"/>
  <c r="AP200" i="94" s="1"/>
  <c r="AK144" i="94" a="1"/>
  <c r="AK144" i="94" s="1"/>
  <c r="AK200" i="94" s="1"/>
  <c r="AY144" i="94" a="1"/>
  <c r="AY144" i="94" s="1"/>
  <c r="AY200" i="94" s="1"/>
  <c r="BI144" i="94" a="1"/>
  <c r="BI144" i="94" s="1"/>
  <c r="BI200" i="94" s="1"/>
  <c r="AQ148" i="94" a="1"/>
  <c r="AQ148" i="94" s="1"/>
  <c r="AQ204" i="94" s="1"/>
  <c r="BL140" i="94"/>
  <c r="BB148" i="94" a="1"/>
  <c r="BB148" i="94" s="1"/>
  <c r="BB204" i="94" s="1"/>
  <c r="AO148" i="94" a="1"/>
  <c r="AO148" i="94" s="1"/>
  <c r="AO204" i="94" s="1"/>
  <c r="AT148" i="94" a="1"/>
  <c r="AT148" i="94" s="1"/>
  <c r="AT204" i="94" s="1"/>
  <c r="BO140" i="94"/>
  <c r="AM148" i="94" a="1"/>
  <c r="AM148" i="94" s="1"/>
  <c r="AM204" i="94" s="1"/>
  <c r="BD148" i="94" a="1"/>
  <c r="BD148" i="94" s="1"/>
  <c r="BD204" i="94" s="1"/>
  <c r="BI148" i="94" a="1"/>
  <c r="BI148" i="94" s="1"/>
  <c r="BI204" i="94" s="1"/>
  <c r="AR148" i="94" a="1"/>
  <c r="AR148" i="94" s="1"/>
  <c r="AR204" i="94" s="1"/>
  <c r="AZ148" i="94" a="1"/>
  <c r="AZ148" i="94" s="1"/>
  <c r="AZ204" i="94" s="1"/>
  <c r="AK148" i="94" a="1"/>
  <c r="AK148" i="94" s="1"/>
  <c r="AK204" i="94" s="1"/>
  <c r="BA148" i="94" a="1"/>
  <c r="BA148" i="94" s="1"/>
  <c r="BA204" i="94" s="1"/>
  <c r="BE148" i="94" a="1"/>
  <c r="BE148" i="94" s="1"/>
  <c r="BE204" i="94" s="1"/>
  <c r="BM140" i="94"/>
  <c r="BQ140" i="94"/>
  <c r="AJ148" i="94" a="1"/>
  <c r="AJ148" i="94" s="1"/>
  <c r="AJ204" i="94" s="1"/>
  <c r="AX148" i="94" a="1"/>
  <c r="AX148" i="94" s="1"/>
  <c r="AX204" i="94" s="1"/>
  <c r="BF148" i="94" a="1"/>
  <c r="BF148" i="94" s="1"/>
  <c r="BF204" i="94" s="1"/>
  <c r="BR140" i="94"/>
  <c r="BH148" i="94" a="1"/>
  <c r="BH148" i="94" s="1"/>
  <c r="BH204" i="94" s="1"/>
  <c r="AV148" i="94" a="1"/>
  <c r="AV148" i="94" s="1"/>
  <c r="AV204" i="94" s="1"/>
  <c r="AY148" i="94" a="1"/>
  <c r="AY148" i="94" s="1"/>
  <c r="AY204" i="94" s="1"/>
  <c r="BG148" i="94" a="1"/>
  <c r="BG148" i="94" s="1"/>
  <c r="BG204" i="94" s="1"/>
  <c r="AL148" i="94" a="1"/>
  <c r="AL148" i="94" s="1"/>
  <c r="AL204" i="94" s="1"/>
  <c r="AS148" i="94" a="1"/>
  <c r="AS148" i="94" s="1"/>
  <c r="AS204" i="94" s="1"/>
  <c r="AP148" i="94" a="1"/>
  <c r="AP148" i="94" s="1"/>
  <c r="AP204" i="94" s="1"/>
  <c r="AN148" i="94" a="1"/>
  <c r="AN148" i="94" s="1"/>
  <c r="AN204" i="94" s="1"/>
  <c r="BP140" i="94"/>
  <c r="BC148" i="94" a="1"/>
  <c r="BC148" i="94" s="1"/>
  <c r="BC204" i="94" s="1"/>
  <c r="BN140" i="94"/>
  <c r="AU148" i="94" a="1"/>
  <c r="AU148" i="94" s="1"/>
  <c r="AU204" i="94" s="1"/>
  <c r="AW148" i="94" a="1"/>
  <c r="AW148" i="94" s="1"/>
  <c r="AW204" i="94" s="1"/>
  <c r="AW164" i="94" a="1"/>
  <c r="AW164" i="94" s="1"/>
  <c r="AW220" i="94" s="1"/>
  <c r="AX164" i="94" a="1"/>
  <c r="AX164" i="94" s="1"/>
  <c r="AX220" i="94" s="1"/>
  <c r="BG164" i="94" a="1"/>
  <c r="BG164" i="94" s="1"/>
  <c r="BG220" i="94" s="1"/>
  <c r="BH164" i="94" a="1"/>
  <c r="BH164" i="94" s="1"/>
  <c r="BH220" i="94" s="1"/>
  <c r="AS164" i="94" a="1"/>
  <c r="AS164" i="94" s="1"/>
  <c r="AS220" i="94" s="1"/>
  <c r="BD164" i="94" a="1"/>
  <c r="BD164" i="94" s="1"/>
  <c r="BD220" i="94" s="1"/>
  <c r="AT164" i="94" a="1"/>
  <c r="AT164" i="94" s="1"/>
  <c r="AT220" i="94" s="1"/>
  <c r="BB164" i="94" a="1"/>
  <c r="BB164" i="94" s="1"/>
  <c r="BB220" i="94" s="1"/>
  <c r="AQ164" i="94" a="1"/>
  <c r="AQ164" i="94" s="1"/>
  <c r="AQ220" i="94" s="1"/>
  <c r="AV164" i="94" a="1"/>
  <c r="AV164" i="94" s="1"/>
  <c r="AV220" i="94" s="1"/>
  <c r="AY164" i="94" a="1"/>
  <c r="AY164" i="94" s="1"/>
  <c r="AY220" i="94" s="1"/>
  <c r="AJ164" i="94" a="1"/>
  <c r="AJ164" i="94" s="1"/>
  <c r="AJ220" i="94" s="1"/>
  <c r="BE164" i="94" a="1"/>
  <c r="BE164" i="94" s="1"/>
  <c r="BE220" i="94" s="1"/>
  <c r="AM164" i="94" a="1"/>
  <c r="AM164" i="94" s="1"/>
  <c r="AM220" i="94" s="1"/>
  <c r="AP164" i="94" a="1"/>
  <c r="AP164" i="94" s="1"/>
  <c r="AP220" i="94" s="1"/>
  <c r="BA164" i="94" a="1"/>
  <c r="BA164" i="94" s="1"/>
  <c r="BA220" i="94" s="1"/>
  <c r="AZ164" i="94" a="1"/>
  <c r="AZ164" i="94" s="1"/>
  <c r="AZ220" i="94" s="1"/>
  <c r="AL164" i="94" a="1"/>
  <c r="AL164" i="94" s="1"/>
  <c r="AL220" i="94" s="1"/>
  <c r="AK164" i="94" a="1"/>
  <c r="AK164" i="94" s="1"/>
  <c r="AK220" i="94" s="1"/>
  <c r="AU164" i="94" a="1"/>
  <c r="AU164" i="94" s="1"/>
  <c r="AU220" i="94" s="1"/>
  <c r="BC164" i="94" a="1"/>
  <c r="BC164" i="94" s="1"/>
  <c r="BC220" i="94" s="1"/>
  <c r="AR164" i="94" a="1"/>
  <c r="AR164" i="94" s="1"/>
  <c r="AR220" i="94" s="1"/>
  <c r="BF164" i="94" a="1"/>
  <c r="BF164" i="94" s="1"/>
  <c r="BF220" i="94" s="1"/>
  <c r="AN164" i="94" a="1"/>
  <c r="AN164" i="94" s="1"/>
  <c r="AN220" i="94" s="1"/>
  <c r="BI164" i="94" a="1"/>
  <c r="BI164" i="94" s="1"/>
  <c r="BI220" i="94" s="1"/>
  <c r="AO164" i="94" a="1"/>
  <c r="AO164" i="94" s="1"/>
  <c r="AO220" i="94" s="1"/>
  <c r="BB169" i="94" a="1"/>
  <c r="BB169" i="94" s="1"/>
  <c r="BB225" i="94" s="1"/>
  <c r="BD169" i="94" a="1"/>
  <c r="BD169" i="94" s="1"/>
  <c r="BD225" i="94" s="1"/>
  <c r="AU169" i="94" a="1"/>
  <c r="AU169" i="94" s="1"/>
  <c r="AU225" i="94" s="1"/>
  <c r="BC169" i="94" a="1"/>
  <c r="BC169" i="94" s="1"/>
  <c r="BC225" i="94" s="1"/>
  <c r="AJ169" i="94" a="1"/>
  <c r="AJ169" i="94" s="1"/>
  <c r="AJ225" i="94" s="1"/>
  <c r="AQ169" i="94" a="1"/>
  <c r="AQ169" i="94" s="1"/>
  <c r="AQ225" i="94" s="1"/>
  <c r="AO169" i="94" a="1"/>
  <c r="AO169" i="94" s="1"/>
  <c r="AO225" i="94" s="1"/>
  <c r="AS169" i="94" a="1"/>
  <c r="AS169" i="94" s="1"/>
  <c r="AS225" i="94" s="1"/>
  <c r="AZ169" i="94" a="1"/>
  <c r="AZ169" i="94" s="1"/>
  <c r="AZ225" i="94" s="1"/>
  <c r="BH169" i="94" a="1"/>
  <c r="BH169" i="94" s="1"/>
  <c r="BH225" i="94" s="1"/>
  <c r="BA169" i="94" a="1"/>
  <c r="BA169" i="94" s="1"/>
  <c r="BA225" i="94" s="1"/>
  <c r="AY169" i="94" a="1"/>
  <c r="AY169" i="94" s="1"/>
  <c r="AY225" i="94" s="1"/>
  <c r="BI169" i="94" a="1"/>
  <c r="BI169" i="94" s="1"/>
  <c r="BI225" i="94" s="1"/>
  <c r="BE169" i="94" a="1"/>
  <c r="BE169" i="94" s="1"/>
  <c r="BE225" i="94" s="1"/>
  <c r="AK169" i="94" a="1"/>
  <c r="AK169" i="94" s="1"/>
  <c r="AK225" i="94" s="1"/>
  <c r="AR169" i="94" a="1"/>
  <c r="AR169" i="94" s="1"/>
  <c r="AR225" i="94" s="1"/>
  <c r="AL169" i="94" a="1"/>
  <c r="AL169" i="94" s="1"/>
  <c r="AL225" i="94" s="1"/>
  <c r="AM169" i="94" a="1"/>
  <c r="AM169" i="94" s="1"/>
  <c r="AM225" i="94" s="1"/>
  <c r="AW169" i="94" a="1"/>
  <c r="AW169" i="94" s="1"/>
  <c r="AW225" i="94" s="1"/>
  <c r="AX169" i="94" a="1"/>
  <c r="AX169" i="94" s="1"/>
  <c r="AX225" i="94" s="1"/>
  <c r="AV169" i="94" a="1"/>
  <c r="AV169" i="94" s="1"/>
  <c r="AV225" i="94" s="1"/>
  <c r="AP169" i="94" a="1"/>
  <c r="AP169" i="94" s="1"/>
  <c r="AP225" i="94" s="1"/>
  <c r="AT169" i="94" a="1"/>
  <c r="AT169" i="94" s="1"/>
  <c r="AT225" i="94" s="1"/>
  <c r="BG169" i="94" a="1"/>
  <c r="BG169" i="94" s="1"/>
  <c r="BG225" i="94" s="1"/>
  <c r="BF169" i="94" a="1"/>
  <c r="BF169" i="94" s="1"/>
  <c r="BF225" i="94" s="1"/>
  <c r="AN169" i="94" a="1"/>
  <c r="AN169" i="94" s="1"/>
  <c r="AN225" i="94" s="1"/>
  <c r="AS150" i="94" a="1"/>
  <c r="AS150" i="94" s="1"/>
  <c r="AS206" i="94" s="1"/>
  <c r="BI150" i="94" a="1"/>
  <c r="BI150" i="94" s="1"/>
  <c r="BI206" i="94" s="1"/>
  <c r="AJ150" i="94" a="1"/>
  <c r="AJ150" i="94" s="1"/>
  <c r="AJ206" i="94" s="1"/>
  <c r="BA150" i="94" a="1"/>
  <c r="BA150" i="94" s="1"/>
  <c r="BA206" i="94" s="1"/>
  <c r="AY150" i="94" a="1"/>
  <c r="AY150" i="94" s="1"/>
  <c r="AY206" i="94" s="1"/>
  <c r="AT150" i="94" a="1"/>
  <c r="AT150" i="94" s="1"/>
  <c r="AT206" i="94" s="1"/>
  <c r="AK150" i="94" a="1"/>
  <c r="AK150" i="94" s="1"/>
  <c r="AK206" i="94" s="1"/>
  <c r="BB150" i="94" a="1"/>
  <c r="BB150" i="94" s="1"/>
  <c r="BB206" i="94" s="1"/>
  <c r="BF150" i="94" a="1"/>
  <c r="BF150" i="94" s="1"/>
  <c r="BF206" i="94" s="1"/>
  <c r="AO150" i="94" a="1"/>
  <c r="AO150" i="94" s="1"/>
  <c r="AO206" i="94" s="1"/>
  <c r="AX150" i="94" a="1"/>
  <c r="AX150" i="94" s="1"/>
  <c r="AX206" i="94" s="1"/>
  <c r="AN150" i="94" a="1"/>
  <c r="AN150" i="94" s="1"/>
  <c r="AN206" i="94" s="1"/>
  <c r="AW150" i="94" a="1"/>
  <c r="AW150" i="94" s="1"/>
  <c r="AW206" i="94" s="1"/>
  <c r="AP150" i="94" a="1"/>
  <c r="AP150" i="94" s="1"/>
  <c r="AP206" i="94" s="1"/>
  <c r="BC150" i="94" a="1"/>
  <c r="BC150" i="94" s="1"/>
  <c r="BC206" i="94" s="1"/>
  <c r="BH150" i="94" a="1"/>
  <c r="BH150" i="94" s="1"/>
  <c r="BH206" i="94" s="1"/>
  <c r="AR150" i="94" a="1"/>
  <c r="AR150" i="94" s="1"/>
  <c r="AR206" i="94" s="1"/>
  <c r="AV150" i="94" a="1"/>
  <c r="AV150" i="94" s="1"/>
  <c r="AV206" i="94" s="1"/>
  <c r="BE150" i="94" a="1"/>
  <c r="BE150" i="94" s="1"/>
  <c r="BE206" i="94" s="1"/>
  <c r="BD150" i="94" a="1"/>
  <c r="BD150" i="94" s="1"/>
  <c r="BD206" i="94" s="1"/>
  <c r="AU150" i="94" a="1"/>
  <c r="AU150" i="94" s="1"/>
  <c r="AU206" i="94" s="1"/>
  <c r="AM150" i="94" a="1"/>
  <c r="AM150" i="94" s="1"/>
  <c r="AM206" i="94" s="1"/>
  <c r="AQ150" i="94" a="1"/>
  <c r="AQ150" i="94" s="1"/>
  <c r="AQ206" i="94" s="1"/>
  <c r="BG150" i="94" a="1"/>
  <c r="BG150" i="94" s="1"/>
  <c r="BG206" i="94" s="1"/>
  <c r="AL150" i="94" a="1"/>
  <c r="AL150" i="94" s="1"/>
  <c r="AL206" i="94" s="1"/>
  <c r="AZ150" i="94" a="1"/>
  <c r="AZ150" i="94" s="1"/>
  <c r="AZ206" i="94" s="1"/>
  <c r="AM157" i="94" a="1"/>
  <c r="AM157" i="94" s="1"/>
  <c r="AM213" i="94" s="1"/>
  <c r="AT157" i="94" a="1"/>
  <c r="AT157" i="94" s="1"/>
  <c r="AT213" i="94" s="1"/>
  <c r="BC157" i="94" a="1"/>
  <c r="BC157" i="94" s="1"/>
  <c r="BC213" i="94" s="1"/>
  <c r="BF157" i="94" a="1"/>
  <c r="BF157" i="94" s="1"/>
  <c r="BF213" i="94" s="1"/>
  <c r="AL157" i="94" a="1"/>
  <c r="AL157" i="94" s="1"/>
  <c r="AL213" i="94" s="1"/>
  <c r="AO157" i="94" a="1"/>
  <c r="AO157" i="94" s="1"/>
  <c r="AO213" i="94" s="1"/>
  <c r="AK157" i="94" a="1"/>
  <c r="AK157" i="94" s="1"/>
  <c r="AK213" i="94" s="1"/>
  <c r="BG157" i="94" a="1"/>
  <c r="BG157" i="94" s="1"/>
  <c r="BG213" i="94" s="1"/>
  <c r="AV157" i="94" a="1"/>
  <c r="AV157" i="94" s="1"/>
  <c r="AV213" i="94" s="1"/>
  <c r="AJ157" i="94" a="1"/>
  <c r="AJ157" i="94" s="1"/>
  <c r="AJ213" i="94" s="1"/>
  <c r="BA157" i="94" a="1"/>
  <c r="BA157" i="94" s="1"/>
  <c r="BA213" i="94" s="1"/>
  <c r="AP157" i="94" a="1"/>
  <c r="AP157" i="94" s="1"/>
  <c r="AP213" i="94" s="1"/>
  <c r="BE157" i="94" a="1"/>
  <c r="BE157" i="94" s="1"/>
  <c r="BE213" i="94" s="1"/>
  <c r="AR157" i="94" a="1"/>
  <c r="AR157" i="94" s="1"/>
  <c r="AR213" i="94" s="1"/>
  <c r="AN157" i="94" a="1"/>
  <c r="AN157" i="94" s="1"/>
  <c r="AN213" i="94" s="1"/>
  <c r="BI157" i="94" a="1"/>
  <c r="BI157" i="94" s="1"/>
  <c r="BI213" i="94" s="1"/>
  <c r="BD157" i="94" a="1"/>
  <c r="BD157" i="94" s="1"/>
  <c r="BD213" i="94" s="1"/>
  <c r="BB157" i="94" a="1"/>
  <c r="BB157" i="94" s="1"/>
  <c r="BB213" i="94" s="1"/>
  <c r="AX157" i="94" a="1"/>
  <c r="AX157" i="94" s="1"/>
  <c r="AX213" i="94" s="1"/>
  <c r="AQ157" i="94" a="1"/>
  <c r="AQ157" i="94" s="1"/>
  <c r="AQ213" i="94" s="1"/>
  <c r="BH157" i="94" a="1"/>
  <c r="BH157" i="94" s="1"/>
  <c r="BH213" i="94" s="1"/>
  <c r="AU157" i="94" a="1"/>
  <c r="AU157" i="94" s="1"/>
  <c r="AU213" i="94" s="1"/>
  <c r="AW157" i="94" a="1"/>
  <c r="AW157" i="94" s="1"/>
  <c r="AW213" i="94" s="1"/>
  <c r="AZ157" i="94" a="1"/>
  <c r="AZ157" i="94" s="1"/>
  <c r="AZ213" i="94" s="1"/>
  <c r="AS157" i="94" a="1"/>
  <c r="AS157" i="94" s="1"/>
  <c r="AS213" i="94" s="1"/>
  <c r="AY157" i="94" a="1"/>
  <c r="AY157" i="94" s="1"/>
  <c r="AY213" i="94" s="1"/>
  <c r="BS143" i="94" l="1"/>
  <c r="BS140" i="94"/>
  <c r="BS142" i="94"/>
  <c r="BS144" i="94"/>
  <c r="BS141" i="94"/>
  <c r="BS139" i="94"/>
  <c r="Z50" i="94"/>
  <c r="Z65" i="94" s="1"/>
  <c r="CA54" i="94"/>
  <c r="O48" i="94"/>
  <c r="O63" i="94" s="1"/>
  <c r="BY55" i="94"/>
  <c r="T49" i="94"/>
  <c r="T64" i="94" s="1"/>
  <c r="DB48" i="94"/>
  <c r="DD49" i="94"/>
  <c r="U46" i="94"/>
  <c r="U61" i="94" s="1"/>
  <c r="CB54" i="94"/>
  <c r="J54" i="94"/>
  <c r="J69" i="94" s="1"/>
  <c r="DE46" i="94"/>
  <c r="CP48" i="94"/>
  <c r="AM46" i="94"/>
  <c r="DL54" i="94"/>
  <c r="AL46" i="94"/>
  <c r="AO47" i="94"/>
  <c r="BP138" i="94"/>
  <c r="CF44" i="94"/>
  <c r="BD54" i="94"/>
  <c r="BW49" i="94"/>
  <c r="AG51" i="94"/>
  <c r="Y52" i="94"/>
  <c r="Y67" i="94" s="1"/>
  <c r="CP55" i="94"/>
  <c r="BW54" i="94"/>
  <c r="AD47" i="94"/>
  <c r="AD62" i="94" s="1"/>
  <c r="AC46" i="94"/>
  <c r="AC61" i="94" s="1"/>
  <c r="BV50" i="94"/>
  <c r="Y48" i="94"/>
  <c r="Y63" i="94" s="1"/>
  <c r="O50" i="94"/>
  <c r="O65" i="94" s="1"/>
  <c r="T45" i="94"/>
  <c r="T60" i="94" s="1"/>
  <c r="DI45" i="94"/>
  <c r="CR43" i="94"/>
  <c r="U44" i="94"/>
  <c r="U59" i="94" s="1"/>
  <c r="CK51" i="94"/>
  <c r="EO50" i="94" s="1"/>
  <c r="CG48" i="94"/>
  <c r="AB49" i="94"/>
  <c r="O51" i="94"/>
  <c r="O66" i="94" s="1"/>
  <c r="DG47" i="94"/>
  <c r="Q51" i="94"/>
  <c r="Q66" i="94" s="1"/>
  <c r="CD43" i="94"/>
  <c r="BO47" i="94"/>
  <c r="AL140" i="94" a="1"/>
  <c r="AL140" i="94" s="1"/>
  <c r="AL196" i="94" s="1"/>
  <c r="EX43" i="94" s="1"/>
  <c r="CR51" i="94"/>
  <c r="AM48" i="94"/>
  <c r="W51" i="94"/>
  <c r="AX49" i="94"/>
  <c r="BZ48" i="94"/>
  <c r="CV46" i="94"/>
  <c r="CC53" i="94"/>
  <c r="BB45" i="94"/>
  <c r="N52" i="94"/>
  <c r="N67" i="94" s="1"/>
  <c r="BY53" i="94"/>
  <c r="BF45" i="94"/>
  <c r="V48" i="94"/>
  <c r="V63" i="94" s="1"/>
  <c r="AK48" i="94"/>
  <c r="CE49" i="94"/>
  <c r="AN55" i="94"/>
  <c r="CK55" i="94"/>
  <c r="X48" i="94"/>
  <c r="X63" i="94" s="1"/>
  <c r="BC52" i="94"/>
  <c r="AQ54" i="94"/>
  <c r="AP52" i="94"/>
  <c r="AE47" i="94"/>
  <c r="AE62" i="94" s="1"/>
  <c r="CY43" i="94"/>
  <c r="CY52" i="94"/>
  <c r="BO50" i="94"/>
  <c r="BU51" i="94"/>
  <c r="CC54" i="94"/>
  <c r="CX43" i="94"/>
  <c r="CJ53" i="94"/>
  <c r="BZ55" i="94"/>
  <c r="P43" i="94"/>
  <c r="P58" i="94" s="1"/>
  <c r="AW47" i="94"/>
  <c r="BE55" i="94"/>
  <c r="AG50" i="94"/>
  <c r="CD46" i="94"/>
  <c r="CQ52" i="94"/>
  <c r="K50" i="94"/>
  <c r="K65" i="94" s="1"/>
  <c r="CK48" i="94"/>
  <c r="J46" i="94"/>
  <c r="J61" i="94" s="1"/>
  <c r="CC48" i="94"/>
  <c r="AT49" i="94"/>
  <c r="DJ44" i="94"/>
  <c r="AC49" i="94"/>
  <c r="AC64" i="94" s="1"/>
  <c r="DE47" i="94"/>
  <c r="BM53" i="94"/>
  <c r="BO49" i="94"/>
  <c r="AC47" i="94"/>
  <c r="AC62" i="94" s="1"/>
  <c r="BS46" i="94"/>
  <c r="AK49" i="94"/>
  <c r="DE53" i="94"/>
  <c r="DF49" i="94"/>
  <c r="CN53" i="94"/>
  <c r="BH140" i="94" a="1"/>
  <c r="BH140" i="94" s="1"/>
  <c r="BH196" i="94" s="1"/>
  <c r="FT43" i="94" s="1"/>
  <c r="Y53" i="94"/>
  <c r="Y68" i="94" s="1"/>
  <c r="BN50" i="94"/>
  <c r="O45" i="94"/>
  <c r="O60" i="94" s="1"/>
  <c r="V43" i="94"/>
  <c r="V58" i="94" s="1"/>
  <c r="S55" i="94"/>
  <c r="S70" i="94" s="1"/>
  <c r="AZ51" i="94"/>
  <c r="BA55" i="94"/>
  <c r="BA48" i="94"/>
  <c r="CE52" i="94"/>
  <c r="DB55" i="94"/>
  <c r="W52" i="94"/>
  <c r="BB47" i="94"/>
  <c r="BU53" i="94"/>
  <c r="DG55" i="94"/>
  <c r="BY47" i="94"/>
  <c r="BG44" i="94"/>
  <c r="DF46" i="94"/>
  <c r="AR140" i="94" a="1"/>
  <c r="AR140" i="94" s="1"/>
  <c r="AR196" i="94" s="1"/>
  <c r="FD43" i="94" s="1"/>
  <c r="AU43" i="94"/>
  <c r="BG52" i="94"/>
  <c r="CA51" i="94"/>
  <c r="EE50" i="94" s="1"/>
  <c r="BQ138" i="94"/>
  <c r="BR52" i="94"/>
  <c r="BY45" i="94"/>
  <c r="DC51" i="94"/>
  <c r="AR55" i="94"/>
  <c r="BS43" i="94"/>
  <c r="AD54" i="94"/>
  <c r="AD69" i="94" s="1"/>
  <c r="M46" i="94"/>
  <c r="AC50" i="94"/>
  <c r="AC65" i="94" s="1"/>
  <c r="AU54" i="94"/>
  <c r="BQ53" i="94"/>
  <c r="DK51" i="94"/>
  <c r="Q45" i="94"/>
  <c r="Q60" i="94" s="1"/>
  <c r="DM53" i="94"/>
  <c r="AX54" i="94"/>
  <c r="CZ45" i="94"/>
  <c r="Q50" i="94"/>
  <c r="Q65" i="94" s="1"/>
  <c r="U55" i="94"/>
  <c r="U70" i="94" s="1"/>
  <c r="BO44" i="94"/>
  <c r="BD46" i="94"/>
  <c r="BL46" i="94"/>
  <c r="BP54" i="94"/>
  <c r="BG54" i="94"/>
  <c r="O47" i="94"/>
  <c r="O62" i="94" s="1"/>
  <c r="CA50" i="94"/>
  <c r="DL52" i="94"/>
  <c r="BP49" i="94"/>
  <c r="AY44" i="94"/>
  <c r="L52" i="94"/>
  <c r="L67" i="94" s="1"/>
  <c r="Y55" i="94"/>
  <c r="Y70" i="94" s="1"/>
  <c r="BT52" i="94"/>
  <c r="X53" i="94"/>
  <c r="X68" i="94" s="1"/>
  <c r="J50" i="94"/>
  <c r="J65" i="94" s="1"/>
  <c r="H54" i="94"/>
  <c r="CS43" i="94"/>
  <c r="BA44" i="94"/>
  <c r="CG51" i="94"/>
  <c r="U50" i="94"/>
  <c r="U65" i="94" s="1"/>
  <c r="CB43" i="94"/>
  <c r="I48" i="94"/>
  <c r="I63" i="94" s="1"/>
  <c r="AU45" i="94"/>
  <c r="AW51" i="94"/>
  <c r="CA49" i="94"/>
  <c r="J51" i="94"/>
  <c r="J66" i="94" s="1"/>
  <c r="V47" i="94"/>
  <c r="V62" i="94" s="1"/>
  <c r="BC51" i="94"/>
  <c r="CJ54" i="94"/>
  <c r="CU50" i="94"/>
  <c r="O55" i="94"/>
  <c r="O70" i="94" s="1"/>
  <c r="AF49" i="94"/>
  <c r="AF64" i="94" s="1"/>
  <c r="AR54" i="94"/>
  <c r="V51" i="94"/>
  <c r="V66" i="94" s="1"/>
  <c r="BU52" i="94"/>
  <c r="BN53" i="94"/>
  <c r="BP53" i="94"/>
  <c r="CH50" i="94"/>
  <c r="DA47" i="94"/>
  <c r="AS48" i="94"/>
  <c r="DI48" i="94"/>
  <c r="AA52" i="94"/>
  <c r="AA67" i="94" s="1"/>
  <c r="AD49" i="94"/>
  <c r="AD64" i="94" s="1"/>
  <c r="CW50" i="94"/>
  <c r="CQ49" i="94"/>
  <c r="Z47" i="94"/>
  <c r="Z62" i="94" s="1"/>
  <c r="DE52" i="94"/>
  <c r="BZ44" i="94"/>
  <c r="BH47" i="94"/>
  <c r="Z46" i="94"/>
  <c r="Z61" i="94" s="1"/>
  <c r="BA53" i="94"/>
  <c r="DL55" i="94"/>
  <c r="S53" i="94"/>
  <c r="S68" i="94" s="1"/>
  <c r="BM54" i="94"/>
  <c r="BG45" i="94"/>
  <c r="BC140" i="94" a="1"/>
  <c r="BC140" i="94" s="1"/>
  <c r="BC196" i="94" s="1"/>
  <c r="FO43" i="94" s="1"/>
  <c r="AL48" i="94"/>
  <c r="S47" i="94"/>
  <c r="S62" i="94" s="1"/>
  <c r="Z44" i="94"/>
  <c r="Z59" i="94" s="1"/>
  <c r="BU46" i="94"/>
  <c r="CB52" i="94"/>
  <c r="CO55" i="94"/>
  <c r="CN43" i="94"/>
  <c r="N44" i="94"/>
  <c r="N59" i="94" s="1"/>
  <c r="CW46" i="94"/>
  <c r="Z49" i="94"/>
  <c r="Z64" i="94" s="1"/>
  <c r="BL54" i="94"/>
  <c r="DI46" i="94"/>
  <c r="AN46" i="94"/>
  <c r="CJ50" i="94"/>
  <c r="H44" i="94"/>
  <c r="BI49" i="94"/>
  <c r="AA50" i="94"/>
  <c r="AA65" i="94" s="1"/>
  <c r="BB53" i="94"/>
  <c r="N54" i="94"/>
  <c r="N69" i="94" s="1"/>
  <c r="V53" i="94"/>
  <c r="V68" i="94" s="1"/>
  <c r="DM51" i="94"/>
  <c r="CJ47" i="94"/>
  <c r="DM55" i="94"/>
  <c r="CI49" i="94"/>
  <c r="CY46" i="94"/>
  <c r="AL49" i="94"/>
  <c r="CV48" i="94"/>
  <c r="V55" i="94"/>
  <c r="V70" i="94" s="1"/>
  <c r="CN44" i="94"/>
  <c r="X51" i="94"/>
  <c r="X66" i="94" s="1"/>
  <c r="AL45" i="94"/>
  <c r="CE44" i="94"/>
  <c r="AB44" i="94"/>
  <c r="CS51" i="94"/>
  <c r="CO50" i="94"/>
  <c r="K51" i="94"/>
  <c r="K66" i="94" s="1"/>
  <c r="BD47" i="94"/>
  <c r="CJ48" i="94"/>
  <c r="BC49" i="94"/>
  <c r="BA49" i="94"/>
  <c r="DE49" i="94"/>
  <c r="DI52" i="94"/>
  <c r="CS53" i="94"/>
  <c r="U52" i="94"/>
  <c r="U67" i="94" s="1"/>
  <c r="CN54" i="94"/>
  <c r="AZ50" i="94"/>
  <c r="BG49" i="94"/>
  <c r="Z45" i="94"/>
  <c r="Z60" i="94" s="1"/>
  <c r="X46" i="94"/>
  <c r="X61" i="94" s="1"/>
  <c r="BM138" i="94"/>
  <c r="R49" i="94"/>
  <c r="AN52" i="94"/>
  <c r="DC48" i="94"/>
  <c r="BL50" i="94"/>
  <c r="BQ52" i="94"/>
  <c r="CB50" i="94"/>
  <c r="CJ44" i="94"/>
  <c r="S45" i="94"/>
  <c r="S60" i="94" s="1"/>
  <c r="AB46" i="94"/>
  <c r="CP54" i="94"/>
  <c r="BP55" i="94"/>
  <c r="BN51" i="94"/>
  <c r="X47" i="94"/>
  <c r="X62" i="94" s="1"/>
  <c r="BL138" i="94"/>
  <c r="DD48" i="94"/>
  <c r="DA44" i="94"/>
  <c r="BB55" i="94"/>
  <c r="CZ52" i="94"/>
  <c r="BF46" i="94"/>
  <c r="AR46" i="94"/>
  <c r="AR48" i="94"/>
  <c r="BP48" i="94"/>
  <c r="AR53" i="94"/>
  <c r="BF140" i="94" a="1"/>
  <c r="BF140" i="94" s="1"/>
  <c r="BF196" i="94" s="1"/>
  <c r="FR43" i="94" s="1"/>
  <c r="BN46" i="94"/>
  <c r="DL53" i="94"/>
  <c r="AV43" i="94"/>
  <c r="BG140" i="94" a="1"/>
  <c r="BG140" i="94" s="1"/>
  <c r="BG196" i="94" s="1"/>
  <c r="FS43" i="94" s="1"/>
  <c r="CC44" i="94"/>
  <c r="CG53" i="94"/>
  <c r="AC53" i="94"/>
  <c r="AC68" i="94" s="1"/>
  <c r="V50" i="94"/>
  <c r="V65" i="94" s="1"/>
  <c r="AO54" i="94"/>
  <c r="AX55" i="94"/>
  <c r="AE46" i="94"/>
  <c r="AE61" i="94" s="1"/>
  <c r="K55" i="94"/>
  <c r="K70" i="94" s="1"/>
  <c r="M53" i="94"/>
  <c r="CZ48" i="94"/>
  <c r="DD47" i="94"/>
  <c r="BD55" i="94"/>
  <c r="DL50" i="94"/>
  <c r="CI54" i="94"/>
  <c r="BU50" i="94"/>
  <c r="N50" i="94"/>
  <c r="N65" i="94" s="1"/>
  <c r="AS50" i="94"/>
  <c r="CT46" i="94"/>
  <c r="AM52" i="94"/>
  <c r="Y45" i="94"/>
  <c r="Y60" i="94" s="1"/>
  <c r="CA55" i="94"/>
  <c r="DI47" i="94"/>
  <c r="BT54" i="94"/>
  <c r="CX50" i="94"/>
  <c r="I51" i="94"/>
  <c r="I66" i="94" s="1"/>
  <c r="CY49" i="94"/>
  <c r="N46" i="94"/>
  <c r="N61" i="94" s="1"/>
  <c r="DK49" i="94"/>
  <c r="T55" i="94"/>
  <c r="T70" i="94" s="1"/>
  <c r="AQ50" i="94"/>
  <c r="S48" i="94"/>
  <c r="S63" i="94" s="1"/>
  <c r="R45" i="94"/>
  <c r="CP52" i="94"/>
  <c r="AO52" i="94"/>
  <c r="BZ53" i="94"/>
  <c r="DK53" i="94"/>
  <c r="BB54" i="94"/>
  <c r="BH53" i="94"/>
  <c r="BA50" i="94"/>
  <c r="BP47" i="94"/>
  <c r="BZ49" i="94"/>
  <c r="BE46" i="94"/>
  <c r="AE50" i="94"/>
  <c r="AE65" i="94" s="1"/>
  <c r="DG50" i="94"/>
  <c r="J44" i="94"/>
  <c r="J59" i="94" s="1"/>
  <c r="BR49" i="94"/>
  <c r="CT49" i="94"/>
  <c r="CF51" i="94"/>
  <c r="AC45" i="94"/>
  <c r="AC60" i="94" s="1"/>
  <c r="CA45" i="94"/>
  <c r="V54" i="94"/>
  <c r="V69" i="94" s="1"/>
  <c r="BL44" i="94"/>
  <c r="CQ50" i="94"/>
  <c r="AR49" i="94"/>
  <c r="CK44" i="94"/>
  <c r="DE44" i="94"/>
  <c r="K48" i="94"/>
  <c r="K63" i="94" s="1"/>
  <c r="Z55" i="94"/>
  <c r="Z70" i="94" s="1"/>
  <c r="AU51" i="94"/>
  <c r="CD53" i="94"/>
  <c r="DL43" i="94"/>
  <c r="DK43" i="94"/>
  <c r="AA47" i="94"/>
  <c r="AA62" i="94" s="1"/>
  <c r="BW43" i="94"/>
  <c r="AB52" i="94"/>
  <c r="AO46" i="94"/>
  <c r="DE51" i="94"/>
  <c r="AJ48" i="94"/>
  <c r="AK52" i="94"/>
  <c r="BZ50" i="94"/>
  <c r="CX54" i="94"/>
  <c r="S50" i="94"/>
  <c r="S65" i="94" s="1"/>
  <c r="DA46" i="94"/>
  <c r="AU47" i="94"/>
  <c r="AB43" i="94"/>
  <c r="DA51" i="94"/>
  <c r="BL55" i="94"/>
  <c r="DB50" i="94"/>
  <c r="AV51" i="94"/>
  <c r="BS50" i="94"/>
  <c r="DF51" i="94"/>
  <c r="N55" i="94"/>
  <c r="N70" i="94" s="1"/>
  <c r="H51" i="94"/>
  <c r="CC47" i="94"/>
  <c r="AO43" i="94"/>
  <c r="X44" i="94"/>
  <c r="X59" i="94" s="1"/>
  <c r="AF43" i="94"/>
  <c r="AF58" i="94" s="1"/>
  <c r="DJ55" i="94"/>
  <c r="CT51" i="94"/>
  <c r="AJ49" i="94"/>
  <c r="CT53" i="94"/>
  <c r="AU48" i="94"/>
  <c r="AC48" i="94"/>
  <c r="AC63" i="94" s="1"/>
  <c r="CR44" i="94"/>
  <c r="DI44" i="94"/>
  <c r="AC55" i="94"/>
  <c r="AC70" i="94" s="1"/>
  <c r="DH55" i="94"/>
  <c r="BA47" i="94"/>
  <c r="BZ45" i="94"/>
  <c r="CQ43" i="94"/>
  <c r="AK47" i="94"/>
  <c r="CJ55" i="94"/>
  <c r="AZ140" i="94" a="1"/>
  <c r="AZ140" i="94" s="1"/>
  <c r="AZ196" i="94" s="1"/>
  <c r="FL43" i="94" s="1"/>
  <c r="AW44" i="94"/>
  <c r="AA51" i="94"/>
  <c r="AA66" i="94" s="1"/>
  <c r="CQ44" i="94"/>
  <c r="DM46" i="94"/>
  <c r="AT54" i="94"/>
  <c r="P49" i="94"/>
  <c r="P64" i="94" s="1"/>
  <c r="BR44" i="94"/>
  <c r="DV44" i="94" s="1"/>
  <c r="AG45" i="94"/>
  <c r="CY53" i="94"/>
  <c r="CO49" i="94"/>
  <c r="BH48" i="94"/>
  <c r="AY55" i="94"/>
  <c r="AA45" i="94"/>
  <c r="AA60" i="94" s="1"/>
  <c r="DG54" i="94"/>
  <c r="AE45" i="94"/>
  <c r="AE60" i="94" s="1"/>
  <c r="X50" i="94"/>
  <c r="X65" i="94" s="1"/>
  <c r="AJ140" i="94" a="1"/>
  <c r="AJ140" i="94" s="1"/>
  <c r="AJ196" i="94" s="1"/>
  <c r="EV43" i="94" s="1"/>
  <c r="DH49" i="94"/>
  <c r="BC55" i="94"/>
  <c r="S52" i="94"/>
  <c r="S67" i="94" s="1"/>
  <c r="Q48" i="94"/>
  <c r="Q63" i="94" s="1"/>
  <c r="DH46" i="94"/>
  <c r="CU46" i="94"/>
  <c r="AP49" i="94"/>
  <c r="AO49" i="94"/>
  <c r="CS47" i="94"/>
  <c r="AW45" i="94"/>
  <c r="DK44" i="94"/>
  <c r="H48" i="94"/>
  <c r="K52" i="94"/>
  <c r="K67" i="94" s="1"/>
  <c r="U53" i="94"/>
  <c r="U68" i="94" s="1"/>
  <c r="DD54" i="94"/>
  <c r="CF50" i="94"/>
  <c r="CK54" i="94"/>
  <c r="H52" i="94"/>
  <c r="DH54" i="94"/>
  <c r="BE50" i="94"/>
  <c r="CV53" i="94"/>
  <c r="AQ53" i="94"/>
  <c r="R44" i="94"/>
  <c r="Z54" i="94"/>
  <c r="Z69" i="94" s="1"/>
  <c r="AQ44" i="94"/>
  <c r="AM53" i="94"/>
  <c r="BV44" i="94"/>
  <c r="CF54" i="94"/>
  <c r="BP44" i="94"/>
  <c r="K46" i="94"/>
  <c r="K61" i="94" s="1"/>
  <c r="AX47" i="94"/>
  <c r="DJ46" i="94"/>
  <c r="BX51" i="94"/>
  <c r="DF45" i="94"/>
  <c r="BH44" i="94"/>
  <c r="R48" i="94"/>
  <c r="M43" i="94"/>
  <c r="S51" i="94"/>
  <c r="S66" i="94" s="1"/>
  <c r="AB50" i="94"/>
  <c r="CD49" i="94"/>
  <c r="EH48" i="94" s="1"/>
  <c r="CZ54" i="94"/>
  <c r="AY52" i="94"/>
  <c r="AV55" i="94"/>
  <c r="CW54" i="94"/>
  <c r="CU43" i="94"/>
  <c r="CD52" i="94"/>
  <c r="AM54" i="94"/>
  <c r="AD52" i="94"/>
  <c r="AD67" i="94" s="1"/>
  <c r="Q55" i="94"/>
  <c r="Q70" i="94" s="1"/>
  <c r="BW53" i="94"/>
  <c r="M45" i="94"/>
  <c r="AT46" i="94"/>
  <c r="CU49" i="94"/>
  <c r="CW49" i="94"/>
  <c r="AM45" i="94"/>
  <c r="BW46" i="94"/>
  <c r="DF52" i="94"/>
  <c r="BX50" i="94"/>
  <c r="CW47" i="94"/>
  <c r="DL45" i="94"/>
  <c r="AJ51" i="94"/>
  <c r="Z43" i="94"/>
  <c r="Z58" i="94" s="1"/>
  <c r="CJ52" i="94"/>
  <c r="CF55" i="94"/>
  <c r="AE52" i="94"/>
  <c r="AE67" i="94" s="1"/>
  <c r="BZ51" i="94"/>
  <c r="BV51" i="94"/>
  <c r="CE47" i="94"/>
  <c r="L44" i="94"/>
  <c r="L59" i="94" s="1"/>
  <c r="BO55" i="94"/>
  <c r="AZ48" i="94"/>
  <c r="AW54" i="94"/>
  <c r="CW45" i="94"/>
  <c r="AM55" i="94"/>
  <c r="I47" i="94"/>
  <c r="I62" i="94" s="1"/>
  <c r="AQ51" i="94"/>
  <c r="AW43" i="94"/>
  <c r="DD52" i="94"/>
  <c r="Q43" i="94"/>
  <c r="Q58" i="94" s="1"/>
  <c r="R55" i="94"/>
  <c r="CJ46" i="94"/>
  <c r="W55" i="94"/>
  <c r="BV45" i="94"/>
  <c r="AD53" i="94"/>
  <c r="AD68" i="94" s="1"/>
  <c r="AF46" i="94"/>
  <c r="AF61" i="94" s="1"/>
  <c r="H45" i="94"/>
  <c r="AZ49" i="94"/>
  <c r="BR51" i="94"/>
  <c r="AO51" i="94"/>
  <c r="W49" i="94"/>
  <c r="CT48" i="94"/>
  <c r="CB49" i="94"/>
  <c r="AZ46" i="94"/>
  <c r="CV55" i="94"/>
  <c r="DA48" i="94"/>
  <c r="DJ53" i="94"/>
  <c r="AP43" i="94"/>
  <c r="BB52" i="94"/>
  <c r="V52" i="94"/>
  <c r="V67" i="94" s="1"/>
  <c r="DI49" i="94"/>
  <c r="T53" i="94"/>
  <c r="T68" i="94" s="1"/>
  <c r="DF44" i="94"/>
  <c r="BT49" i="94"/>
  <c r="CD51" i="94"/>
  <c r="AF54" i="94"/>
  <c r="AF69" i="94" s="1"/>
  <c r="AV140" i="94" a="1"/>
  <c r="AV140" i="94" s="1"/>
  <c r="AV196" i="94" s="1"/>
  <c r="FH43" i="94" s="1"/>
  <c r="CQ46" i="94"/>
  <c r="U45" i="94"/>
  <c r="U60" i="94" s="1"/>
  <c r="AC44" i="94"/>
  <c r="AC59" i="94" s="1"/>
  <c r="CQ47" i="94"/>
  <c r="AK53" i="94"/>
  <c r="CY50" i="94"/>
  <c r="BM50" i="94"/>
  <c r="H50" i="94"/>
  <c r="CZ46" i="94"/>
  <c r="AE53" i="94"/>
  <c r="AE68" i="94" s="1"/>
  <c r="AE51" i="94"/>
  <c r="AE66" i="94" s="1"/>
  <c r="CQ45" i="94"/>
  <c r="CQ53" i="94"/>
  <c r="CE48" i="94"/>
  <c r="J49" i="94"/>
  <c r="J64" i="94" s="1"/>
  <c r="BL45" i="94"/>
  <c r="DP45" i="94" s="1"/>
  <c r="BQ54" i="94"/>
  <c r="AK55" i="94"/>
  <c r="BT55" i="94"/>
  <c r="N51" i="94"/>
  <c r="N66" i="94" s="1"/>
  <c r="DE48" i="94"/>
  <c r="AS54" i="94"/>
  <c r="R46" i="94"/>
  <c r="BQ47" i="94"/>
  <c r="AY45" i="94"/>
  <c r="CF53" i="94"/>
  <c r="DA45" i="94"/>
  <c r="R54" i="94"/>
  <c r="AF50" i="94"/>
  <c r="AF65" i="94" s="1"/>
  <c r="M50" i="94"/>
  <c r="BX53" i="94"/>
  <c r="BI46" i="94"/>
  <c r="BS45" i="94"/>
  <c r="CD54" i="94"/>
  <c r="I53" i="94"/>
  <c r="I68" i="94" s="1"/>
  <c r="BQ44" i="94"/>
  <c r="BM46" i="94"/>
  <c r="AQ52" i="94"/>
  <c r="BO46" i="94"/>
  <c r="DS46" i="94" s="1"/>
  <c r="BR43" i="94"/>
  <c r="AS43" i="94"/>
  <c r="BV55" i="94"/>
  <c r="AA43" i="94"/>
  <c r="AA58" i="94" s="1"/>
  <c r="CY55" i="94"/>
  <c r="CZ51" i="94"/>
  <c r="W50" i="94"/>
  <c r="CN48" i="94"/>
  <c r="BH45" i="94"/>
  <c r="AD46" i="94"/>
  <c r="AD61" i="94" s="1"/>
  <c r="BY43" i="94"/>
  <c r="CD45" i="94"/>
  <c r="EH45" i="94" s="1"/>
  <c r="CT44" i="94"/>
  <c r="T54" i="94"/>
  <c r="T69" i="94" s="1"/>
  <c r="AX51" i="94"/>
  <c r="BN43" i="94"/>
  <c r="CF48" i="94"/>
  <c r="AD45" i="94"/>
  <c r="AD60" i="94" s="1"/>
  <c r="CC52" i="94"/>
  <c r="AF55" i="94"/>
  <c r="AF70" i="94" s="1"/>
  <c r="AV53" i="94"/>
  <c r="AG53" i="94"/>
  <c r="BZ54" i="94"/>
  <c r="AT45" i="94"/>
  <c r="AY51" i="94"/>
  <c r="BE47" i="94"/>
  <c r="BI140" i="94" a="1"/>
  <c r="BI140" i="94" s="1"/>
  <c r="BI196" i="94" s="1"/>
  <c r="FU43" i="94" s="1"/>
  <c r="BT51" i="94"/>
  <c r="AX50" i="94"/>
  <c r="CC49" i="94"/>
  <c r="CT55" i="94"/>
  <c r="BE53" i="94"/>
  <c r="CN50" i="94"/>
  <c r="CY44" i="94"/>
  <c r="BQ51" i="94"/>
  <c r="CJ49" i="94"/>
  <c r="EN48" i="94" s="1"/>
  <c r="AL52" i="94"/>
  <c r="N48" i="94"/>
  <c r="N63" i="94" s="1"/>
  <c r="V46" i="94"/>
  <c r="V61" i="94" s="1"/>
  <c r="AR52" i="94"/>
  <c r="CU48" i="94"/>
  <c r="AJ52" i="94"/>
  <c r="BD53" i="94"/>
  <c r="CG45" i="94"/>
  <c r="AM43" i="94"/>
  <c r="AT55" i="94"/>
  <c r="AR50" i="94"/>
  <c r="BB50" i="94"/>
  <c r="DM49" i="94"/>
  <c r="AW46" i="94"/>
  <c r="BV47" i="94"/>
  <c r="AC43" i="94"/>
  <c r="AC58" i="94" s="1"/>
  <c r="DK47" i="94"/>
  <c r="BU54" i="94"/>
  <c r="CH46" i="94"/>
  <c r="AA48" i="94"/>
  <c r="AA63" i="94" s="1"/>
  <c r="T47" i="94"/>
  <c r="T62" i="94" s="1"/>
  <c r="AW48" i="94"/>
  <c r="CT43" i="94"/>
  <c r="BU55" i="94"/>
  <c r="BA45" i="94"/>
  <c r="DL46" i="94"/>
  <c r="CZ53" i="94"/>
  <c r="DD44" i="94"/>
  <c r="DA50" i="94"/>
  <c r="CD48" i="94"/>
  <c r="BO48" i="94"/>
  <c r="S49" i="94"/>
  <c r="S64" i="94" s="1"/>
  <c r="BN54" i="94"/>
  <c r="Z53" i="94"/>
  <c r="Z68" i="94" s="1"/>
  <c r="CN52" i="94"/>
  <c r="BF53" i="94"/>
  <c r="DA43" i="94"/>
  <c r="CT47" i="94"/>
  <c r="I55" i="94"/>
  <c r="I70" i="94" s="1"/>
  <c r="AZ44" i="94"/>
  <c r="I44" i="94"/>
  <c r="I59" i="94" s="1"/>
  <c r="DC55" i="94"/>
  <c r="DF55" i="94"/>
  <c r="AF51" i="94"/>
  <c r="AF66" i="94" s="1"/>
  <c r="AZ52" i="94"/>
  <c r="X54" i="94"/>
  <c r="X69" i="94" s="1"/>
  <c r="AG52" i="94"/>
  <c r="AC51" i="94"/>
  <c r="AC66" i="94" s="1"/>
  <c r="AZ43" i="94"/>
  <c r="CE50" i="94"/>
  <c r="Q47" i="94"/>
  <c r="Q62" i="94" s="1"/>
  <c r="CA53" i="94"/>
  <c r="CE55" i="94"/>
  <c r="AO140" i="94" a="1"/>
  <c r="AO140" i="94" s="1"/>
  <c r="AO196" i="94" s="1"/>
  <c r="FA43" i="94" s="1"/>
  <c r="BX45" i="94"/>
  <c r="AT53" i="94"/>
  <c r="CS55" i="94"/>
  <c r="DC50" i="94"/>
  <c r="BY51" i="94"/>
  <c r="DF54" i="94"/>
  <c r="BV54" i="94"/>
  <c r="Y46" i="94"/>
  <c r="Y61" i="94" s="1"/>
  <c r="DH47" i="94"/>
  <c r="BS53" i="94"/>
  <c r="DG48" i="94"/>
  <c r="P45" i="94"/>
  <c r="P60" i="94" s="1"/>
  <c r="T44" i="94"/>
  <c r="T59" i="94" s="1"/>
  <c r="N45" i="94"/>
  <c r="N60" i="94" s="1"/>
  <c r="X55" i="94"/>
  <c r="X70" i="94" s="1"/>
  <c r="CB45" i="94"/>
  <c r="CF49" i="94"/>
  <c r="AL44" i="94"/>
  <c r="AL51" i="94"/>
  <c r="AK50" i="94"/>
  <c r="BN49" i="94"/>
  <c r="P52" i="94"/>
  <c r="P67" i="94" s="1"/>
  <c r="AQ47" i="94"/>
  <c r="CG46" i="94"/>
  <c r="CI47" i="94"/>
  <c r="AP54" i="94"/>
  <c r="I43" i="94"/>
  <c r="I58" i="94" s="1"/>
  <c r="CY47" i="94"/>
  <c r="CV44" i="94"/>
  <c r="BX46" i="94"/>
  <c r="BA54" i="94"/>
  <c r="P55" i="94"/>
  <c r="P70" i="94" s="1"/>
  <c r="O49" i="94"/>
  <c r="O64" i="94" s="1"/>
  <c r="AT44" i="94"/>
  <c r="P51" i="94"/>
  <c r="P66" i="94" s="1"/>
  <c r="AR45" i="94"/>
  <c r="AW50" i="94"/>
  <c r="BT46" i="94"/>
  <c r="BO53" i="94"/>
  <c r="BX55" i="94"/>
  <c r="AU53" i="94"/>
  <c r="L50" i="94"/>
  <c r="L65" i="94" s="1"/>
  <c r="L47" i="94"/>
  <c r="L62" i="94" s="1"/>
  <c r="DE45" i="94"/>
  <c r="DH45" i="94"/>
  <c r="AJ47" i="94"/>
  <c r="AP55" i="94"/>
  <c r="BI45" i="94"/>
  <c r="CG47" i="94"/>
  <c r="BX43" i="94"/>
  <c r="CK47" i="94"/>
  <c r="DJ45" i="94"/>
  <c r="BS47" i="94"/>
  <c r="AJ45" i="94"/>
  <c r="CF52" i="94"/>
  <c r="AU49" i="94"/>
  <c r="CV43" i="94"/>
  <c r="AB48" i="94"/>
  <c r="BW48" i="94"/>
  <c r="CP47" i="94"/>
  <c r="CR48" i="94"/>
  <c r="CO44" i="94"/>
  <c r="CK50" i="94"/>
  <c r="T52" i="94"/>
  <c r="T67" i="94" s="1"/>
  <c r="BG50" i="94"/>
  <c r="CB46" i="94"/>
  <c r="AM47" i="94"/>
  <c r="AU44" i="94"/>
  <c r="CC43" i="94"/>
  <c r="CQ55" i="94"/>
  <c r="P53" i="94"/>
  <c r="P68" i="94" s="1"/>
  <c r="BW52" i="94"/>
  <c r="BB43" i="94"/>
  <c r="O43" i="94"/>
  <c r="O58" i="94" s="1"/>
  <c r="DJ43" i="94"/>
  <c r="AD51" i="94"/>
  <c r="AD66" i="94" s="1"/>
  <c r="CA46" i="94"/>
  <c r="BF48" i="94"/>
  <c r="BA52" i="94"/>
  <c r="H53" i="94"/>
  <c r="AO45" i="94"/>
  <c r="CR45" i="94"/>
  <c r="Y51" i="94"/>
  <c r="Y66" i="94" s="1"/>
  <c r="AU46" i="94"/>
  <c r="CW53" i="94"/>
  <c r="O53" i="94"/>
  <c r="O68" i="94" s="1"/>
  <c r="BR55" i="94"/>
  <c r="BH51" i="94"/>
  <c r="BF51" i="94"/>
  <c r="DC49" i="94"/>
  <c r="AA53" i="94"/>
  <c r="AA68" i="94" s="1"/>
  <c r="BE45" i="94"/>
  <c r="AZ53" i="94"/>
  <c r="T50" i="94"/>
  <c r="T65" i="94" s="1"/>
  <c r="CR50" i="94"/>
  <c r="CE54" i="94"/>
  <c r="AS140" i="94" a="1"/>
  <c r="AS140" i="94" s="1"/>
  <c r="AS196" i="94" s="1"/>
  <c r="FE43" i="94" s="1"/>
  <c r="N47" i="94"/>
  <c r="N62" i="94" s="1"/>
  <c r="AV52" i="94"/>
  <c r="X52" i="94"/>
  <c r="X67" i="94" s="1"/>
  <c r="BS54" i="94"/>
  <c r="BM44" i="94"/>
  <c r="DQ44" i="94" s="1"/>
  <c r="BH46" i="94"/>
  <c r="M44" i="94"/>
  <c r="CJ51" i="94"/>
  <c r="O46" i="94"/>
  <c r="O61" i="94" s="1"/>
  <c r="CP53" i="94"/>
  <c r="Q49" i="94"/>
  <c r="Q64" i="94" s="1"/>
  <c r="AV49" i="94"/>
  <c r="BE49" i="94"/>
  <c r="DK54" i="94"/>
  <c r="AF44" i="94"/>
  <c r="AF59" i="94" s="1"/>
  <c r="AE49" i="94"/>
  <c r="AE64" i="94" s="1"/>
  <c r="J52" i="94"/>
  <c r="J67" i="94" s="1"/>
  <c r="CG43" i="94"/>
  <c r="AS55" i="94"/>
  <c r="AC54" i="94"/>
  <c r="AC69" i="94" s="1"/>
  <c r="CW52" i="94"/>
  <c r="CX48" i="94"/>
  <c r="AM140" i="94" a="1"/>
  <c r="AM140" i="94" s="1"/>
  <c r="AM196" i="94" s="1"/>
  <c r="EY43" i="94" s="1"/>
  <c r="AV47" i="94"/>
  <c r="CE51" i="94"/>
  <c r="EI50" i="94" s="1"/>
  <c r="AF52" i="94"/>
  <c r="AF67" i="94" s="1"/>
  <c r="AE54" i="94"/>
  <c r="AE69" i="94" s="1"/>
  <c r="BO138" i="94"/>
  <c r="AL53" i="94"/>
  <c r="I54" i="94"/>
  <c r="I69" i="94" s="1"/>
  <c r="P44" i="94"/>
  <c r="P59" i="94" s="1"/>
  <c r="AS51" i="94"/>
  <c r="CA47" i="94"/>
  <c r="CU55" i="94"/>
  <c r="DC54" i="94"/>
  <c r="CB55" i="94"/>
  <c r="CK52" i="94"/>
  <c r="AG43" i="94"/>
  <c r="BC54" i="94"/>
  <c r="T51" i="94"/>
  <c r="T66" i="94" s="1"/>
  <c r="CZ43" i="94"/>
  <c r="CR47" i="94"/>
  <c r="CA52" i="94"/>
  <c r="BC47" i="94"/>
  <c r="CP43" i="94"/>
  <c r="AJ55" i="94"/>
  <c r="BU45" i="94"/>
  <c r="CB44" i="94"/>
  <c r="DM44" i="94"/>
  <c r="AN140" i="94" a="1"/>
  <c r="AN140" i="94" s="1"/>
  <c r="AN196" i="94" s="1"/>
  <c r="EZ43" i="94" s="1"/>
  <c r="CE45" i="94"/>
  <c r="CZ47" i="94"/>
  <c r="DD51" i="94"/>
  <c r="AN47" i="94"/>
  <c r="BF47" i="94"/>
  <c r="CP44" i="94"/>
  <c r="DB53" i="94"/>
  <c r="DB43" i="94"/>
  <c r="P48" i="94"/>
  <c r="P63" i="94" s="1"/>
  <c r="CO51" i="94"/>
  <c r="AP44" i="94"/>
  <c r="BI44" i="94"/>
  <c r="CT45" i="94"/>
  <c r="U43" i="94"/>
  <c r="U58" i="94" s="1"/>
  <c r="R43" i="94"/>
  <c r="CX53" i="94"/>
  <c r="Y50" i="94"/>
  <c r="Y65" i="94" s="1"/>
  <c r="I52" i="94"/>
  <c r="I67" i="94" s="1"/>
  <c r="CS48" i="94"/>
  <c r="BX44" i="94"/>
  <c r="BV52" i="94"/>
  <c r="BX47" i="94"/>
  <c r="CS46" i="94"/>
  <c r="AD43" i="94"/>
  <c r="AD58" i="94" s="1"/>
  <c r="CB48" i="94"/>
  <c r="CU47" i="94"/>
  <c r="CN49" i="94"/>
  <c r="AT52" i="94"/>
  <c r="AA44" i="94"/>
  <c r="AA59" i="94" s="1"/>
  <c r="DF50" i="94"/>
  <c r="BE44" i="94"/>
  <c r="J53" i="94"/>
  <c r="J68" i="94" s="1"/>
  <c r="BD49" i="94"/>
  <c r="AY140" i="94" a="1"/>
  <c r="AY140" i="94" s="1"/>
  <c r="AY196" i="94" s="1"/>
  <c r="FK43" i="94" s="1"/>
  <c r="CP46" i="94"/>
  <c r="AY50" i="94"/>
  <c r="AT48" i="94"/>
  <c r="CF47" i="94"/>
  <c r="DB54" i="94"/>
  <c r="AS53" i="94"/>
  <c r="P50" i="94"/>
  <c r="P65" i="94" s="1"/>
  <c r="AP45" i="94"/>
  <c r="DI50" i="94"/>
  <c r="BR48" i="94"/>
  <c r="BW47" i="94"/>
  <c r="DI51" i="94"/>
  <c r="AX53" i="94"/>
  <c r="BP46" i="94"/>
  <c r="AM50" i="94"/>
  <c r="J47" i="94"/>
  <c r="J62" i="94" s="1"/>
  <c r="CH44" i="94"/>
  <c r="AN51" i="94"/>
  <c r="BN45" i="94"/>
  <c r="AV44" i="94"/>
  <c r="Q53" i="94"/>
  <c r="Q68" i="94" s="1"/>
  <c r="AP47" i="94"/>
  <c r="BE140" i="94" a="1"/>
  <c r="BE140" i="94" s="1"/>
  <c r="BE196" i="94" s="1"/>
  <c r="FQ43" i="94" s="1"/>
  <c r="DB47" i="94"/>
  <c r="AJ54" i="94"/>
  <c r="U49" i="94"/>
  <c r="U64" i="94" s="1"/>
  <c r="BC53" i="94"/>
  <c r="K44" i="94"/>
  <c r="K59" i="94" s="1"/>
  <c r="CI46" i="94"/>
  <c r="CS54" i="94"/>
  <c r="AR43" i="94"/>
  <c r="I49" i="94"/>
  <c r="I64" i="94" s="1"/>
  <c r="AX48" i="94"/>
  <c r="CI51" i="94"/>
  <c r="AD44" i="94"/>
  <c r="AD59" i="94" s="1"/>
  <c r="DC53" i="94"/>
  <c r="CI50" i="94"/>
  <c r="AS47" i="94"/>
  <c r="AQ46" i="94"/>
  <c r="CV47" i="94"/>
  <c r="BD44" i="94"/>
  <c r="AA55" i="94"/>
  <c r="AA70" i="94" s="1"/>
  <c r="AG55" i="94"/>
  <c r="BY54" i="94"/>
  <c r="DJ49" i="94"/>
  <c r="CD47" i="94"/>
  <c r="O52" i="94"/>
  <c r="O67" i="94" s="1"/>
  <c r="BB44" i="94"/>
  <c r="CN55" i="94"/>
  <c r="BB49" i="94"/>
  <c r="BD48" i="94"/>
  <c r="CR54" i="94"/>
  <c r="M51" i="94"/>
  <c r="BS44" i="94"/>
  <c r="AP51" i="94"/>
  <c r="AF47" i="94"/>
  <c r="AF62" i="94" s="1"/>
  <c r="BW45" i="94"/>
  <c r="DH52" i="94"/>
  <c r="X49" i="94"/>
  <c r="X64" i="94" s="1"/>
  <c r="CX47" i="94"/>
  <c r="DG49" i="94"/>
  <c r="R52" i="94"/>
  <c r="AQ48" i="94"/>
  <c r="N49" i="94"/>
  <c r="N64" i="94" s="1"/>
  <c r="AT140" i="94" a="1"/>
  <c r="AT140" i="94" s="1"/>
  <c r="AT196" i="94" s="1"/>
  <c r="FF43" i="94" s="1"/>
  <c r="BR53" i="94"/>
  <c r="DB45" i="94"/>
  <c r="AW52" i="94"/>
  <c r="AK46" i="94"/>
  <c r="T46" i="94"/>
  <c r="T61" i="94" s="1"/>
  <c r="AC52" i="94"/>
  <c r="AC67" i="94" s="1"/>
  <c r="CD44" i="94"/>
  <c r="AL50" i="94"/>
  <c r="DM43" i="94"/>
  <c r="AN49" i="94"/>
  <c r="DK48" i="94"/>
  <c r="BW50" i="94"/>
  <c r="Z51" i="94"/>
  <c r="Z66" i="94" s="1"/>
  <c r="AJ50" i="94"/>
  <c r="BS55" i="94"/>
  <c r="DB52" i="94"/>
  <c r="AW53" i="94"/>
  <c r="CR53" i="94"/>
  <c r="AT51" i="94"/>
  <c r="CG52" i="94"/>
  <c r="CZ49" i="94"/>
  <c r="BN55" i="94"/>
  <c r="AY49" i="94"/>
  <c r="BG53" i="94"/>
  <c r="AL54" i="94"/>
  <c r="CT50" i="94"/>
  <c r="BY48" i="94"/>
  <c r="BQ55" i="94"/>
  <c r="DI43" i="94"/>
  <c r="BD51" i="94"/>
  <c r="X45" i="94"/>
  <c r="X60" i="94" s="1"/>
  <c r="AK140" i="94" a="1"/>
  <c r="AK140" i="94" s="1"/>
  <c r="AK196" i="94" s="1"/>
  <c r="EW43" i="94" s="1"/>
  <c r="BR47" i="94"/>
  <c r="CV45" i="94"/>
  <c r="BU48" i="94"/>
  <c r="DY47" i="94" s="1"/>
  <c r="CH48" i="94"/>
  <c r="BC46" i="94"/>
  <c r="U51" i="94"/>
  <c r="U66" i="94" s="1"/>
  <c r="AX45" i="94"/>
  <c r="BW55" i="94"/>
  <c r="BT45" i="94"/>
  <c r="BD140" i="94" a="1"/>
  <c r="BD140" i="94" s="1"/>
  <c r="BD196" i="94" s="1"/>
  <c r="FP43" i="94" s="1"/>
  <c r="AO48" i="94"/>
  <c r="CR52" i="94"/>
  <c r="CS52" i="94"/>
  <c r="BH50" i="94"/>
  <c r="BW51" i="94"/>
  <c r="AQ49" i="94"/>
  <c r="DH43" i="94"/>
  <c r="BB140" i="94" a="1"/>
  <c r="BB140" i="94" s="1"/>
  <c r="BB196" i="94" s="1"/>
  <c r="FN43" i="94" s="1"/>
  <c r="DD46" i="94"/>
  <c r="CU52" i="94"/>
  <c r="DI55" i="94"/>
  <c r="BF50" i="94"/>
  <c r="CV49" i="94"/>
  <c r="S46" i="94"/>
  <c r="S61" i="94" s="1"/>
  <c r="Y43" i="94"/>
  <c r="Y58" i="94" s="1"/>
  <c r="CD50" i="94"/>
  <c r="EH49" i="94" s="1"/>
  <c r="CG54" i="94"/>
  <c r="BA46" i="94"/>
  <c r="H47" i="94"/>
  <c r="BP52" i="94"/>
  <c r="BL52" i="94"/>
  <c r="DF48" i="94"/>
  <c r="AN45" i="94"/>
  <c r="CA48" i="94"/>
  <c r="AR51" i="94"/>
  <c r="BM47" i="94"/>
  <c r="CT54" i="94"/>
  <c r="BI52" i="94"/>
  <c r="CT52" i="94"/>
  <c r="W43" i="94"/>
  <c r="AS46" i="94"/>
  <c r="AV48" i="94"/>
  <c r="BX54" i="94"/>
  <c r="CN46" i="94"/>
  <c r="V45" i="94"/>
  <c r="V60" i="94" s="1"/>
  <c r="AV54" i="94"/>
  <c r="I50" i="94"/>
  <c r="I65" i="94" s="1"/>
  <c r="BO54" i="94"/>
  <c r="AQ55" i="94"/>
  <c r="W46" i="94"/>
  <c r="O44" i="94"/>
  <c r="O59" i="94" s="1"/>
  <c r="S44" i="94"/>
  <c r="S59" i="94" s="1"/>
  <c r="DD45" i="94"/>
  <c r="CX45" i="94"/>
  <c r="AP53" i="94"/>
  <c r="CV52" i="94"/>
  <c r="J55" i="94"/>
  <c r="J70" i="94" s="1"/>
  <c r="O54" i="94"/>
  <c r="O69" i="94" s="1"/>
  <c r="DC43" i="94"/>
  <c r="BR54" i="94"/>
  <c r="J45" i="94"/>
  <c r="J60" i="94" s="1"/>
  <c r="AE55" i="94"/>
  <c r="AE70" i="94" s="1"/>
  <c r="DK45" i="94"/>
  <c r="L45" i="94"/>
  <c r="L60" i="94" s="1"/>
  <c r="BM49" i="94"/>
  <c r="U48" i="94"/>
  <c r="U63" i="94" s="1"/>
  <c r="CQ54" i="94"/>
  <c r="BI50" i="94"/>
  <c r="AY43" i="94"/>
  <c r="AB53" i="94"/>
  <c r="AN43" i="94"/>
  <c r="Y44" i="94"/>
  <c r="Y59" i="94" s="1"/>
  <c r="DG53" i="94"/>
  <c r="AZ54" i="94"/>
  <c r="DE54" i="94"/>
  <c r="BU44" i="94"/>
  <c r="CP49" i="94"/>
  <c r="M48" i="94"/>
  <c r="BB48" i="94"/>
  <c r="CN47" i="94"/>
  <c r="Q52" i="94"/>
  <c r="Q67" i="94" s="1"/>
  <c r="N43" i="94"/>
  <c r="N58" i="94" s="1"/>
  <c r="CX52" i="94"/>
  <c r="BT50" i="94"/>
  <c r="CA44" i="94"/>
  <c r="DA53" i="94"/>
  <c r="BS49" i="94"/>
  <c r="CG55" i="94"/>
  <c r="BM55" i="94"/>
  <c r="BM52" i="94"/>
  <c r="CW48" i="94"/>
  <c r="DI54" i="94"/>
  <c r="AL47" i="94"/>
  <c r="BI47" i="94"/>
  <c r="T43" i="94"/>
  <c r="T58" i="94" s="1"/>
  <c r="W48" i="94"/>
  <c r="I45" i="94"/>
  <c r="I60" i="94" s="1"/>
  <c r="BA51" i="94"/>
  <c r="CY45" i="94"/>
  <c r="AM44" i="94"/>
  <c r="CI45" i="94"/>
  <c r="AU52" i="94"/>
  <c r="AE43" i="94"/>
  <c r="AE58" i="94" s="1"/>
  <c r="BY50" i="94"/>
  <c r="EC49" i="94" s="1"/>
  <c r="BI53" i="94"/>
  <c r="DC52" i="94"/>
  <c r="K53" i="94"/>
  <c r="K68" i="94" s="1"/>
  <c r="AT50" i="94"/>
  <c r="AD50" i="94"/>
  <c r="AD65" i="94" s="1"/>
  <c r="BH43" i="94"/>
  <c r="CV54" i="94"/>
  <c r="CO43" i="94"/>
  <c r="BL49" i="94"/>
  <c r="BA140" i="94" a="1"/>
  <c r="BA140" i="94" s="1"/>
  <c r="BA196" i="94" s="1"/>
  <c r="FM43" i="94" s="1"/>
  <c r="BG47" i="94"/>
  <c r="AG47" i="94"/>
  <c r="K43" i="94"/>
  <c r="K58" i="94" s="1"/>
  <c r="BG48" i="94"/>
  <c r="CI53" i="94"/>
  <c r="DA55" i="94"/>
  <c r="K49" i="94"/>
  <c r="K64" i="94" s="1"/>
  <c r="BG46" i="94"/>
  <c r="CU53" i="94"/>
  <c r="AE48" i="94"/>
  <c r="AE63" i="94" s="1"/>
  <c r="CH52" i="94"/>
  <c r="BH54" i="94"/>
  <c r="BI51" i="94"/>
  <c r="CI52" i="94"/>
  <c r="L54" i="94"/>
  <c r="L69" i="94" s="1"/>
  <c r="CP50" i="94"/>
  <c r="DB51" i="94"/>
  <c r="CH49" i="94"/>
  <c r="AX43" i="94"/>
  <c r="AM49" i="94"/>
  <c r="DG43" i="94"/>
  <c r="CE43" i="94"/>
  <c r="DJ51" i="94"/>
  <c r="DG45" i="94"/>
  <c r="AX46" i="94"/>
  <c r="DK55" i="94"/>
  <c r="BR138" i="94"/>
  <c r="BF52" i="94"/>
  <c r="CB53" i="94"/>
  <c r="P47" i="94"/>
  <c r="P62" i="94" s="1"/>
  <c r="CH55" i="94"/>
  <c r="CB51" i="94"/>
  <c r="CB47" i="94"/>
  <c r="BL51" i="94"/>
  <c r="M55" i="94"/>
  <c r="DA52" i="94"/>
  <c r="CZ55" i="94"/>
  <c r="BZ52" i="94"/>
  <c r="CK43" i="94"/>
  <c r="L55" i="94"/>
  <c r="L70" i="94" s="1"/>
  <c r="CU54" i="94"/>
  <c r="BT44" i="94"/>
  <c r="BS51" i="94"/>
  <c r="DW50" i="94" s="1"/>
  <c r="BR45" i="94"/>
  <c r="CP51" i="94"/>
  <c r="BN138" i="94"/>
  <c r="R50" i="94"/>
  <c r="BT47" i="94"/>
  <c r="CH51" i="94"/>
  <c r="DA54" i="94"/>
  <c r="BQ50" i="94"/>
  <c r="Y54" i="94"/>
  <c r="Y69" i="94" s="1"/>
  <c r="AA49" i="94"/>
  <c r="AA64" i="94" s="1"/>
  <c r="BO45" i="94"/>
  <c r="BV53" i="94"/>
  <c r="BV48" i="94"/>
  <c r="CO52" i="94"/>
  <c r="AV45" i="94"/>
  <c r="DC46" i="94"/>
  <c r="AK45" i="94"/>
  <c r="CX46" i="94"/>
  <c r="AZ47" i="94"/>
  <c r="M49" i="94"/>
  <c r="DG44" i="94"/>
  <c r="CX51" i="94"/>
  <c r="AN48" i="94"/>
  <c r="CZ44" i="94"/>
  <c r="J48" i="94"/>
  <c r="J63" i="94" s="1"/>
  <c r="AN53" i="94"/>
  <c r="I46" i="94"/>
  <c r="I61" i="94" s="1"/>
  <c r="R47" i="94"/>
  <c r="DL48" i="94"/>
  <c r="AN54" i="94"/>
  <c r="Y49" i="94"/>
  <c r="Y64" i="94" s="1"/>
  <c r="DF47" i="94"/>
  <c r="BP51" i="94"/>
  <c r="AQ140" i="94" a="1"/>
  <c r="AQ140" i="94" s="1"/>
  <c r="AQ196" i="94" s="1"/>
  <c r="FC43" i="94" s="1"/>
  <c r="AQ45" i="94"/>
  <c r="BF44" i="94"/>
  <c r="BE52" i="94"/>
  <c r="AF45" i="94"/>
  <c r="AF60" i="94" s="1"/>
  <c r="CI55" i="94"/>
  <c r="DJ47" i="94"/>
  <c r="AB55" i="94"/>
  <c r="CN51" i="94"/>
  <c r="W53" i="94"/>
  <c r="AK51" i="94"/>
  <c r="L49" i="94"/>
  <c r="L64" i="94" s="1"/>
  <c r="CY54" i="94"/>
  <c r="DM47" i="94"/>
  <c r="M52" i="94"/>
  <c r="AB47" i="94"/>
  <c r="BE43" i="94"/>
  <c r="BE54" i="94"/>
  <c r="DM50" i="94"/>
  <c r="AR47" i="94"/>
  <c r="BT48" i="94"/>
  <c r="DB46" i="94"/>
  <c r="DH44" i="94"/>
  <c r="DG51" i="94"/>
  <c r="AO55" i="94"/>
  <c r="AL43" i="94"/>
  <c r="AS49" i="94"/>
  <c r="AS52" i="94"/>
  <c r="AP48" i="94"/>
  <c r="BF49" i="94"/>
  <c r="BP45" i="94"/>
  <c r="AJ44" i="94"/>
  <c r="BV43" i="94"/>
  <c r="CV50" i="94"/>
  <c r="CE53" i="94"/>
  <c r="BC44" i="94"/>
  <c r="AV50" i="94"/>
  <c r="CW55" i="94"/>
  <c r="AX140" i="94" a="1"/>
  <c r="AX140" i="94" s="1"/>
  <c r="AX196" i="94" s="1"/>
  <c r="FJ43" i="94" s="1"/>
  <c r="BZ47" i="94"/>
  <c r="BM48" i="94"/>
  <c r="AG46" i="94"/>
  <c r="Q44" i="94"/>
  <c r="Q59" i="94" s="1"/>
  <c r="CH53" i="94"/>
  <c r="BC45" i="94"/>
  <c r="BP43" i="94"/>
  <c r="L48" i="94"/>
  <c r="L63" i="94" s="1"/>
  <c r="DB49" i="94"/>
  <c r="AD55" i="94"/>
  <c r="AD70" i="94" s="1"/>
  <c r="DH48" i="94"/>
  <c r="AD48" i="94"/>
  <c r="AD63" i="94" s="1"/>
  <c r="CE46" i="94"/>
  <c r="BV49" i="94"/>
  <c r="DZ48" i="94" s="1"/>
  <c r="S54" i="94"/>
  <c r="S69" i="94" s="1"/>
  <c r="K45" i="94"/>
  <c r="K60" i="94" s="1"/>
  <c r="BQ48" i="94"/>
  <c r="DU47" i="94" s="1"/>
  <c r="CY48" i="94"/>
  <c r="K54" i="94"/>
  <c r="K69" i="94" s="1"/>
  <c r="W47" i="94"/>
  <c r="BE48" i="94"/>
  <c r="BR46" i="94"/>
  <c r="W44" i="94"/>
  <c r="BC43" i="94"/>
  <c r="P54" i="94"/>
  <c r="P69" i="94" s="1"/>
  <c r="CY51" i="94"/>
  <c r="DJ48" i="94"/>
  <c r="L53" i="94"/>
  <c r="L68" i="94" s="1"/>
  <c r="AY47" i="94"/>
  <c r="BN52" i="94"/>
  <c r="BC50" i="94"/>
  <c r="CN45" i="94"/>
  <c r="CO45" i="94"/>
  <c r="CC50" i="94"/>
  <c r="CH45" i="94"/>
  <c r="CP45" i="94"/>
  <c r="CO48" i="94"/>
  <c r="DM45" i="94"/>
  <c r="V49" i="94"/>
  <c r="V64" i="94" s="1"/>
  <c r="CD55" i="94"/>
  <c r="U54" i="94"/>
  <c r="U69" i="94" s="1"/>
  <c r="CS45" i="94"/>
  <c r="AO44" i="94"/>
  <c r="AJ46" i="94"/>
  <c r="AZ55" i="94"/>
  <c r="DA49" i="94"/>
  <c r="S43" i="94"/>
  <c r="S58" i="94" s="1"/>
  <c r="BA43" i="94"/>
  <c r="BP50" i="94"/>
  <c r="AE44" i="94"/>
  <c r="AE59" i="94" s="1"/>
  <c r="AJ53" i="94"/>
  <c r="CQ48" i="94"/>
  <c r="AZ45" i="94"/>
  <c r="AW55" i="94"/>
  <c r="BL48" i="94"/>
  <c r="CO47" i="94"/>
  <c r="AG48" i="94"/>
  <c r="CU44" i="94"/>
  <c r="CC51" i="94"/>
  <c r="EG50" i="94" s="1"/>
  <c r="BN44" i="94"/>
  <c r="AR44" i="94"/>
  <c r="BM43" i="94"/>
  <c r="K47" i="94"/>
  <c r="K62" i="94" s="1"/>
  <c r="H55" i="94"/>
  <c r="DD55" i="94"/>
  <c r="CC45" i="94"/>
  <c r="DK52" i="94"/>
  <c r="U47" i="94"/>
  <c r="U62" i="94" s="1"/>
  <c r="CX55" i="94"/>
  <c r="DE43" i="94"/>
  <c r="AY46" i="94"/>
  <c r="AT43" i="94"/>
  <c r="AP140" i="94" a="1"/>
  <c r="AP140" i="94" s="1"/>
  <c r="AP196" i="94" s="1"/>
  <c r="FB43" i="94" s="1"/>
  <c r="DL51" i="94"/>
  <c r="BN48" i="94"/>
  <c r="AV46" i="94"/>
  <c r="CC55" i="94"/>
  <c r="BU43" i="94"/>
  <c r="CW43" i="94"/>
  <c r="DK50" i="94"/>
  <c r="BI55" i="94"/>
  <c r="BY44" i="94"/>
  <c r="EC44" i="94" s="1"/>
  <c r="DF43" i="94"/>
  <c r="AO50" i="94"/>
  <c r="BL47" i="94"/>
  <c r="H46" i="94"/>
  <c r="BD45" i="94"/>
  <c r="CJ43" i="94"/>
  <c r="AW140" i="94" a="1"/>
  <c r="AW140" i="94" s="1"/>
  <c r="AW196" i="94" s="1"/>
  <c r="FI43" i="94" s="1"/>
  <c r="BQ46" i="94"/>
  <c r="BI54" i="94"/>
  <c r="AN44" i="94"/>
  <c r="DG46" i="94"/>
  <c r="CV51" i="94"/>
  <c r="CF45" i="94"/>
  <c r="CO54" i="94"/>
  <c r="Y47" i="94"/>
  <c r="Y62" i="94" s="1"/>
  <c r="CA43" i="94"/>
  <c r="AL55" i="94"/>
  <c r="AA46" i="94"/>
  <c r="AA61" i="94" s="1"/>
  <c r="AF48" i="94"/>
  <c r="AF63" i="94" s="1"/>
  <c r="DJ50" i="94"/>
  <c r="CS49" i="94"/>
  <c r="CQ51" i="94"/>
  <c r="BU47" i="94"/>
  <c r="CK46" i="94"/>
  <c r="Q54" i="94"/>
  <c r="Q69" i="94" s="1"/>
  <c r="L51" i="94"/>
  <c r="L66" i="94" s="1"/>
  <c r="R53" i="94"/>
  <c r="BX48" i="94"/>
  <c r="CW51" i="94"/>
  <c r="BS48" i="94"/>
  <c r="AW49" i="94"/>
  <c r="CI43" i="94"/>
  <c r="R51" i="94"/>
  <c r="BM51" i="94"/>
  <c r="CI48" i="94"/>
  <c r="DD43" i="94"/>
  <c r="DF53" i="94"/>
  <c r="AU140" i="94" a="1"/>
  <c r="AU140" i="94" s="1"/>
  <c r="AU196" i="94" s="1"/>
  <c r="FG43" i="94" s="1"/>
  <c r="CO46" i="94"/>
  <c r="CF46" i="94"/>
  <c r="EJ46" i="94" s="1"/>
  <c r="BQ45" i="94"/>
  <c r="CR55" i="94"/>
  <c r="V44" i="94"/>
  <c r="V59" i="94" s="1"/>
  <c r="DL47" i="94"/>
  <c r="BI48" i="94"/>
  <c r="BY49" i="94"/>
  <c r="AG54" i="94"/>
  <c r="BD43" i="94"/>
  <c r="CK45" i="94"/>
  <c r="DE55" i="94"/>
  <c r="AB54" i="94"/>
  <c r="H43" i="94"/>
  <c r="AB45" i="94"/>
  <c r="BD50" i="94"/>
  <c r="DL49" i="94"/>
  <c r="BF55" i="94"/>
  <c r="CK53" i="94"/>
  <c r="CH54" i="94"/>
  <c r="Q46" i="94"/>
  <c r="Q61" i="94" s="1"/>
  <c r="DG52" i="94"/>
  <c r="DE50" i="94"/>
  <c r="DM54" i="94"/>
  <c r="CX44" i="94"/>
  <c r="BR50" i="94"/>
  <c r="DV49" i="94" s="1"/>
  <c r="DH50" i="94"/>
  <c r="CX49" i="94"/>
  <c r="DJ52" i="94"/>
  <c r="BG55" i="94"/>
  <c r="BU49" i="94"/>
  <c r="AU50" i="94"/>
  <c r="H49" i="94"/>
  <c r="BW44" i="94"/>
  <c r="DM52" i="94"/>
  <c r="CJ45" i="94"/>
  <c r="CO53" i="94"/>
  <c r="BB51" i="94"/>
  <c r="CR49" i="94"/>
  <c r="AG49" i="94"/>
  <c r="AP46" i="94"/>
  <c r="J43" i="94"/>
  <c r="J58" i="94" s="1"/>
  <c r="X43" i="94"/>
  <c r="X58" i="94" s="1"/>
  <c r="BY46" i="94"/>
  <c r="EC46" i="94" s="1"/>
  <c r="AX44" i="94"/>
  <c r="W45" i="94"/>
  <c r="DD53" i="94"/>
  <c r="BH52" i="94"/>
  <c r="BZ46" i="94"/>
  <c r="AK44" i="94"/>
  <c r="BY52" i="94"/>
  <c r="DC45" i="94"/>
  <c r="CG44" i="94"/>
  <c r="AX52" i="94"/>
  <c r="BS52" i="94"/>
  <c r="L46" i="94"/>
  <c r="L61" i="94" s="1"/>
  <c r="CC46" i="94"/>
  <c r="L43" i="94"/>
  <c r="L58" i="94" s="1"/>
  <c r="AN50" i="94"/>
  <c r="Z48" i="94"/>
  <c r="Z63" i="94" s="1"/>
  <c r="AG44" i="94"/>
  <c r="CU45" i="94"/>
  <c r="BB46" i="94"/>
  <c r="DM48" i="94"/>
  <c r="CH43" i="94"/>
  <c r="M54" i="94"/>
  <c r="DH51" i="94"/>
  <c r="BH49" i="94"/>
  <c r="BF43" i="94"/>
  <c r="DC47" i="94"/>
  <c r="BT43" i="94"/>
  <c r="CU51" i="94"/>
  <c r="CW44" i="94"/>
  <c r="AK43" i="94"/>
  <c r="BT53" i="94"/>
  <c r="AY48" i="94"/>
  <c r="P46" i="94"/>
  <c r="P61" i="94" s="1"/>
  <c r="BD52" i="94"/>
  <c r="AQ43" i="94"/>
  <c r="AM51" i="94"/>
  <c r="BV46" i="94"/>
  <c r="BC48" i="94"/>
  <c r="AA54" i="94"/>
  <c r="AA69" i="94" s="1"/>
  <c r="BL43" i="94"/>
  <c r="AF53" i="94"/>
  <c r="AF68" i="94" s="1"/>
  <c r="CZ50" i="94"/>
  <c r="DH53" i="94"/>
  <c r="CG49" i="94"/>
  <c r="CK49" i="94"/>
  <c r="DL44" i="94"/>
  <c r="AY53" i="94"/>
  <c r="DB44" i="94"/>
  <c r="BX52" i="94"/>
  <c r="AS45" i="94"/>
  <c r="BM45" i="94"/>
  <c r="CF43" i="94"/>
  <c r="BX49" i="94"/>
  <c r="DC44" i="94"/>
  <c r="AS44" i="94"/>
  <c r="DK46" i="94"/>
  <c r="BO43" i="94"/>
  <c r="AK54" i="94"/>
  <c r="BF54" i="94"/>
  <c r="AB51" i="94"/>
  <c r="BG43" i="94"/>
  <c r="BH55" i="94"/>
  <c r="BZ43" i="94"/>
  <c r="BO51" i="94"/>
  <c r="DS50" i="94" s="1"/>
  <c r="AO53" i="94"/>
  <c r="AT47" i="94"/>
  <c r="DD50" i="94"/>
  <c r="BL53" i="94"/>
  <c r="BN47" i="94"/>
  <c r="BQ43" i="94"/>
  <c r="DI53" i="94"/>
  <c r="BE51" i="94"/>
  <c r="AJ43" i="94"/>
  <c r="BQ49" i="94"/>
  <c r="BG51" i="94"/>
  <c r="CG50" i="94"/>
  <c r="CS44" i="94"/>
  <c r="CS50" i="94"/>
  <c r="BO52" i="94"/>
  <c r="BI43" i="94"/>
  <c r="N53" i="94"/>
  <c r="N68" i="94" s="1"/>
  <c r="M47" i="94"/>
  <c r="CI44" i="94"/>
  <c r="Z52" i="94"/>
  <c r="Z67" i="94" s="1"/>
  <c r="AU55" i="94"/>
  <c r="DJ54" i="94"/>
  <c r="CH47" i="94"/>
  <c r="CR46" i="94"/>
  <c r="W54" i="94"/>
  <c r="AP50" i="94"/>
  <c r="AY54" i="94"/>
  <c r="T48" i="94"/>
  <c r="T63" i="94" s="1"/>
  <c r="G84" i="1"/>
  <c r="I80" i="1"/>
  <c r="O106" i="1"/>
  <c r="E32" i="1"/>
  <c r="O42" i="1"/>
  <c r="H32" i="1"/>
  <c r="I38" i="1"/>
  <c r="P36" i="1"/>
  <c r="P34" i="1"/>
  <c r="U35" i="1"/>
  <c r="F85" i="1"/>
  <c r="L85" i="1"/>
  <c r="N126" i="1"/>
  <c r="F108" i="1"/>
  <c r="M41" i="1"/>
  <c r="I105" i="1"/>
  <c r="O36" i="1"/>
  <c r="I41" i="1"/>
  <c r="K105" i="1"/>
  <c r="U34" i="1"/>
  <c r="J109" i="1"/>
  <c r="G33" i="1"/>
  <c r="N83" i="1"/>
  <c r="F35" i="1"/>
  <c r="U108" i="1"/>
  <c r="P41" i="1"/>
  <c r="Q40" i="1"/>
  <c r="L33" i="1"/>
  <c r="E40" i="1"/>
  <c r="J38" i="1"/>
  <c r="U109" i="1"/>
  <c r="O104" i="1"/>
  <c r="J104" i="1"/>
  <c r="O127" i="1"/>
  <c r="P127" i="1"/>
  <c r="G109" i="1"/>
  <c r="M105" i="1"/>
  <c r="Q35" i="1"/>
  <c r="J41" i="1"/>
  <c r="L127" i="1"/>
  <c r="U122" i="1"/>
  <c r="F43" i="1"/>
  <c r="U36" i="1"/>
  <c r="L84" i="1"/>
  <c r="N123" i="1"/>
  <c r="N35" i="1"/>
  <c r="F126" i="1"/>
  <c r="F34" i="1"/>
  <c r="N84" i="1"/>
  <c r="M127" i="1"/>
  <c r="Q39" i="1"/>
  <c r="I42" i="1"/>
  <c r="I108" i="1"/>
  <c r="F84" i="1"/>
  <c r="N107" i="1"/>
  <c r="U106" i="1"/>
  <c r="L124" i="1"/>
  <c r="U84" i="1"/>
  <c r="O81" i="1"/>
  <c r="G42" i="1"/>
  <c r="F104" i="1"/>
  <c r="I109" i="1"/>
  <c r="L123" i="1"/>
  <c r="U107" i="1"/>
  <c r="N122" i="1"/>
  <c r="J105" i="1"/>
  <c r="P80" i="1"/>
  <c r="N125" i="1"/>
  <c r="E127" i="1"/>
  <c r="U81" i="1"/>
  <c r="E125" i="1"/>
  <c r="O37" i="1"/>
  <c r="N109" i="1"/>
  <c r="I123" i="1"/>
  <c r="I122" i="1"/>
  <c r="O80" i="1"/>
  <c r="F32" i="1"/>
  <c r="M83" i="1"/>
  <c r="K122" i="1"/>
  <c r="Q36" i="1"/>
  <c r="G126" i="1"/>
  <c r="O39" i="1"/>
  <c r="L35" i="1"/>
  <c r="O33" i="1"/>
  <c r="N40" i="1"/>
  <c r="P108" i="1"/>
  <c r="F40" i="1"/>
  <c r="N42" i="1"/>
  <c r="N36" i="1"/>
  <c r="M36" i="1"/>
  <c r="G122" i="1"/>
  <c r="F122" i="1"/>
  <c r="Q127" i="1"/>
  <c r="M108" i="1"/>
  <c r="O84" i="1"/>
  <c r="I43" i="1"/>
  <c r="P106" i="1"/>
  <c r="O85" i="1"/>
  <c r="M38" i="1"/>
  <c r="I83" i="1"/>
  <c r="I37" i="1"/>
  <c r="H106" i="1"/>
  <c r="L109" i="1"/>
  <c r="H82" i="1"/>
  <c r="O32" i="1"/>
  <c r="G38" i="1"/>
  <c r="M85" i="1"/>
  <c r="O125" i="1"/>
  <c r="Q85" i="1"/>
  <c r="G104" i="1"/>
  <c r="E37" i="1"/>
  <c r="H39" i="1"/>
  <c r="O123" i="1"/>
  <c r="P104" i="1"/>
  <c r="L34" i="1"/>
  <c r="H122" i="1"/>
  <c r="F106" i="1"/>
  <c r="E124" i="1"/>
  <c r="O108" i="1"/>
  <c r="K40" i="1"/>
  <c r="K107" i="1"/>
  <c r="N106" i="1"/>
  <c r="U126" i="1"/>
  <c r="J122" i="1"/>
  <c r="I127" i="1"/>
  <c r="O40" i="1"/>
  <c r="N104" i="1"/>
  <c r="J37" i="1"/>
  <c r="M109" i="1"/>
  <c r="E35" i="1"/>
  <c r="K108" i="1"/>
  <c r="G41" i="1"/>
  <c r="K82" i="1"/>
  <c r="I84" i="1"/>
  <c r="Q37" i="1"/>
  <c r="G35" i="1"/>
  <c r="N32" i="1"/>
  <c r="E109" i="1"/>
  <c r="O107" i="1"/>
  <c r="F107" i="1"/>
  <c r="K106" i="1"/>
  <c r="U33" i="1"/>
  <c r="U123" i="1"/>
  <c r="M104" i="1"/>
  <c r="P109" i="1"/>
  <c r="I124" i="1"/>
  <c r="M106" i="1"/>
  <c r="H123" i="1"/>
  <c r="M81" i="1"/>
  <c r="H80" i="1"/>
  <c r="G36" i="1"/>
  <c r="E34" i="1"/>
  <c r="P33" i="1"/>
  <c r="M123" i="1"/>
  <c r="M124" i="1"/>
  <c r="U41" i="1"/>
  <c r="I33" i="1"/>
  <c r="K123" i="1"/>
  <c r="G43" i="1"/>
  <c r="K37" i="1"/>
  <c r="E107" i="1"/>
  <c r="J125" i="1"/>
  <c r="U124" i="1"/>
  <c r="Q122" i="1"/>
  <c r="F41" i="1"/>
  <c r="J42" i="1"/>
  <c r="J81" i="1"/>
  <c r="O122" i="1"/>
  <c r="H38" i="1"/>
  <c r="E105" i="1"/>
  <c r="J43" i="1"/>
  <c r="J34" i="1"/>
  <c r="Q123" i="1"/>
  <c r="N43" i="1"/>
  <c r="U80" i="1"/>
  <c r="G108" i="1"/>
  <c r="K126" i="1"/>
  <c r="G82" i="1"/>
  <c r="U38" i="1"/>
  <c r="N81" i="1"/>
  <c r="Q109" i="1"/>
  <c r="P83" i="1"/>
  <c r="U104" i="1"/>
  <c r="E38" i="1"/>
  <c r="E82" i="1"/>
  <c r="E84" i="1"/>
  <c r="F33" i="1"/>
  <c r="J32" i="1"/>
  <c r="O41" i="1"/>
  <c r="O34" i="1"/>
  <c r="P85" i="1"/>
  <c r="O109" i="1"/>
  <c r="I36" i="1"/>
  <c r="K85" i="1"/>
  <c r="H81" i="1"/>
  <c r="F37" i="1"/>
  <c r="M122" i="1"/>
  <c r="I81" i="1"/>
  <c r="F123" i="1"/>
  <c r="P82" i="1"/>
  <c r="N37" i="1"/>
  <c r="L125" i="1"/>
  <c r="M42" i="1"/>
  <c r="H107" i="1"/>
  <c r="Q84" i="1"/>
  <c r="E85" i="1"/>
  <c r="M35" i="1"/>
  <c r="I85" i="1"/>
  <c r="Q32" i="1"/>
  <c r="E36" i="1"/>
  <c r="K125" i="1"/>
  <c r="J106" i="1"/>
  <c r="I35" i="1"/>
  <c r="I82" i="1"/>
  <c r="O126" i="1"/>
  <c r="M107" i="1"/>
  <c r="J108" i="1"/>
  <c r="L43" i="1"/>
  <c r="L107" i="1"/>
  <c r="K43" i="1"/>
  <c r="H43" i="1"/>
  <c r="I126" i="1"/>
  <c r="Q82" i="1"/>
  <c r="G37" i="1"/>
  <c r="I40" i="1"/>
  <c r="U42" i="1"/>
  <c r="J84" i="1"/>
  <c r="U37" i="1"/>
  <c r="O82" i="1"/>
  <c r="Q104" i="1"/>
  <c r="L36" i="1"/>
  <c r="F105" i="1"/>
  <c r="J39" i="1"/>
  <c r="P42" i="1"/>
  <c r="P107" i="1"/>
  <c r="E106" i="1"/>
  <c r="H36" i="1"/>
  <c r="G123" i="1"/>
  <c r="P38" i="1"/>
  <c r="K32" i="1"/>
  <c r="N108" i="1"/>
  <c r="M80" i="1"/>
  <c r="G125" i="1"/>
  <c r="I125" i="1"/>
  <c r="U40" i="1"/>
  <c r="K42" i="1"/>
  <c r="K84" i="1"/>
  <c r="E108" i="1"/>
  <c r="H125" i="1"/>
  <c r="L40" i="1"/>
  <c r="Q126" i="1"/>
  <c r="H85" i="1"/>
  <c r="U105" i="1"/>
  <c r="O124" i="1"/>
  <c r="K127" i="1"/>
  <c r="K80" i="1"/>
  <c r="M39" i="1"/>
  <c r="Q105" i="1"/>
  <c r="K38" i="1"/>
  <c r="F124" i="1"/>
  <c r="K109" i="1"/>
  <c r="N33" i="1"/>
  <c r="E43" i="1"/>
  <c r="Q107" i="1"/>
  <c r="U83" i="1"/>
  <c r="P39" i="1"/>
  <c r="Q124" i="1"/>
  <c r="F36" i="1"/>
  <c r="E33" i="1"/>
  <c r="F83" i="1"/>
  <c r="U39" i="1"/>
  <c r="G80" i="1"/>
  <c r="U125" i="1"/>
  <c r="Q34" i="1"/>
  <c r="Q108" i="1"/>
  <c r="P43" i="1"/>
  <c r="K81" i="1"/>
  <c r="M125" i="1"/>
  <c r="P81" i="1"/>
  <c r="I106" i="1"/>
  <c r="F82" i="1"/>
  <c r="F125" i="1"/>
  <c r="L39" i="1"/>
  <c r="E39" i="1"/>
  <c r="I39" i="1"/>
  <c r="K124" i="1"/>
  <c r="M43" i="1"/>
  <c r="L37" i="1"/>
  <c r="N39" i="1"/>
  <c r="K36" i="1"/>
  <c r="H104" i="1"/>
  <c r="K83" i="1"/>
  <c r="M33" i="1"/>
  <c r="Q81" i="1"/>
  <c r="K33" i="1"/>
  <c r="G106" i="1"/>
  <c r="F127" i="1"/>
  <c r="N38" i="1"/>
  <c r="N105" i="1"/>
  <c r="I34" i="1"/>
  <c r="L104" i="1"/>
  <c r="G127" i="1"/>
  <c r="L122" i="1"/>
  <c r="M84" i="1"/>
  <c r="U82" i="1"/>
  <c r="L108" i="1"/>
  <c r="P125" i="1"/>
  <c r="O105" i="1"/>
  <c r="K34" i="1"/>
  <c r="H126" i="1"/>
  <c r="P122" i="1"/>
  <c r="E83" i="1"/>
  <c r="Q106" i="1"/>
  <c r="P123" i="1"/>
  <c r="G83" i="1"/>
  <c r="Q80" i="1"/>
  <c r="I107" i="1"/>
  <c r="U32" i="1"/>
  <c r="G85" i="1"/>
  <c r="L41" i="1"/>
  <c r="K39" i="1"/>
  <c r="K41" i="1"/>
  <c r="M34" i="1"/>
  <c r="N34" i="1"/>
  <c r="P40" i="1"/>
  <c r="U85" i="1"/>
  <c r="K104" i="1"/>
  <c r="L126" i="1"/>
  <c r="N82" i="1"/>
  <c r="Q41" i="1"/>
  <c r="N85" i="1"/>
  <c r="H109" i="1"/>
  <c r="H127" i="1"/>
  <c r="J33" i="1"/>
  <c r="E81" i="1"/>
  <c r="J35" i="1"/>
  <c r="Q83" i="1"/>
  <c r="L81" i="1"/>
  <c r="N80" i="1"/>
  <c r="F38" i="1"/>
  <c r="J123" i="1"/>
  <c r="F81" i="1"/>
  <c r="O35" i="1"/>
  <c r="J124" i="1"/>
  <c r="N41" i="1"/>
  <c r="J82" i="1"/>
  <c r="M40" i="1"/>
  <c r="H37" i="1"/>
  <c r="J126" i="1"/>
  <c r="P124" i="1"/>
  <c r="L32" i="1"/>
  <c r="L82" i="1"/>
  <c r="J107" i="1"/>
  <c r="H40" i="1"/>
  <c r="L80" i="1"/>
  <c r="M32" i="1"/>
  <c r="J36" i="1"/>
  <c r="L38" i="1"/>
  <c r="F109" i="1"/>
  <c r="E41" i="1"/>
  <c r="P35" i="1"/>
  <c r="L83" i="1"/>
  <c r="H83" i="1"/>
  <c r="G124" i="1"/>
  <c r="O43" i="1"/>
  <c r="H33" i="1"/>
  <c r="H42" i="1"/>
  <c r="G40" i="1"/>
  <c r="P84" i="1"/>
  <c r="P37" i="1"/>
  <c r="H34" i="1"/>
  <c r="J80" i="1"/>
  <c r="J40" i="1"/>
  <c r="G32" i="1"/>
  <c r="P105" i="1"/>
  <c r="I104" i="1"/>
  <c r="J83" i="1"/>
  <c r="H108" i="1"/>
  <c r="H35" i="1"/>
  <c r="Q125" i="1"/>
  <c r="U127" i="1"/>
  <c r="H41" i="1"/>
  <c r="Q33" i="1"/>
  <c r="G34" i="1"/>
  <c r="E104" i="1"/>
  <c r="H84" i="1"/>
  <c r="L105" i="1"/>
  <c r="N124" i="1"/>
  <c r="E122" i="1"/>
  <c r="I32" i="1"/>
  <c r="E123" i="1"/>
  <c r="F39" i="1"/>
  <c r="U43" i="1"/>
  <c r="F42" i="1"/>
  <c r="M126" i="1"/>
  <c r="L106" i="1"/>
  <c r="AE35" i="1" l="1"/>
  <c r="AE106" i="1"/>
  <c r="AE34" i="1"/>
  <c r="AE40" i="1"/>
  <c r="AE127" i="1"/>
  <c r="AE43" i="1"/>
  <c r="AE82" i="1"/>
  <c r="AE125" i="1"/>
  <c r="AE105" i="1"/>
  <c r="AE85" i="1"/>
  <c r="AE108" i="1"/>
  <c r="AE124" i="1"/>
  <c r="AE81" i="1"/>
  <c r="AE109" i="1"/>
  <c r="AE36" i="1"/>
  <c r="AE38" i="1"/>
  <c r="AE104" i="1"/>
  <c r="AE33" i="1"/>
  <c r="AE123" i="1"/>
  <c r="AE122" i="1"/>
  <c r="AE126" i="1"/>
  <c r="AE107" i="1"/>
  <c r="AE84" i="1"/>
  <c r="AE41" i="1"/>
  <c r="AE80" i="1"/>
  <c r="AE83" i="1"/>
  <c r="AE39" i="1"/>
  <c r="AC38" i="1"/>
  <c r="Y41" i="1"/>
  <c r="AC40" i="1"/>
  <c r="AD41" i="1"/>
  <c r="Y39" i="1"/>
  <c r="Y43" i="1"/>
  <c r="AD42" i="1"/>
  <c r="AC41" i="1"/>
  <c r="AD43" i="1"/>
  <c r="AD39" i="1"/>
  <c r="AD40" i="1"/>
  <c r="AC43" i="1"/>
  <c r="Y42" i="1"/>
  <c r="Y40" i="1"/>
  <c r="Y100" i="1"/>
  <c r="Y107" i="1"/>
  <c r="AC105" i="1"/>
  <c r="AC104" i="1"/>
  <c r="AD109" i="1"/>
  <c r="Y105" i="1"/>
  <c r="AC107" i="1"/>
  <c r="AC106" i="1"/>
  <c r="Y101" i="1"/>
  <c r="Y108" i="1"/>
  <c r="Y102" i="1"/>
  <c r="Y109" i="1"/>
  <c r="Y106" i="1"/>
  <c r="Y99" i="1"/>
  <c r="AD105" i="1"/>
  <c r="AD104" i="1"/>
  <c r="AD107" i="1"/>
  <c r="AD106" i="1"/>
  <c r="AD108" i="1"/>
  <c r="AC108" i="1"/>
  <c r="AC109" i="1"/>
  <c r="Y103" i="1"/>
  <c r="EJ48" i="94"/>
  <c r="EM46" i="94"/>
  <c r="EF46" i="94"/>
  <c r="EL45" i="94"/>
  <c r="EM49" i="94"/>
  <c r="DY48" i="94"/>
  <c r="DW48" i="94"/>
  <c r="DQ48" i="94"/>
  <c r="Y123" i="1"/>
  <c r="AD123" i="1"/>
  <c r="AD124" i="1"/>
  <c r="AC127" i="1"/>
  <c r="Y126" i="1"/>
  <c r="Y119" i="1"/>
  <c r="AC125" i="1"/>
  <c r="Y127" i="1"/>
  <c r="Y120" i="1"/>
  <c r="Y124" i="1"/>
  <c r="Y117" i="1"/>
  <c r="AC123" i="1"/>
  <c r="AD122" i="1"/>
  <c r="AD125" i="1"/>
  <c r="Y125" i="1"/>
  <c r="Y118" i="1"/>
  <c r="AC124" i="1"/>
  <c r="AC122" i="1"/>
  <c r="AD126" i="1"/>
  <c r="Y121" i="1"/>
  <c r="AC82" i="1"/>
  <c r="AC34" i="1"/>
  <c r="AC81" i="1"/>
  <c r="AC33" i="1"/>
  <c r="AC35" i="1"/>
  <c r="AC83" i="1"/>
  <c r="AD37" i="1"/>
  <c r="AD85" i="1"/>
  <c r="Y33" i="1"/>
  <c r="Y81" i="1"/>
  <c r="Y76" i="1"/>
  <c r="Y83" i="1"/>
  <c r="Y35" i="1"/>
  <c r="AD33" i="1"/>
  <c r="AD81" i="1"/>
  <c r="AD34" i="1"/>
  <c r="AD82" i="1"/>
  <c r="AC85" i="1"/>
  <c r="AC37" i="1"/>
  <c r="AC32" i="1"/>
  <c r="Y36" i="1"/>
  <c r="Y84" i="1"/>
  <c r="Y77" i="1"/>
  <c r="Y78" i="1"/>
  <c r="Y85" i="1"/>
  <c r="Y37" i="1"/>
  <c r="Y34" i="1"/>
  <c r="Y75" i="1"/>
  <c r="Y82" i="1"/>
  <c r="AE32" i="1"/>
  <c r="AD80" i="1"/>
  <c r="AD83" i="1"/>
  <c r="AD35" i="1"/>
  <c r="AC84" i="1"/>
  <c r="AC36" i="1"/>
  <c r="AD36" i="1"/>
  <c r="AD84" i="1"/>
  <c r="Y79" i="1"/>
  <c r="M59" i="94"/>
  <c r="AG64" i="94"/>
  <c r="H70" i="94"/>
  <c r="M70" i="94"/>
  <c r="H62" i="94"/>
  <c r="H60" i="94"/>
  <c r="H69" i="94"/>
  <c r="M63" i="94"/>
  <c r="M58" i="94"/>
  <c r="AB70" i="94"/>
  <c r="H68" i="94"/>
  <c r="M60" i="94"/>
  <c r="W58" i="94"/>
  <c r="AG67" i="94"/>
  <c r="H63" i="94"/>
  <c r="M61" i="94"/>
  <c r="AG65" i="94"/>
  <c r="AG70" i="94"/>
  <c r="AG61" i="94"/>
  <c r="AG68" i="94"/>
  <c r="H66" i="94"/>
  <c r="AB59" i="94"/>
  <c r="H61" i="94"/>
  <c r="M67" i="94"/>
  <c r="AG58" i="94"/>
  <c r="W70" i="94"/>
  <c r="AB69" i="94"/>
  <c r="AB62" i="94"/>
  <c r="W59" i="94"/>
  <c r="W63" i="94"/>
  <c r="M68" i="94"/>
  <c r="H59" i="94"/>
  <c r="AB64" i="94"/>
  <c r="AB65" i="94"/>
  <c r="M66" i="94"/>
  <c r="H58" i="94"/>
  <c r="W60" i="94"/>
  <c r="W65" i="94"/>
  <c r="W61" i="94"/>
  <c r="AG69" i="94"/>
  <c r="AG63" i="94"/>
  <c r="AB68" i="94"/>
  <c r="W69" i="94"/>
  <c r="H64" i="94"/>
  <c r="AB66" i="94"/>
  <c r="W62" i="94"/>
  <c r="M64" i="94"/>
  <c r="H65" i="94"/>
  <c r="W64" i="94"/>
  <c r="H67" i="94"/>
  <c r="W67" i="94"/>
  <c r="W66" i="94"/>
  <c r="AG66" i="94"/>
  <c r="AB58" i="94"/>
  <c r="AB60" i="94"/>
  <c r="W68" i="94"/>
  <c r="AG62" i="94"/>
  <c r="AB63" i="94"/>
  <c r="AB67" i="94"/>
  <c r="AB61" i="94"/>
  <c r="AG60" i="94"/>
  <c r="AG59" i="94"/>
  <c r="M62" i="94"/>
  <c r="M69" i="94"/>
  <c r="M65" i="94"/>
  <c r="EM45" i="94"/>
  <c r="DV45" i="94"/>
  <c r="DW47" i="94"/>
  <c r="EF50" i="94"/>
  <c r="EL48" i="94"/>
  <c r="DR46" i="94"/>
  <c r="DU48" i="94"/>
  <c r="DY45" i="94"/>
  <c r="EO49" i="94"/>
  <c r="DU46" i="94"/>
  <c r="DQ45" i="94"/>
  <c r="DW45" i="94"/>
  <c r="EC48" i="94"/>
  <c r="DY49" i="94"/>
  <c r="EK48" i="94"/>
  <c r="DR44" i="94"/>
  <c r="EH44" i="94"/>
  <c r="DS47" i="94"/>
  <c r="DZ46" i="94"/>
  <c r="BI56" i="94"/>
  <c r="DT45" i="94"/>
  <c r="DP48" i="94"/>
  <c r="DW44" i="94"/>
  <c r="DX45" i="94"/>
  <c r="EM50" i="94"/>
  <c r="EA47" i="94"/>
  <c r="DX47" i="94"/>
  <c r="DU45" i="94"/>
  <c r="EK46" i="94"/>
  <c r="EL47" i="94"/>
  <c r="EA49" i="94"/>
  <c r="EL44" i="94"/>
  <c r="EB46" i="94"/>
  <c r="DQ47" i="94"/>
  <c r="EA50" i="94"/>
  <c r="EI47" i="94"/>
  <c r="DP49" i="94"/>
  <c r="EB48" i="94"/>
  <c r="EK49" i="94"/>
  <c r="EG45" i="94"/>
  <c r="EI49" i="94"/>
  <c r="EF49" i="94"/>
  <c r="DR47" i="94"/>
  <c r="DP50" i="94"/>
  <c r="BE56" i="94"/>
  <c r="EE46" i="94"/>
  <c r="EL50" i="94"/>
  <c r="AZ56" i="94"/>
  <c r="EI44" i="94"/>
  <c r="AK56" i="94"/>
  <c r="U71" i="94"/>
  <c r="EC50" i="94"/>
  <c r="EO45" i="94"/>
  <c r="DX44" i="94"/>
  <c r="DX49" i="94"/>
  <c r="L71" i="94"/>
  <c r="EA44" i="94"/>
  <c r="BD56" i="94"/>
  <c r="DD56" i="94"/>
  <c r="EO46" i="94"/>
  <c r="DE56" i="94"/>
  <c r="EG49" i="94"/>
  <c r="DV46" i="94"/>
  <c r="AN56" i="94"/>
  <c r="EF44" i="94"/>
  <c r="EB45" i="94"/>
  <c r="EL46" i="94"/>
  <c r="EF48" i="94"/>
  <c r="EA46" i="94"/>
  <c r="DW49" i="94"/>
  <c r="DR50" i="94"/>
  <c r="EN47" i="94"/>
  <c r="EN49" i="94"/>
  <c r="ED47" i="94"/>
  <c r="EK47" i="94"/>
  <c r="EG46" i="94"/>
  <c r="DQ50" i="94"/>
  <c r="DV47" i="94"/>
  <c r="J71" i="94"/>
  <c r="EC47" i="94"/>
  <c r="EN50" i="94"/>
  <c r="DR48" i="94"/>
  <c r="DV50" i="94"/>
  <c r="EJ49" i="94"/>
  <c r="DP44" i="94"/>
  <c r="EO47" i="94"/>
  <c r="DY50" i="94"/>
  <c r="DU43" i="94"/>
  <c r="BQ57" i="94"/>
  <c r="EM43" i="94"/>
  <c r="CI57" i="94"/>
  <c r="DY43" i="94"/>
  <c r="BU57" i="94"/>
  <c r="DZ43" i="94"/>
  <c r="BV57" i="94"/>
  <c r="AE71" i="94"/>
  <c r="EG43" i="94"/>
  <c r="CC57" i="94"/>
  <c r="CV56" i="94"/>
  <c r="BV58" i="94"/>
  <c r="FU47" i="94"/>
  <c r="FU48" i="94"/>
  <c r="CQ56" i="94"/>
  <c r="BW57" i="94"/>
  <c r="EA43" i="94"/>
  <c r="BP58" i="94"/>
  <c r="CJ58" i="94"/>
  <c r="BN58" i="94"/>
  <c r="BO57" i="94"/>
  <c r="DS43" i="94"/>
  <c r="EO48" i="94"/>
  <c r="EL43" i="94"/>
  <c r="CH57" i="94"/>
  <c r="EK44" i="94"/>
  <c r="FI47" i="94"/>
  <c r="FI48" i="94"/>
  <c r="BT58" i="94"/>
  <c r="FM47" i="94"/>
  <c r="FM48" i="94"/>
  <c r="FN47" i="94"/>
  <c r="FN48" i="94"/>
  <c r="AR56" i="94"/>
  <c r="DR45" i="94"/>
  <c r="AS56" i="94"/>
  <c r="DZ44" i="94"/>
  <c r="ED45" i="94"/>
  <c r="AF71" i="94"/>
  <c r="EN44" i="94"/>
  <c r="CS56" i="94"/>
  <c r="DS49" i="94"/>
  <c r="EX48" i="94"/>
  <c r="EX47" i="94"/>
  <c r="EJ44" i="94"/>
  <c r="CJ57" i="94"/>
  <c r="EN43" i="94"/>
  <c r="R62" i="94"/>
  <c r="R65" i="94"/>
  <c r="DH56" i="94"/>
  <c r="CG57" i="94"/>
  <c r="EK43" i="94"/>
  <c r="DA56" i="94"/>
  <c r="DV43" i="94"/>
  <c r="BR57" i="94"/>
  <c r="R69" i="94"/>
  <c r="Z71" i="94"/>
  <c r="DK56" i="94"/>
  <c r="EE45" i="94"/>
  <c r="AU56" i="94"/>
  <c r="DW46" i="94"/>
  <c r="BO58" i="94"/>
  <c r="EI43" i="94"/>
  <c r="CE57" i="94"/>
  <c r="CO56" i="94"/>
  <c r="DY44" i="94"/>
  <c r="FF47" i="94"/>
  <c r="FF48" i="94"/>
  <c r="R58" i="94"/>
  <c r="CZ56" i="94"/>
  <c r="AP56" i="94"/>
  <c r="AO56" i="94"/>
  <c r="DL56" i="94"/>
  <c r="EG44" i="94"/>
  <c r="CN56" i="94"/>
  <c r="DP46" i="94"/>
  <c r="FD47" i="94"/>
  <c r="FD48" i="94"/>
  <c r="EH46" i="94"/>
  <c r="CY56" i="94"/>
  <c r="CD57" i="94"/>
  <c r="EH43" i="94"/>
  <c r="EB47" i="94"/>
  <c r="CA57" i="94"/>
  <c r="EE43" i="94"/>
  <c r="DQ43" i="94"/>
  <c r="BM57" i="94"/>
  <c r="CB58" i="94"/>
  <c r="DG56" i="94"/>
  <c r="CF58" i="94"/>
  <c r="BS58" i="94"/>
  <c r="CT56" i="94"/>
  <c r="DU50" i="94"/>
  <c r="EC43" i="94"/>
  <c r="BY57" i="94"/>
  <c r="R63" i="94"/>
  <c r="EV48" i="94"/>
  <c r="EV47" i="94"/>
  <c r="CC58" i="94"/>
  <c r="EJ50" i="94"/>
  <c r="FS47" i="94"/>
  <c r="FS48" i="94"/>
  <c r="EL49" i="94"/>
  <c r="DS48" i="94"/>
  <c r="DZ49" i="94"/>
  <c r="ED46" i="94"/>
  <c r="R68" i="94"/>
  <c r="BL58" i="94"/>
  <c r="FB47" i="94"/>
  <c r="FB48" i="94"/>
  <c r="DT49" i="94"/>
  <c r="EI46" i="94"/>
  <c r="BZ58" i="94"/>
  <c r="DZ47" i="94"/>
  <c r="BH56" i="94"/>
  <c r="EF47" i="94"/>
  <c r="EI45" i="94"/>
  <c r="EF45" i="94"/>
  <c r="DQ46" i="94"/>
  <c r="DZ45" i="94"/>
  <c r="R59" i="94"/>
  <c r="AV56" i="94"/>
  <c r="EE48" i="94"/>
  <c r="DS44" i="94"/>
  <c r="V71" i="94"/>
  <c r="EJ43" i="94"/>
  <c r="CF57" i="94"/>
  <c r="DP43" i="94"/>
  <c r="BL57" i="94"/>
  <c r="EN45" i="94"/>
  <c r="FG47" i="94"/>
  <c r="FG48" i="94"/>
  <c r="AT56" i="94"/>
  <c r="BA56" i="94"/>
  <c r="BC56" i="94"/>
  <c r="FJ47" i="94"/>
  <c r="FJ48" i="94"/>
  <c r="AX56" i="94"/>
  <c r="EE44" i="94"/>
  <c r="Y71" i="94"/>
  <c r="BR58" i="94"/>
  <c r="DM56" i="94"/>
  <c r="R67" i="94"/>
  <c r="DT46" i="94"/>
  <c r="AD71" i="94"/>
  <c r="EZ48" i="94"/>
  <c r="EZ47" i="94"/>
  <c r="DJ56" i="94"/>
  <c r="CK58" i="94"/>
  <c r="I71" i="94"/>
  <c r="AM56" i="94"/>
  <c r="DU44" i="94"/>
  <c r="BQ58" i="94"/>
  <c r="FH47" i="94"/>
  <c r="FH48" i="94"/>
  <c r="EB49" i="94"/>
  <c r="ED49" i="94"/>
  <c r="DV48" i="94"/>
  <c r="BS138" i="94"/>
  <c r="DY46" i="94"/>
  <c r="ED44" i="94"/>
  <c r="BS57" i="94"/>
  <c r="DW43" i="94"/>
  <c r="BY58" i="94"/>
  <c r="CH58" i="94"/>
  <c r="ED43" i="94"/>
  <c r="BZ57" i="94"/>
  <c r="BT57" i="94"/>
  <c r="DX43" i="94"/>
  <c r="EJ45" i="94"/>
  <c r="DF56" i="94"/>
  <c r="S71" i="94"/>
  <c r="AL56" i="94"/>
  <c r="DS45" i="94"/>
  <c r="BM58" i="94"/>
  <c r="EW48" i="94"/>
  <c r="EW47" i="94"/>
  <c r="O71" i="94"/>
  <c r="EB43" i="94"/>
  <c r="BX57" i="94"/>
  <c r="DX46" i="94"/>
  <c r="EK45" i="94"/>
  <c r="R61" i="94"/>
  <c r="EN46" i="94"/>
  <c r="CU56" i="94"/>
  <c r="EB50" i="94"/>
  <c r="R64" i="94"/>
  <c r="DR49" i="94"/>
  <c r="P71" i="94"/>
  <c r="FC47" i="94"/>
  <c r="FC48" i="94"/>
  <c r="T71" i="94"/>
  <c r="DC56" i="94"/>
  <c r="FK48" i="94"/>
  <c r="FK47" i="94"/>
  <c r="BX58" i="94"/>
  <c r="FE48" i="94"/>
  <c r="FE47" i="94"/>
  <c r="BB56" i="94"/>
  <c r="CG58" i="94"/>
  <c r="CI58" i="94"/>
  <c r="EH50" i="94"/>
  <c r="R70" i="94"/>
  <c r="CE58" i="94"/>
  <c r="R60" i="94"/>
  <c r="FR47" i="94"/>
  <c r="FR48" i="94"/>
  <c r="AJ56" i="94"/>
  <c r="BG56" i="94"/>
  <c r="BF56" i="94"/>
  <c r="EM47" i="94"/>
  <c r="BU58" i="94"/>
  <c r="DT50" i="94"/>
  <c r="N71" i="94"/>
  <c r="EE47" i="94"/>
  <c r="FP47" i="94"/>
  <c r="FP48" i="94"/>
  <c r="FQ47" i="94"/>
  <c r="FQ48" i="94"/>
  <c r="BW58" i="94"/>
  <c r="EY47" i="94"/>
  <c r="EY48" i="94"/>
  <c r="FA47" i="94"/>
  <c r="FA48" i="94"/>
  <c r="EH47" i="94"/>
  <c r="EG48" i="94"/>
  <c r="DX48" i="94"/>
  <c r="Q71" i="94"/>
  <c r="DZ50" i="94"/>
  <c r="FL48" i="94"/>
  <c r="FL47" i="94"/>
  <c r="EO44" i="94"/>
  <c r="EF43" i="94"/>
  <c r="CB57" i="94"/>
  <c r="DT48" i="94"/>
  <c r="EC45" i="94"/>
  <c r="FT48" i="94"/>
  <c r="FT47" i="94"/>
  <c r="DU49" i="94"/>
  <c r="EO43" i="94"/>
  <c r="CK57" i="94"/>
  <c r="K71" i="94"/>
  <c r="AY56" i="94"/>
  <c r="DI56" i="94"/>
  <c r="CD58" i="94"/>
  <c r="EB44" i="94"/>
  <c r="DB56" i="94"/>
  <c r="EJ47" i="94"/>
  <c r="ED50" i="94"/>
  <c r="DT47" i="94"/>
  <c r="EM48" i="94"/>
  <c r="FO47" i="94"/>
  <c r="FO48" i="94"/>
  <c r="EG47" i="94"/>
  <c r="CX56" i="94"/>
  <c r="EM44" i="94"/>
  <c r="AQ56" i="94"/>
  <c r="X71" i="94"/>
  <c r="R66" i="94"/>
  <c r="CW56" i="94"/>
  <c r="DP47" i="94"/>
  <c r="BP57" i="94"/>
  <c r="DT43" i="94"/>
  <c r="EA45" i="94"/>
  <c r="CP56" i="94"/>
  <c r="CA58" i="94"/>
  <c r="AC71" i="94"/>
  <c r="DX50" i="94"/>
  <c r="DR43" i="94"/>
  <c r="BN57" i="94"/>
  <c r="AA71" i="94"/>
  <c r="DQ49" i="94"/>
  <c r="AW56" i="94"/>
  <c r="DT44" i="94"/>
  <c r="ED48" i="94"/>
  <c r="EK50" i="94"/>
  <c r="EE49" i="94"/>
  <c r="EI48" i="94"/>
  <c r="CR56" i="94"/>
  <c r="EA48" i="94"/>
  <c r="AA38" i="1"/>
  <c r="AA124" i="1"/>
  <c r="AA33" i="1"/>
  <c r="AA42" i="1"/>
  <c r="AA109" i="1"/>
  <c r="AA35" i="1"/>
  <c r="Q38" i="1"/>
  <c r="G105" i="1"/>
  <c r="AA122" i="1"/>
  <c r="AA106" i="1"/>
  <c r="AA37" i="1"/>
  <c r="AA85" i="1"/>
  <c r="AA108" i="1"/>
  <c r="J127" i="1"/>
  <c r="AA107" i="1"/>
  <c r="M82" i="1"/>
  <c r="E42" i="1"/>
  <c r="G39" i="1"/>
  <c r="AA32" i="1"/>
  <c r="P126" i="1"/>
  <c r="L42" i="1"/>
  <c r="AA125" i="1"/>
  <c r="AA84" i="1"/>
  <c r="AA81" i="1"/>
  <c r="AA82" i="1"/>
  <c r="AA104" i="1"/>
  <c r="G81" i="1"/>
  <c r="AA39" i="1"/>
  <c r="G107" i="1"/>
  <c r="O83" i="1"/>
  <c r="H105" i="1"/>
  <c r="E126" i="1"/>
  <c r="AA105" i="1"/>
  <c r="N127" i="1"/>
  <c r="AA34" i="1"/>
  <c r="AA80" i="1"/>
  <c r="Q42" i="1"/>
  <c r="AA36" i="1"/>
  <c r="H124" i="1"/>
  <c r="J85" i="1"/>
  <c r="AA43" i="1"/>
  <c r="F80" i="1"/>
  <c r="K35" i="1"/>
  <c r="AA40" i="1"/>
  <c r="P32" i="1"/>
  <c r="Q43" i="1"/>
  <c r="AA123" i="1"/>
  <c r="O38" i="1"/>
  <c r="AA126" i="1"/>
  <c r="AA83" i="1"/>
  <c r="E80" i="1"/>
  <c r="AA127" i="1"/>
  <c r="AA41" i="1"/>
  <c r="M37" i="1"/>
  <c r="AE42" i="1" l="1"/>
  <c r="AE37" i="1"/>
  <c r="AC80" i="1"/>
  <c r="AD38" i="1"/>
  <c r="AC126" i="1"/>
  <c r="AD32" i="1"/>
  <c r="AC42" i="1"/>
  <c r="AC39" i="1"/>
  <c r="AD127" i="1"/>
  <c r="W71" i="94"/>
  <c r="AG71" i="94"/>
  <c r="M71" i="94"/>
  <c r="H71" i="94"/>
  <c r="AB71" i="94"/>
  <c r="BI57" i="94"/>
  <c r="AN57" i="94"/>
  <c r="AK57" i="94"/>
  <c r="AL57" i="94"/>
  <c r="AX57" i="94"/>
  <c r="AU57" i="94"/>
  <c r="BF57" i="94"/>
  <c r="BE57" i="94"/>
  <c r="BA57" i="94"/>
  <c r="AV57" i="94"/>
  <c r="AO57" i="94"/>
  <c r="AY57" i="94"/>
  <c r="BH57" i="94"/>
  <c r="AR57" i="94"/>
  <c r="BC57" i="94"/>
  <c r="BB57" i="94"/>
  <c r="AQ57" i="94"/>
  <c r="BG57" i="94"/>
  <c r="AM57" i="94"/>
  <c r="AP57" i="94"/>
  <c r="R71" i="94"/>
  <c r="AS57" i="94"/>
  <c r="EV49" i="94"/>
  <c r="AT57" i="94"/>
  <c r="AW57" i="94"/>
  <c r="BD57" i="94"/>
  <c r="AZ57" i="94"/>
  <c r="H72" i="94" l="1"/>
  <c r="I72" i="94" l="1"/>
  <c r="J72" i="94" l="1"/>
  <c r="K72" i="94" l="1"/>
  <c r="L72" i="94" l="1"/>
  <c r="M72" i="94" l="1"/>
  <c r="N72" i="94" l="1"/>
  <c r="O72" i="94" l="1"/>
  <c r="P72" i="94" l="1"/>
  <c r="Q72" i="94" l="1"/>
  <c r="R72" i="94" l="1"/>
  <c r="S72" i="94" l="1"/>
  <c r="T72" i="94" l="1"/>
  <c r="U72" i="94" l="1"/>
  <c r="V72" i="94" l="1"/>
  <c r="W72" i="94" l="1"/>
  <c r="X72" i="94" l="1"/>
  <c r="Y72" i="94" l="1"/>
  <c r="Z72" i="94" l="1"/>
  <c r="AA72" i="94" l="1"/>
  <c r="AB72" i="94" l="1"/>
  <c r="AC72" i="94" l="1"/>
  <c r="AD72" i="94" l="1"/>
  <c r="AE72" i="94" l="1"/>
  <c r="AG72" i="94" l="1"/>
  <c r="AF72" i="94"/>
  <c r="EP114" i="94" l="1"/>
  <c r="EQ114" i="94" s="1"/>
  <c r="ES90" i="94" l="1"/>
  <c r="EP86" i="94"/>
  <c r="EQ86" i="94" s="1"/>
  <c r="EP102" i="94"/>
  <c r="EQ102" i="94" s="1"/>
  <c r="ES116" i="94"/>
  <c r="ES89" i="94"/>
  <c r="EP89" i="94"/>
  <c r="EQ89" i="94" s="1"/>
  <c r="ES102" i="94"/>
  <c r="EP101" i="94"/>
  <c r="EQ101" i="94" s="1"/>
  <c r="EP80" i="94"/>
  <c r="EQ80" i="94" s="1"/>
  <c r="EP90" i="94"/>
  <c r="EQ90" i="94" s="1"/>
  <c r="ES86" i="94"/>
  <c r="ES101" i="94"/>
  <c r="ES110" i="94"/>
  <c r="ES129" i="94"/>
  <c r="ES91" i="94"/>
  <c r="ES107" i="94"/>
  <c r="ES99" i="94"/>
  <c r="EP99" i="94"/>
  <c r="EQ99" i="94" s="1"/>
  <c r="EP92" i="94"/>
  <c r="EQ92" i="94" s="1"/>
  <c r="EP107" i="94"/>
  <c r="EQ107" i="94" s="1"/>
  <c r="ES87" i="94"/>
  <c r="EP87" i="94"/>
  <c r="EQ87" i="94" s="1"/>
  <c r="ES92" i="94"/>
  <c r="EP91" i="94"/>
  <c r="EQ91" i="94" s="1"/>
  <c r="ES83" i="94"/>
  <c r="ES97" i="94" l="1"/>
  <c r="ES96" i="94"/>
  <c r="EP103" i="94"/>
  <c r="EQ103" i="94" s="1"/>
  <c r="ES104" i="94"/>
  <c r="ES85" i="94"/>
  <c r="EP100" i="94"/>
  <c r="EQ100" i="94" s="1"/>
  <c r="EP98" i="94"/>
  <c r="EQ98" i="94" s="1"/>
  <c r="ES98" i="94"/>
  <c r="ES84" i="94"/>
  <c r="ES95" i="94"/>
  <c r="ES105" i="94"/>
  <c r="ES88" i="94"/>
  <c r="EP109" i="94"/>
  <c r="EQ109" i="94" s="1"/>
  <c r="EP97" i="94"/>
  <c r="EQ97" i="94" s="1"/>
  <c r="EP110" i="94"/>
  <c r="EQ110" i="94" s="1"/>
  <c r="ES108" i="94"/>
  <c r="ES109" i="94"/>
  <c r="ES100" i="94"/>
  <c r="EP88" i="94"/>
  <c r="EQ88" i="94" s="1"/>
  <c r="ES94" i="94"/>
  <c r="ES79" i="94"/>
  <c r="ES115" i="94"/>
  <c r="EP85" i="94"/>
  <c r="EQ85" i="94" s="1"/>
  <c r="EP105" i="94"/>
  <c r="EQ105" i="94" s="1"/>
  <c r="EP104" i="94"/>
  <c r="EQ104" i="94" s="1"/>
  <c r="EP106" i="94"/>
  <c r="EQ106" i="94" s="1"/>
  <c r="ES106" i="94"/>
  <c r="EP108" i="94"/>
  <c r="EQ108" i="94" s="1"/>
  <c r="ES80" i="94"/>
  <c r="ES103" i="94"/>
  <c r="ES93" i="94"/>
  <c r="EP79" i="94"/>
  <c r="EQ79" i="94" s="1"/>
  <c r="EP93" i="94"/>
  <c r="EQ93" i="94" s="1"/>
  <c r="ES125" i="94"/>
  <c r="ES82" i="94"/>
  <c r="ES81" i="94"/>
  <c r="EP78" i="94" l="1"/>
  <c r="EQ78" i="94" s="1"/>
  <c r="ES78" i="9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<sst xmlns="http://schemas.openxmlformats.org/spreadsheetml/2006/main" count="541" uniqueCount="119">
  <si>
    <t>Coal</t>
  </si>
  <si>
    <t>Gas Other</t>
  </si>
  <si>
    <t>Gas CCGT</t>
  </si>
  <si>
    <t>Gas CT</t>
  </si>
  <si>
    <t>Nuclear</t>
  </si>
  <si>
    <t>Biogas</t>
  </si>
  <si>
    <t>Hydro</t>
  </si>
  <si>
    <t>Wind</t>
  </si>
  <si>
    <t>Solar</t>
  </si>
  <si>
    <t>4-hr Battery</t>
  </si>
  <si>
    <t>8-hr Battery</t>
  </si>
  <si>
    <t>100-hr Battery</t>
  </si>
  <si>
    <t>Capacity Purchase</t>
  </si>
  <si>
    <t>=SUMIFS(Resources[Summer Rating],Resources[Type],$AF43,Resources[Availability],"2 - Planned",Resources[COD],"&lt;="&amp;AG$42)</t>
  </si>
  <si>
    <t>=SUMIFS(INDEX($AG$60:$BF$116,,MATCH(E$42,$AG$59:$BF$59,0)),$C$60:$C$116,$AF43)</t>
  </si>
  <si>
    <t>=AG43+IFERROR(SUMIFS(INDEX($AG$60:$BF$116,,MATCH(F$42,$AG$59:$BF$59,0)),$C$60:$C$116,$AF43),0)</t>
  </si>
  <si>
    <t>New Investment</t>
  </si>
  <si>
    <t>Fixed O&amp;M</t>
  </si>
  <si>
    <t>cVar</t>
  </si>
  <si>
    <t>Variable O&amp;M</t>
  </si>
  <si>
    <t>cFuel</t>
  </si>
  <si>
    <t>Fuel</t>
  </si>
  <si>
    <t>Average $/MWh</t>
  </si>
  <si>
    <t>NPV</t>
  </si>
  <si>
    <t>ELCC Estimate</t>
  </si>
  <si>
    <t>Total</t>
  </si>
  <si>
    <t>Raw CSVs</t>
  </si>
  <si>
    <t>Total Operational Capacity (MW)</t>
  </si>
  <si>
    <t>New Capacity (MW)</t>
  </si>
  <si>
    <t>Generation (TWh)</t>
  </si>
  <si>
    <t>Emissions (MMT)</t>
  </si>
  <si>
    <t>Capacity Factors (%)</t>
  </si>
  <si>
    <t>Costs ($MM)</t>
  </si>
  <si>
    <t>Group</t>
  </si>
  <si>
    <t>Resource</t>
  </si>
  <si>
    <t>Fixed O&amp;M Cost</t>
  </si>
  <si>
    <t>Costs</t>
  </si>
  <si>
    <t>Big Rivers Green 1-2:0</t>
  </si>
  <si>
    <t>cFix</t>
  </si>
  <si>
    <t>Big Rivers Reid:0</t>
  </si>
  <si>
    <t>Big Rivers Wilson:0</t>
  </si>
  <si>
    <t>CCGT - Planned:0</t>
  </si>
  <si>
    <t>cNSE</t>
  </si>
  <si>
    <t>CT - Planned:0</t>
  </si>
  <si>
    <t>cStart</t>
  </si>
  <si>
    <t>Duke East Bend CC:0</t>
  </si>
  <si>
    <t>cUnmetRsv</t>
  </si>
  <si>
    <t>Duke East Bend:0</t>
  </si>
  <si>
    <t>cNetworkExp</t>
  </si>
  <si>
    <t>Duke Woodsdale 1-6:0</t>
  </si>
  <si>
    <t>cUnmetPolicyPenalty</t>
  </si>
  <si>
    <t>EKPC Bluegrass 1-3:0</t>
  </si>
  <si>
    <t>cCO2</t>
  </si>
  <si>
    <t>EKPC Cooper 1-2 - Gas:0</t>
  </si>
  <si>
    <t>EKPC Cooper 1-2:0</t>
  </si>
  <si>
    <t>EKPC Smith 1-10:0</t>
  </si>
  <si>
    <t>EKPC Smith 1-10:1</t>
  </si>
  <si>
    <t>EKPC Spurlock - Gas:0</t>
  </si>
  <si>
    <t>EKPC Spurlock - Gas:1</t>
  </si>
  <si>
    <t>EKPC Spurlock:0</t>
  </si>
  <si>
    <t>EKPC Spurlock:1</t>
  </si>
  <si>
    <t>EKPC Spurlock:3</t>
  </si>
  <si>
    <t>Hydro - Existing:0</t>
  </si>
  <si>
    <t>KPCO Big Sandy:0</t>
  </si>
  <si>
    <t>KPCO Mitchell 1-2:0</t>
  </si>
  <si>
    <t>LGE Brown 12:0</t>
  </si>
  <si>
    <t>LGE Brown 3:0</t>
  </si>
  <si>
    <t>LGE Brown 5-11:0</t>
  </si>
  <si>
    <t>LGE Brown 5-11:1</t>
  </si>
  <si>
    <t>LGE Cane Run 7:0</t>
  </si>
  <si>
    <t>LGE Ghent 1-4:0</t>
  </si>
  <si>
    <t>LGE Haefling 1-2:0</t>
  </si>
  <si>
    <t>LGE Mill Creek 1-4:0</t>
  </si>
  <si>
    <t>LGE Mill Creek 5:0</t>
  </si>
  <si>
    <t>LGE Paddys Run 12-13:0</t>
  </si>
  <si>
    <t>LGE Trimble 1-2:0</t>
  </si>
  <si>
    <t>LGE Trimble County 5-10:0</t>
  </si>
  <si>
    <t>Nuclear - Planned:0</t>
  </si>
  <si>
    <t>CCGT - New Generic</t>
  </si>
  <si>
    <t>CT - New Generic</t>
  </si>
  <si>
    <t>Firm Capacity Purchase</t>
  </si>
  <si>
    <t>Solar:0</t>
  </si>
  <si>
    <t>Wind:0</t>
  </si>
  <si>
    <t>Wind - New Generic:0</t>
  </si>
  <si>
    <t>Wind - New Generic:1</t>
  </si>
  <si>
    <t>Wind - New Generic:2</t>
  </si>
  <si>
    <t>Wind - New Generic:3</t>
  </si>
  <si>
    <t>Solar - New Generic:0</t>
  </si>
  <si>
    <t>Solar - New Generic:1</t>
  </si>
  <si>
    <t>Solar - New Generic:2</t>
  </si>
  <si>
    <t>Solar - New Generic:3</t>
  </si>
  <si>
    <t>Battery - Planned:0</t>
  </si>
  <si>
    <t>4-hr Battery - New Generic</t>
  </si>
  <si>
    <t>8-hr Battery - New Generic</t>
  </si>
  <si>
    <t>100-hr Storage - New Generic</t>
  </si>
  <si>
    <t>EKPC Biogas - Existing:0</t>
  </si>
  <si>
    <t>2025 Generation by Fuel</t>
  </si>
  <si>
    <t>Gas*</t>
  </si>
  <si>
    <t>Totals</t>
  </si>
  <si>
    <t>Big Rivers*</t>
  </si>
  <si>
    <t>Investment Cost ($/MW-year)</t>
  </si>
  <si>
    <t>Duke*</t>
  </si>
  <si>
    <t>EKPC*</t>
  </si>
  <si>
    <t>KPCO*</t>
  </si>
  <si>
    <t>LGE*</t>
  </si>
  <si>
    <t>*New*</t>
  </si>
  <si>
    <t>*Planned*</t>
  </si>
  <si>
    <t>=IFERROR(INDEX(MID(SheetNames,FIND("]",SheetNames)+1,255),ROWS(A$26:A27)),"")</t>
  </si>
  <si>
    <t>Achieved CES</t>
  </si>
  <si>
    <t>summaryTotalBuild</t>
  </si>
  <si>
    <t>Fossil Generation</t>
  </si>
  <si>
    <t>CES</t>
  </si>
  <si>
    <t>KRC-phasedown-26Years-24Days-Plan-NoRetire-NoBuild-Fuels-ITCPTC-NoPRM-MinCF-1</t>
  </si>
  <si>
    <t>Peak</t>
  </si>
  <si>
    <t>IRP Plan</t>
  </si>
  <si>
    <t>Annual $ New Investment</t>
  </si>
  <si>
    <t>Fossil</t>
  </si>
  <si>
    <t>Storage</t>
  </si>
  <si>
    <t>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</si>
</sst>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%"/>
    <numFmt numFmtId="167" formatCode="_(* #,##0.0_);_(* \(#,##0.0\);_(* &quot;-&quot;??_);_(@_)"/>
    <numFmt numFmtId="168" formatCode="_(&quot;$&quot;* #,##0_);_(&quot;$&quot;* \(#,##0\);_(&quot;$&quot;* &quot;-&quot;??_);_(@_)"/>
  </numFmts>
  <fonts count="12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3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</borders>
  <cellStyleXfs count="10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0" borderId="2" applyNumberFormat="0" applyFill="0" applyAlignment="0" applyProtection="0"/>
    <xf numFmtId="43" fontId="4" fillId="0" borderId="0" applyFont="0" applyFill="0" applyBorder="0" applyAlignment="0" applyProtection="0"/>
    <xf numFmtId="0" fontId="6" fillId="0" borderId="3" applyNumberFormat="0" applyFill="0" applyAlignment="0" applyProtection="0"/>
    <xf numFmtId="9" fontId="4" fillId="0" borderId="0" applyFont="0" applyFill="0" applyBorder="0" applyAlignment="0" applyProtection="0"/>
  </cellStyleXfs>
  <cellXfs count="36">
    <xf numFmtId="0" fontId="0" fillId="0" borderId="0" xfId="0"/>
    <xf numFmtId="0" fontId="5" fillId="0" borderId="0" xfId="0" applyFont="1"/>
    <xf numFmtId="0" fontId="1" fillId="0" borderId="0" xfId="1"/>
    <xf numFmtId="0" fontId="1" fillId="0" borderId="0" xfId="1" quotePrefix="1"/>
    <xf numFmtId="0" fontId="7" fillId="3" borderId="4" xfId="1" applyFont="1" applyFill="1" applyBorder="1"/>
    <xf numFmtId="0" fontId="1" fillId="0" borderId="4" xfId="1" applyBorder="1"/>
    <xf numFmtId="164" fontId="0" fillId="0" borderId="4" xfId="2" applyNumberFormat="1" applyFont="1" applyBorder="1"/>
    <xf numFmtId="165" fontId="0" fillId="0" borderId="4" xfId="2" applyNumberFormat="1" applyFont="1" applyBorder="1"/>
    <xf numFmtId="9" fontId="0" fillId="0" borderId="4" xfId="3" applyFont="1" applyBorder="1"/>
    <xf numFmtId="164" fontId="1" fillId="0" borderId="0" xfId="1" applyNumberFormat="1"/>
    <xf numFmtId="44" fontId="0" fillId="0" borderId="0" xfId="4" applyFont="1"/>
    <xf numFmtId="8" fontId="1" fillId="0" borderId="0" xfId="1" applyNumberFormat="1"/>
    <xf numFmtId="166" fontId="0" fillId="0" borderId="0" xfId="3" applyNumberFormat="1" applyFont="1" applyFill="1" applyBorder="1"/>
    <xf numFmtId="164" fontId="2" fillId="2" borderId="1" xfId="5" applyNumberFormat="1"/>
    <xf numFmtId="0" fontId="1" fillId="0" borderId="5" xfId="1" applyBorder="1"/>
    <xf numFmtId="164" fontId="0" fillId="0" borderId="0" xfId="2" applyNumberFormat="1" applyFont="1"/>
    <xf numFmtId="0" fontId="3" fillId="0" borderId="2" xfId="6"/>
    <xf numFmtId="0" fontId="6" fillId="0" borderId="3" xfId="8"/>
    <xf numFmtId="0" fontId="8" fillId="0" borderId="0" xfId="1" applyFont="1"/>
    <xf numFmtId="0" fontId="2" fillId="2" borderId="1" xfId="5"/>
    <xf numFmtId="167" fontId="0" fillId="0" borderId="4" xfId="2" applyNumberFormat="1" applyFont="1" applyBorder="1"/>
    <xf numFmtId="43" fontId="9" fillId="0" borderId="4" xfId="2" applyFont="1" applyBorder="1"/>
    <xf numFmtId="43" fontId="0" fillId="0" borderId="4" xfId="2" applyFont="1" applyBorder="1"/>
    <xf numFmtId="166" fontId="0" fillId="0" borderId="4" xfId="3" applyNumberFormat="1" applyFont="1" applyBorder="1"/>
    <xf numFmtId="9" fontId="0" fillId="0" borderId="0" xfId="3" applyFont="1"/>
    <xf numFmtId="168" fontId="0" fillId="0" borderId="0" xfId="4" applyNumberFormat="1" applyFont="1"/>
    <xf numFmtId="43" fontId="0" fillId="0" borderId="0" xfId="2" applyFont="1"/>
    <xf numFmtId="43" fontId="1" fillId="0" borderId="0" xfId="1" applyNumberFormat="1"/>
    <xf numFmtId="164" fontId="8" fillId="0" borderId="4" xfId="2" applyNumberFormat="1" applyFont="1" applyBorder="1"/>
    <xf numFmtId="0" fontId="10" fillId="0" borderId="0" xfId="0" applyFont="1"/>
    <xf numFmtId="0" fontId="10" fillId="0" borderId="0" xfId="0" quotePrefix="1" applyFont="1"/>
    <xf numFmtId="9" fontId="10" fillId="0" borderId="0" xfId="9" applyFont="1"/>
    <xf numFmtId="164" fontId="10" fillId="0" borderId="0" xfId="7" applyNumberFormat="1" applyFont="1"/>
    <xf numFmtId="166" fontId="0" fillId="0" borderId="0" xfId="0" applyNumberFormat="1"/>
    <xf numFmtId="164" fontId="5" fillId="0" borderId="0" xfId="0" applyNumberFormat="1" applyFont="1"/>
    <xf numFmtId="165" fontId="1" fillId="0" borderId="0" xfId="1" applyNumberFormat="1"/>
  </cellXfs>
  <cellStyles count="10">
    <cellStyle name="Calculation 2" xfId="5" xr:uid="{D9DF9908-31DD-5B40-90FD-9326F5CC3EF2}"/>
    <cellStyle name="Comma" xfId="7" builtinId="3"/>
    <cellStyle name="Comma 2" xfId="2" xr:uid="{3CDC63EF-CA00-5549-A07B-D32E30091ADF}"/>
    <cellStyle name="Currency 2" xfId="4" xr:uid="{EB8C4308-6A7E-D94A-9395-63B5583192AA}"/>
    <cellStyle name="Heading 1 2" xfId="6" xr:uid="{D4E188D1-D37C-6440-A738-45827151F01E}"/>
    <cellStyle name="Heading 3" xfId="8" builtinId="18"/>
    <cellStyle name="Normal" xfId="0" builtinId="0"/>
    <cellStyle name="Normal 2" xfId="1" xr:uid="{8ABA1258-C0FC-014C-B650-C61B9BE597F6}"/>
    <cellStyle name="Percent" xfId="9" builtinId="5"/>
    <cellStyle name="Percent 2" xfId="3" xr:uid="{21D53371-3DF6-8F47-AA60-EDFDA9D19E9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Summary!$E$31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multiLvlStrRef>
              <c:f>Summary!$C$32:$D$129</c:f>
              <c:multiLvlStrCache>
                <c:ptCount val="98"/>
                <c:lvl>
                  <c:pt idx="0">
                    <c:v>2025</c:v>
                  </c:pt>
                  <c:pt idx="1">
                    <c:v>2030</c:v>
                  </c:pt>
                  <c:pt idx="2">
                    <c:v>2035</c:v>
                  </c:pt>
                  <c:pt idx="3">
                    <c:v>2040</c:v>
                  </c:pt>
                  <c:pt idx="4">
                    <c:v>2045</c:v>
                  </c:pt>
                  <c:pt idx="5">
                    <c:v>2050</c:v>
                  </c:pt>
                  <c:pt idx="6">
                    <c:v>2025</c:v>
                  </c:pt>
                  <c:pt idx="7">
                    <c:v>2030</c:v>
                  </c:pt>
                  <c:pt idx="8">
                    <c:v>2035</c:v>
                  </c:pt>
                  <c:pt idx="9">
                    <c:v>2040</c:v>
                  </c:pt>
                  <c:pt idx="10">
                    <c:v>2045</c:v>
                  </c:pt>
                  <c:pt idx="11">
                    <c:v>2050</c:v>
                  </c:pt>
                  <c:pt idx="12">
                    <c:v>2025</c:v>
                  </c:pt>
                  <c:pt idx="13">
                    <c:v>2030</c:v>
                  </c:pt>
                  <c:pt idx="14">
                    <c:v>2035</c:v>
                  </c:pt>
                  <c:pt idx="15">
                    <c:v>2040</c:v>
                  </c:pt>
                  <c:pt idx="16">
                    <c:v>2045</c:v>
                  </c:pt>
                  <c:pt idx="17">
                    <c:v>2050</c:v>
                  </c:pt>
                  <c:pt idx="18">
                    <c:v>2025</c:v>
                  </c:pt>
                  <c:pt idx="19">
                    <c:v>2030</c:v>
                  </c:pt>
                  <c:pt idx="20">
                    <c:v>2035</c:v>
                  </c:pt>
                  <c:pt idx="21">
                    <c:v>2040</c:v>
                  </c:pt>
                  <c:pt idx="22">
                    <c:v>2045</c:v>
                  </c:pt>
                  <c:pt idx="23">
                    <c:v>2050</c:v>
                  </c:pt>
                  <c:pt idx="24">
                    <c:v>2025</c:v>
                  </c:pt>
                  <c:pt idx="25">
                    <c:v>2030</c:v>
                  </c:pt>
                  <c:pt idx="26">
                    <c:v>2035</c:v>
                  </c:pt>
                  <c:pt idx="27">
                    <c:v>2040</c:v>
                  </c:pt>
                  <c:pt idx="28">
                    <c:v>2045</c:v>
                  </c:pt>
                  <c:pt idx="29">
                    <c:v>2050</c:v>
                  </c:pt>
                  <c:pt idx="30">
                    <c:v>2025</c:v>
                  </c:pt>
                  <c:pt idx="31">
                    <c:v>2030</c:v>
                  </c:pt>
                  <c:pt idx="32">
                    <c:v>2035</c:v>
                  </c:pt>
                  <c:pt idx="33">
                    <c:v>2040</c:v>
                  </c:pt>
                  <c:pt idx="34">
                    <c:v>2045</c:v>
                  </c:pt>
                  <c:pt idx="35">
                    <c:v>2050</c:v>
                  </c:pt>
                  <c:pt idx="36">
                    <c:v>2025</c:v>
                  </c:pt>
                  <c:pt idx="37">
                    <c:v>2030</c:v>
                  </c:pt>
                  <c:pt idx="38">
                    <c:v>2035</c:v>
                  </c:pt>
                  <c:pt idx="39">
                    <c:v>2040</c:v>
                  </c:pt>
                  <c:pt idx="40">
                    <c:v>2045</c:v>
                  </c:pt>
                  <c:pt idx="41">
                    <c:v>2050</c:v>
                  </c:pt>
                  <c:pt idx="42">
                    <c:v>2025</c:v>
                  </c:pt>
                  <c:pt idx="43">
                    <c:v>2030</c:v>
                  </c:pt>
                  <c:pt idx="44">
                    <c:v>2035</c:v>
                  </c:pt>
                  <c:pt idx="45">
                    <c:v>2040</c:v>
                  </c:pt>
                  <c:pt idx="46">
                    <c:v>2045</c:v>
                  </c:pt>
                  <c:pt idx="47">
                    <c:v>2050</c:v>
                  </c:pt>
                  <c:pt idx="48">
                    <c:v>2025</c:v>
                  </c:pt>
                  <c:pt idx="49">
                    <c:v>2030</c:v>
                  </c:pt>
                  <c:pt idx="50">
                    <c:v>2035</c:v>
                  </c:pt>
                  <c:pt idx="51">
                    <c:v>2040</c:v>
                  </c:pt>
                  <c:pt idx="52">
                    <c:v>2045</c:v>
                  </c:pt>
                  <c:pt idx="53">
                    <c:v>2050</c:v>
                  </c:pt>
                  <c:pt idx="54">
                    <c:v>2025</c:v>
                  </c:pt>
                  <c:pt idx="55">
                    <c:v>2030</c:v>
                  </c:pt>
                  <c:pt idx="56">
                    <c:v>2035</c:v>
                  </c:pt>
                  <c:pt idx="57">
                    <c:v>2040</c:v>
                  </c:pt>
                  <c:pt idx="58">
                    <c:v>2045</c:v>
                  </c:pt>
                  <c:pt idx="59">
                    <c:v>2050</c:v>
                  </c:pt>
                  <c:pt idx="60">
                    <c:v>2025</c:v>
                  </c:pt>
                  <c:pt idx="61">
                    <c:v>2030</c:v>
                  </c:pt>
                  <c:pt idx="62">
                    <c:v>2035</c:v>
                  </c:pt>
                  <c:pt idx="63">
                    <c:v>2040</c:v>
                  </c:pt>
                  <c:pt idx="64">
                    <c:v>2045</c:v>
                  </c:pt>
                  <c:pt idx="65">
                    <c:v>2050</c:v>
                  </c:pt>
                  <c:pt idx="66">
                    <c:v>2025</c:v>
                  </c:pt>
                  <c:pt idx="67">
                    <c:v>2030</c:v>
                  </c:pt>
                  <c:pt idx="68">
                    <c:v>2035</c:v>
                  </c:pt>
                  <c:pt idx="69">
                    <c:v>2040</c:v>
                  </c:pt>
                  <c:pt idx="70">
                    <c:v>2045</c:v>
                  </c:pt>
                  <c:pt idx="71">
                    <c:v>2050</c:v>
                  </c:pt>
                  <c:pt idx="72">
                    <c:v>2025</c:v>
                  </c:pt>
                  <c:pt idx="73">
                    <c:v>2030</c:v>
                  </c:pt>
                  <c:pt idx="74">
                    <c:v>2035</c:v>
                  </c:pt>
                  <c:pt idx="75">
                    <c:v>2040</c:v>
                  </c:pt>
                  <c:pt idx="76">
                    <c:v>2045</c:v>
                  </c:pt>
                  <c:pt idx="77">
                    <c:v>2050</c:v>
                  </c:pt>
                  <c:pt idx="78">
                    <c:v>2025</c:v>
                  </c:pt>
                  <c:pt idx="79">
                    <c:v>2030</c:v>
                  </c:pt>
                  <c:pt idx="80">
                    <c:v>2035</c:v>
                  </c:pt>
                  <c:pt idx="81">
                    <c:v>2040</c:v>
                  </c:pt>
                  <c:pt idx="82">
                    <c:v>2045</c:v>
                  </c:pt>
                  <c:pt idx="83">
                    <c:v>2050</c:v>
                  </c:pt>
                  <c:pt idx="84">
                    <c:v>2025</c:v>
                  </c:pt>
                  <c:pt idx="85">
                    <c:v>2030</c:v>
                  </c:pt>
                  <c:pt idx="86">
                    <c:v>2035</c:v>
                  </c:pt>
                  <c:pt idx="87">
                    <c:v>2040</c:v>
                  </c:pt>
                  <c:pt idx="88">
                    <c:v>2045</c:v>
                  </c:pt>
                  <c:pt idx="89">
                    <c:v>2050</c:v>
                  </c:pt>
                  <c:pt idx="90">
                    <c:v>2025</c:v>
                  </c:pt>
                  <c:pt idx="91">
                    <c:v>2030</c:v>
                  </c:pt>
                  <c:pt idx="92">
                    <c:v>2035</c:v>
                  </c:pt>
                  <c:pt idx="93">
                    <c:v>2040</c:v>
                  </c:pt>
                  <c:pt idx="94">
                    <c:v>2045</c:v>
                  </c:pt>
                  <c:pt idx="95">
                    <c:v>2050</c:v>
                  </c:pt>
                  <c:pt idx="96">
                    <c:v>2025</c:v>
                  </c:pt>
                  <c:pt idx="97">
                    <c:v>2030</c:v>
                  </c:pt>
                </c:lvl>
                <c:lvl>
                  <c:pt idx="6">
                    <c:v>#REF!</c:v>
                  </c:pt>
                  <c:pt idx="12">
                    <c:v>0</c:v>
                  </c:pt>
                </c:lvl>
              </c:multiLvlStrCache>
            </c:multiLvlStrRef>
          </c:cat>
          <c:val>
            <c:numRef>
              <c:f>Summary!$E$32:$E$129</c:f>
              <c:numCache>
                <c:formatCode>_(* #,##0_);_(* \(#,##0\);_(* "-"??_);_(@_)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7899</c:v>
                </c:pt>
                <c:pt idx="7">
                  <c:v>4803</c:v>
                </c:pt>
                <c:pt idx="8">
                  <c:v>4803</c:v>
                </c:pt>
                <c:pt idx="9">
                  <c:v>3523</c:v>
                </c:pt>
                <c:pt idx="10">
                  <c:v>3523</c:v>
                </c:pt>
                <c:pt idx="11">
                  <c:v>3523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0-FD44-BB1C-340D3F586E26}"/>
            </c:ext>
          </c:extLst>
        </c:ser>
        <c:ser>
          <c:idx val="3"/>
          <c:order val="1"/>
          <c:tx>
            <c:strRef>
              <c:f>Summary!$F$31</c:f>
              <c:strCache>
                <c:ptCount val="1"/>
                <c:pt idx="0">
                  <c:v>Gas Other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Summary!$C$32:$D$129</c:f>
              <c:multiLvlStrCache>
                <c:ptCount val="98"/>
                <c:lvl>
                  <c:pt idx="0">
                    <c:v>2025</c:v>
                  </c:pt>
                  <c:pt idx="1">
                    <c:v>2030</c:v>
                  </c:pt>
                  <c:pt idx="2">
                    <c:v>2035</c:v>
                  </c:pt>
                  <c:pt idx="3">
                    <c:v>2040</c:v>
                  </c:pt>
                  <c:pt idx="4">
                    <c:v>2045</c:v>
                  </c:pt>
                  <c:pt idx="5">
                    <c:v>2050</c:v>
                  </c:pt>
                  <c:pt idx="6">
                    <c:v>2025</c:v>
                  </c:pt>
                  <c:pt idx="7">
                    <c:v>2030</c:v>
                  </c:pt>
                  <c:pt idx="8">
                    <c:v>2035</c:v>
                  </c:pt>
                  <c:pt idx="9">
                    <c:v>2040</c:v>
                  </c:pt>
                  <c:pt idx="10">
                    <c:v>2045</c:v>
                  </c:pt>
                  <c:pt idx="11">
                    <c:v>2050</c:v>
                  </c:pt>
                  <c:pt idx="12">
                    <c:v>2025</c:v>
                  </c:pt>
                  <c:pt idx="13">
                    <c:v>2030</c:v>
                  </c:pt>
                  <c:pt idx="14">
                    <c:v>2035</c:v>
                  </c:pt>
                  <c:pt idx="15">
                    <c:v>2040</c:v>
                  </c:pt>
                  <c:pt idx="16">
                    <c:v>2045</c:v>
                  </c:pt>
                  <c:pt idx="17">
                    <c:v>2050</c:v>
                  </c:pt>
                  <c:pt idx="18">
                    <c:v>2025</c:v>
                  </c:pt>
                  <c:pt idx="19">
                    <c:v>2030</c:v>
                  </c:pt>
                  <c:pt idx="20">
                    <c:v>2035</c:v>
                  </c:pt>
                  <c:pt idx="21">
                    <c:v>2040</c:v>
                  </c:pt>
                  <c:pt idx="22">
                    <c:v>2045</c:v>
                  </c:pt>
                  <c:pt idx="23">
                    <c:v>2050</c:v>
                  </c:pt>
                  <c:pt idx="24">
                    <c:v>2025</c:v>
                  </c:pt>
                  <c:pt idx="25">
                    <c:v>2030</c:v>
                  </c:pt>
                  <c:pt idx="26">
                    <c:v>2035</c:v>
                  </c:pt>
                  <c:pt idx="27">
                    <c:v>2040</c:v>
                  </c:pt>
                  <c:pt idx="28">
                    <c:v>2045</c:v>
                  </c:pt>
                  <c:pt idx="29">
                    <c:v>2050</c:v>
                  </c:pt>
                  <c:pt idx="30">
                    <c:v>2025</c:v>
                  </c:pt>
                  <c:pt idx="31">
                    <c:v>2030</c:v>
                  </c:pt>
                  <c:pt idx="32">
                    <c:v>2035</c:v>
                  </c:pt>
                  <c:pt idx="33">
                    <c:v>2040</c:v>
                  </c:pt>
                  <c:pt idx="34">
                    <c:v>2045</c:v>
                  </c:pt>
                  <c:pt idx="35">
                    <c:v>2050</c:v>
                  </c:pt>
                  <c:pt idx="36">
                    <c:v>2025</c:v>
                  </c:pt>
                  <c:pt idx="37">
                    <c:v>2030</c:v>
                  </c:pt>
                  <c:pt idx="38">
                    <c:v>2035</c:v>
                  </c:pt>
                  <c:pt idx="39">
                    <c:v>2040</c:v>
                  </c:pt>
                  <c:pt idx="40">
                    <c:v>2045</c:v>
                  </c:pt>
                  <c:pt idx="41">
                    <c:v>2050</c:v>
                  </c:pt>
                  <c:pt idx="42">
                    <c:v>2025</c:v>
                  </c:pt>
                  <c:pt idx="43">
                    <c:v>2030</c:v>
                  </c:pt>
                  <c:pt idx="44">
                    <c:v>2035</c:v>
                  </c:pt>
                  <c:pt idx="45">
                    <c:v>2040</c:v>
                  </c:pt>
                  <c:pt idx="46">
                    <c:v>2045</c:v>
                  </c:pt>
                  <c:pt idx="47">
                    <c:v>2050</c:v>
                  </c:pt>
                  <c:pt idx="48">
                    <c:v>2025</c:v>
                  </c:pt>
                  <c:pt idx="49">
                    <c:v>2030</c:v>
                  </c:pt>
                  <c:pt idx="50">
                    <c:v>2035</c:v>
                  </c:pt>
                  <c:pt idx="51">
                    <c:v>2040</c:v>
                  </c:pt>
                  <c:pt idx="52">
                    <c:v>2045</c:v>
                  </c:pt>
                  <c:pt idx="53">
                    <c:v>2050</c:v>
                  </c:pt>
                  <c:pt idx="54">
                    <c:v>2025</c:v>
                  </c:pt>
                  <c:pt idx="55">
                    <c:v>2030</c:v>
                  </c:pt>
                  <c:pt idx="56">
                    <c:v>2035</c:v>
                  </c:pt>
                  <c:pt idx="57">
                    <c:v>2040</c:v>
                  </c:pt>
                  <c:pt idx="58">
                    <c:v>2045</c:v>
                  </c:pt>
                  <c:pt idx="59">
                    <c:v>2050</c:v>
                  </c:pt>
                  <c:pt idx="60">
                    <c:v>2025</c:v>
                  </c:pt>
                  <c:pt idx="61">
                    <c:v>2030</c:v>
                  </c:pt>
                  <c:pt idx="62">
                    <c:v>2035</c:v>
                  </c:pt>
                  <c:pt idx="63">
                    <c:v>2040</c:v>
                  </c:pt>
                  <c:pt idx="64">
                    <c:v>2045</c:v>
                  </c:pt>
                  <c:pt idx="65">
                    <c:v>2050</c:v>
                  </c:pt>
                  <c:pt idx="66">
                    <c:v>2025</c:v>
                  </c:pt>
                  <c:pt idx="67">
                    <c:v>2030</c:v>
                  </c:pt>
                  <c:pt idx="68">
                    <c:v>2035</c:v>
                  </c:pt>
                  <c:pt idx="69">
                    <c:v>2040</c:v>
                  </c:pt>
                  <c:pt idx="70">
                    <c:v>2045</c:v>
                  </c:pt>
                  <c:pt idx="71">
                    <c:v>2050</c:v>
                  </c:pt>
                  <c:pt idx="72">
                    <c:v>2025</c:v>
                  </c:pt>
                  <c:pt idx="73">
                    <c:v>2030</c:v>
                  </c:pt>
                  <c:pt idx="74">
                    <c:v>2035</c:v>
                  </c:pt>
                  <c:pt idx="75">
                    <c:v>2040</c:v>
                  </c:pt>
                  <c:pt idx="76">
                    <c:v>2045</c:v>
                  </c:pt>
                  <c:pt idx="77">
                    <c:v>2050</c:v>
                  </c:pt>
                  <c:pt idx="78">
                    <c:v>2025</c:v>
                  </c:pt>
                  <c:pt idx="79">
                    <c:v>2030</c:v>
                  </c:pt>
                  <c:pt idx="80">
                    <c:v>2035</c:v>
                  </c:pt>
                  <c:pt idx="81">
                    <c:v>2040</c:v>
                  </c:pt>
                  <c:pt idx="82">
                    <c:v>2045</c:v>
                  </c:pt>
                  <c:pt idx="83">
                    <c:v>2050</c:v>
                  </c:pt>
                  <c:pt idx="84">
                    <c:v>2025</c:v>
                  </c:pt>
                  <c:pt idx="85">
                    <c:v>2030</c:v>
                  </c:pt>
                  <c:pt idx="86">
                    <c:v>2035</c:v>
                  </c:pt>
                  <c:pt idx="87">
                    <c:v>2040</c:v>
                  </c:pt>
                  <c:pt idx="88">
                    <c:v>2045</c:v>
                  </c:pt>
                  <c:pt idx="89">
                    <c:v>2050</c:v>
                  </c:pt>
                  <c:pt idx="90">
                    <c:v>2025</c:v>
                  </c:pt>
                  <c:pt idx="91">
                    <c:v>2030</c:v>
                  </c:pt>
                  <c:pt idx="92">
                    <c:v>2035</c:v>
                  </c:pt>
                  <c:pt idx="93">
                    <c:v>2040</c:v>
                  </c:pt>
                  <c:pt idx="94">
                    <c:v>2045</c:v>
                  </c:pt>
                  <c:pt idx="95">
                    <c:v>2050</c:v>
                  </c:pt>
                  <c:pt idx="96">
                    <c:v>2025</c:v>
                  </c:pt>
                  <c:pt idx="97">
                    <c:v>2030</c:v>
                  </c:pt>
                </c:lvl>
                <c:lvl>
                  <c:pt idx="6">
                    <c:v>#REF!</c:v>
                  </c:pt>
                  <c:pt idx="12">
                    <c:v>0</c:v>
                  </c:pt>
                </c:lvl>
              </c:multiLvlStrCache>
            </c:multiLvlStrRef>
          </c:cat>
          <c:val>
            <c:numRef>
              <c:f>Summary!$F$32:$F$129</c:f>
              <c:numCache>
                <c:formatCode>_(* #,##0_);_(* \(#,##0\);_(* "-"??_);_(@_)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749</c:v>
                </c:pt>
                <c:pt idx="7">
                  <c:v>2768</c:v>
                </c:pt>
                <c:pt idx="8">
                  <c:v>2768</c:v>
                </c:pt>
                <c:pt idx="9">
                  <c:v>3432</c:v>
                </c:pt>
                <c:pt idx="10">
                  <c:v>3137</c:v>
                </c:pt>
                <c:pt idx="11">
                  <c:v>3137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20-FD44-BB1C-340D3F586E26}"/>
            </c:ext>
          </c:extLst>
        </c:ser>
        <c:ser>
          <c:idx val="4"/>
          <c:order val="2"/>
          <c:tx>
            <c:strRef>
              <c:f>Summary!$G$31</c:f>
              <c:strCache>
                <c:ptCount val="1"/>
                <c:pt idx="0">
                  <c:v>Gas CCGT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multiLvlStrRef>
              <c:f>Summary!$C$32:$D$129</c:f>
              <c:multiLvlStrCache>
                <c:ptCount val="98"/>
                <c:lvl>
                  <c:pt idx="0">
                    <c:v>2025</c:v>
                  </c:pt>
                  <c:pt idx="1">
                    <c:v>2030</c:v>
                  </c:pt>
                  <c:pt idx="2">
                    <c:v>2035</c:v>
                  </c:pt>
                  <c:pt idx="3">
                    <c:v>2040</c:v>
                  </c:pt>
                  <c:pt idx="4">
                    <c:v>2045</c:v>
                  </c:pt>
                  <c:pt idx="5">
                    <c:v>2050</c:v>
                  </c:pt>
                  <c:pt idx="6">
                    <c:v>2025</c:v>
                  </c:pt>
                  <c:pt idx="7">
                    <c:v>2030</c:v>
                  </c:pt>
                  <c:pt idx="8">
                    <c:v>2035</c:v>
                  </c:pt>
                  <c:pt idx="9">
                    <c:v>2040</c:v>
                  </c:pt>
                  <c:pt idx="10">
                    <c:v>2045</c:v>
                  </c:pt>
                  <c:pt idx="11">
                    <c:v>2050</c:v>
                  </c:pt>
                  <c:pt idx="12">
                    <c:v>2025</c:v>
                  </c:pt>
                  <c:pt idx="13">
                    <c:v>2030</c:v>
                  </c:pt>
                  <c:pt idx="14">
                    <c:v>2035</c:v>
                  </c:pt>
                  <c:pt idx="15">
                    <c:v>2040</c:v>
                  </c:pt>
                  <c:pt idx="16">
                    <c:v>2045</c:v>
                  </c:pt>
                  <c:pt idx="17">
                    <c:v>2050</c:v>
                  </c:pt>
                  <c:pt idx="18">
                    <c:v>2025</c:v>
                  </c:pt>
                  <c:pt idx="19">
                    <c:v>2030</c:v>
                  </c:pt>
                  <c:pt idx="20">
                    <c:v>2035</c:v>
                  </c:pt>
                  <c:pt idx="21">
                    <c:v>2040</c:v>
                  </c:pt>
                  <c:pt idx="22">
                    <c:v>2045</c:v>
                  </c:pt>
                  <c:pt idx="23">
                    <c:v>2050</c:v>
                  </c:pt>
                  <c:pt idx="24">
                    <c:v>2025</c:v>
                  </c:pt>
                  <c:pt idx="25">
                    <c:v>2030</c:v>
                  </c:pt>
                  <c:pt idx="26">
                    <c:v>2035</c:v>
                  </c:pt>
                  <c:pt idx="27">
                    <c:v>2040</c:v>
                  </c:pt>
                  <c:pt idx="28">
                    <c:v>2045</c:v>
                  </c:pt>
                  <c:pt idx="29">
                    <c:v>2050</c:v>
                  </c:pt>
                  <c:pt idx="30">
                    <c:v>2025</c:v>
                  </c:pt>
                  <c:pt idx="31">
                    <c:v>2030</c:v>
                  </c:pt>
                  <c:pt idx="32">
                    <c:v>2035</c:v>
                  </c:pt>
                  <c:pt idx="33">
                    <c:v>2040</c:v>
                  </c:pt>
                  <c:pt idx="34">
                    <c:v>2045</c:v>
                  </c:pt>
                  <c:pt idx="35">
                    <c:v>2050</c:v>
                  </c:pt>
                  <c:pt idx="36">
                    <c:v>2025</c:v>
                  </c:pt>
                  <c:pt idx="37">
                    <c:v>2030</c:v>
                  </c:pt>
                  <c:pt idx="38">
                    <c:v>2035</c:v>
                  </c:pt>
                  <c:pt idx="39">
                    <c:v>2040</c:v>
                  </c:pt>
                  <c:pt idx="40">
                    <c:v>2045</c:v>
                  </c:pt>
                  <c:pt idx="41">
                    <c:v>2050</c:v>
                  </c:pt>
                  <c:pt idx="42">
                    <c:v>2025</c:v>
                  </c:pt>
                  <c:pt idx="43">
                    <c:v>2030</c:v>
                  </c:pt>
                  <c:pt idx="44">
                    <c:v>2035</c:v>
                  </c:pt>
                  <c:pt idx="45">
                    <c:v>2040</c:v>
                  </c:pt>
                  <c:pt idx="46">
                    <c:v>2045</c:v>
                  </c:pt>
                  <c:pt idx="47">
                    <c:v>2050</c:v>
                  </c:pt>
                  <c:pt idx="48">
                    <c:v>2025</c:v>
                  </c:pt>
                  <c:pt idx="49">
                    <c:v>2030</c:v>
                  </c:pt>
                  <c:pt idx="50">
                    <c:v>2035</c:v>
                  </c:pt>
                  <c:pt idx="51">
                    <c:v>2040</c:v>
                  </c:pt>
                  <c:pt idx="52">
                    <c:v>2045</c:v>
                  </c:pt>
                  <c:pt idx="53">
                    <c:v>2050</c:v>
                  </c:pt>
                  <c:pt idx="54">
                    <c:v>2025</c:v>
                  </c:pt>
                  <c:pt idx="55">
                    <c:v>2030</c:v>
                  </c:pt>
                  <c:pt idx="56">
                    <c:v>2035</c:v>
                  </c:pt>
                  <c:pt idx="57">
                    <c:v>2040</c:v>
                  </c:pt>
                  <c:pt idx="58">
                    <c:v>2045</c:v>
                  </c:pt>
                  <c:pt idx="59">
                    <c:v>2050</c:v>
                  </c:pt>
                  <c:pt idx="60">
                    <c:v>2025</c:v>
                  </c:pt>
                  <c:pt idx="61">
                    <c:v>2030</c:v>
                  </c:pt>
                  <c:pt idx="62">
                    <c:v>2035</c:v>
                  </c:pt>
                  <c:pt idx="63">
                    <c:v>2040</c:v>
                  </c:pt>
                  <c:pt idx="64">
                    <c:v>2045</c:v>
                  </c:pt>
                  <c:pt idx="65">
                    <c:v>2050</c:v>
                  </c:pt>
                  <c:pt idx="66">
                    <c:v>2025</c:v>
                  </c:pt>
                  <c:pt idx="67">
                    <c:v>2030</c:v>
                  </c:pt>
                  <c:pt idx="68">
                    <c:v>2035</c:v>
                  </c:pt>
                  <c:pt idx="69">
                    <c:v>2040</c:v>
                  </c:pt>
                  <c:pt idx="70">
                    <c:v>2045</c:v>
                  </c:pt>
                  <c:pt idx="71">
                    <c:v>2050</c:v>
                  </c:pt>
                  <c:pt idx="72">
                    <c:v>2025</c:v>
                  </c:pt>
                  <c:pt idx="73">
                    <c:v>2030</c:v>
                  </c:pt>
                  <c:pt idx="74">
                    <c:v>2035</c:v>
                  </c:pt>
                  <c:pt idx="75">
                    <c:v>2040</c:v>
                  </c:pt>
                  <c:pt idx="76">
                    <c:v>2045</c:v>
                  </c:pt>
                  <c:pt idx="77">
                    <c:v>2050</c:v>
                  </c:pt>
                  <c:pt idx="78">
                    <c:v>2025</c:v>
                  </c:pt>
                  <c:pt idx="79">
                    <c:v>2030</c:v>
                  </c:pt>
                  <c:pt idx="80">
                    <c:v>2035</c:v>
                  </c:pt>
                  <c:pt idx="81">
                    <c:v>2040</c:v>
                  </c:pt>
                  <c:pt idx="82">
                    <c:v>2045</c:v>
                  </c:pt>
                  <c:pt idx="83">
                    <c:v>2050</c:v>
                  </c:pt>
                  <c:pt idx="84">
                    <c:v>2025</c:v>
                  </c:pt>
                  <c:pt idx="85">
                    <c:v>2030</c:v>
                  </c:pt>
                  <c:pt idx="86">
                    <c:v>2035</c:v>
                  </c:pt>
                  <c:pt idx="87">
                    <c:v>2040</c:v>
                  </c:pt>
                  <c:pt idx="88">
                    <c:v>2045</c:v>
                  </c:pt>
                  <c:pt idx="89">
                    <c:v>2050</c:v>
                  </c:pt>
                  <c:pt idx="90">
                    <c:v>2025</c:v>
                  </c:pt>
                  <c:pt idx="91">
                    <c:v>2030</c:v>
                  </c:pt>
                  <c:pt idx="92">
                    <c:v>2035</c:v>
                  </c:pt>
                  <c:pt idx="93">
                    <c:v>2040</c:v>
                  </c:pt>
                  <c:pt idx="94">
                    <c:v>2045</c:v>
                  </c:pt>
                  <c:pt idx="95">
                    <c:v>2050</c:v>
                  </c:pt>
                  <c:pt idx="96">
                    <c:v>2025</c:v>
                  </c:pt>
                  <c:pt idx="97">
                    <c:v>2030</c:v>
                  </c:pt>
                </c:lvl>
                <c:lvl>
                  <c:pt idx="6">
                    <c:v>#REF!</c:v>
                  </c:pt>
                  <c:pt idx="12">
                    <c:v>0</c:v>
                  </c:pt>
                </c:lvl>
              </c:multiLvlStrCache>
            </c:multiLvlStrRef>
          </c:cat>
          <c:val>
            <c:numRef>
              <c:f>Summary!$G$32:$G$129</c:f>
              <c:numCache>
                <c:formatCode>_(* #,##0_);_(* \(#,##0\);_(* "-"??_);_(@_)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2635</c:v>
                </c:pt>
                <c:pt idx="8">
                  <c:v>3280</c:v>
                </c:pt>
                <c:pt idx="9">
                  <c:v>3280</c:v>
                </c:pt>
                <c:pt idx="10">
                  <c:v>3280</c:v>
                </c:pt>
                <c:pt idx="11">
                  <c:v>3280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20-FD44-BB1C-340D3F586E26}"/>
            </c:ext>
          </c:extLst>
        </c:ser>
        <c:ser>
          <c:idx val="5"/>
          <c:order val="3"/>
          <c:tx>
            <c:strRef>
              <c:f>Summary!$H$31</c:f>
              <c:strCache>
                <c:ptCount val="1"/>
                <c:pt idx="0">
                  <c:v>Gas CT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invertIfNegative val="0"/>
          <c:cat>
            <c:multiLvlStrRef>
              <c:f>Summary!$C$32:$D$129</c:f>
              <c:multiLvlStrCache>
                <c:ptCount val="98"/>
                <c:lvl>
                  <c:pt idx="0">
                    <c:v>2025</c:v>
                  </c:pt>
                  <c:pt idx="1">
                    <c:v>2030</c:v>
                  </c:pt>
                  <c:pt idx="2">
                    <c:v>2035</c:v>
                  </c:pt>
                  <c:pt idx="3">
                    <c:v>2040</c:v>
                  </c:pt>
                  <c:pt idx="4">
                    <c:v>2045</c:v>
                  </c:pt>
                  <c:pt idx="5">
                    <c:v>2050</c:v>
                  </c:pt>
                  <c:pt idx="6">
                    <c:v>2025</c:v>
                  </c:pt>
                  <c:pt idx="7">
                    <c:v>2030</c:v>
                  </c:pt>
                  <c:pt idx="8">
                    <c:v>2035</c:v>
                  </c:pt>
                  <c:pt idx="9">
                    <c:v>2040</c:v>
                  </c:pt>
                  <c:pt idx="10">
                    <c:v>2045</c:v>
                  </c:pt>
                  <c:pt idx="11">
                    <c:v>2050</c:v>
                  </c:pt>
                  <c:pt idx="12">
                    <c:v>2025</c:v>
                  </c:pt>
                  <c:pt idx="13">
                    <c:v>2030</c:v>
                  </c:pt>
                  <c:pt idx="14">
                    <c:v>2035</c:v>
                  </c:pt>
                  <c:pt idx="15">
                    <c:v>2040</c:v>
                  </c:pt>
                  <c:pt idx="16">
                    <c:v>2045</c:v>
                  </c:pt>
                  <c:pt idx="17">
                    <c:v>2050</c:v>
                  </c:pt>
                  <c:pt idx="18">
                    <c:v>2025</c:v>
                  </c:pt>
                  <c:pt idx="19">
                    <c:v>2030</c:v>
                  </c:pt>
                  <c:pt idx="20">
                    <c:v>2035</c:v>
                  </c:pt>
                  <c:pt idx="21">
                    <c:v>2040</c:v>
                  </c:pt>
                  <c:pt idx="22">
                    <c:v>2045</c:v>
                  </c:pt>
                  <c:pt idx="23">
                    <c:v>2050</c:v>
                  </c:pt>
                  <c:pt idx="24">
                    <c:v>2025</c:v>
                  </c:pt>
                  <c:pt idx="25">
                    <c:v>2030</c:v>
                  </c:pt>
                  <c:pt idx="26">
                    <c:v>2035</c:v>
                  </c:pt>
                  <c:pt idx="27">
                    <c:v>2040</c:v>
                  </c:pt>
                  <c:pt idx="28">
                    <c:v>2045</c:v>
                  </c:pt>
                  <c:pt idx="29">
                    <c:v>2050</c:v>
                  </c:pt>
                  <c:pt idx="30">
                    <c:v>2025</c:v>
                  </c:pt>
                  <c:pt idx="31">
                    <c:v>2030</c:v>
                  </c:pt>
                  <c:pt idx="32">
                    <c:v>2035</c:v>
                  </c:pt>
                  <c:pt idx="33">
                    <c:v>2040</c:v>
                  </c:pt>
                  <c:pt idx="34">
                    <c:v>2045</c:v>
                  </c:pt>
                  <c:pt idx="35">
                    <c:v>2050</c:v>
                  </c:pt>
                  <c:pt idx="36">
                    <c:v>2025</c:v>
                  </c:pt>
                  <c:pt idx="37">
                    <c:v>2030</c:v>
                  </c:pt>
                  <c:pt idx="38">
                    <c:v>2035</c:v>
                  </c:pt>
                  <c:pt idx="39">
                    <c:v>2040</c:v>
                  </c:pt>
                  <c:pt idx="40">
                    <c:v>2045</c:v>
                  </c:pt>
                  <c:pt idx="41">
                    <c:v>2050</c:v>
                  </c:pt>
                  <c:pt idx="42">
                    <c:v>2025</c:v>
                  </c:pt>
                  <c:pt idx="43">
                    <c:v>2030</c:v>
                  </c:pt>
                  <c:pt idx="44">
                    <c:v>2035</c:v>
                  </c:pt>
                  <c:pt idx="45">
                    <c:v>2040</c:v>
                  </c:pt>
                  <c:pt idx="46">
                    <c:v>2045</c:v>
                  </c:pt>
                  <c:pt idx="47">
                    <c:v>2050</c:v>
                  </c:pt>
                  <c:pt idx="48">
                    <c:v>2025</c:v>
                  </c:pt>
                  <c:pt idx="49">
                    <c:v>2030</c:v>
                  </c:pt>
                  <c:pt idx="50">
                    <c:v>2035</c:v>
                  </c:pt>
                  <c:pt idx="51">
                    <c:v>2040</c:v>
                  </c:pt>
                  <c:pt idx="52">
                    <c:v>2045</c:v>
                  </c:pt>
                  <c:pt idx="53">
                    <c:v>2050</c:v>
                  </c:pt>
                  <c:pt idx="54">
                    <c:v>2025</c:v>
                  </c:pt>
                  <c:pt idx="55">
                    <c:v>2030</c:v>
                  </c:pt>
                  <c:pt idx="56">
                    <c:v>2035</c:v>
                  </c:pt>
                  <c:pt idx="57">
                    <c:v>2040</c:v>
                  </c:pt>
                  <c:pt idx="58">
                    <c:v>2045</c:v>
                  </c:pt>
                  <c:pt idx="59">
                    <c:v>2050</c:v>
                  </c:pt>
                  <c:pt idx="60">
                    <c:v>2025</c:v>
                  </c:pt>
                  <c:pt idx="61">
                    <c:v>2030</c:v>
                  </c:pt>
                  <c:pt idx="62">
                    <c:v>2035</c:v>
                  </c:pt>
                  <c:pt idx="63">
                    <c:v>2040</c:v>
                  </c:pt>
                  <c:pt idx="64">
                    <c:v>2045</c:v>
                  </c:pt>
                  <c:pt idx="65">
                    <c:v>2050</c:v>
                  </c:pt>
                  <c:pt idx="66">
                    <c:v>2025</c:v>
                  </c:pt>
                  <c:pt idx="67">
                    <c:v>2030</c:v>
                  </c:pt>
                  <c:pt idx="68">
                    <c:v>2035</c:v>
                  </c:pt>
                  <c:pt idx="69">
                    <c:v>2040</c:v>
                  </c:pt>
                  <c:pt idx="70">
                    <c:v>2045</c:v>
                  </c:pt>
                  <c:pt idx="71">
                    <c:v>2050</c:v>
                  </c:pt>
                  <c:pt idx="72">
                    <c:v>2025</c:v>
                  </c:pt>
                  <c:pt idx="73">
                    <c:v>2030</c:v>
                  </c:pt>
                  <c:pt idx="74">
                    <c:v>2035</c:v>
                  </c:pt>
                  <c:pt idx="75">
                    <c:v>2040</c:v>
                  </c:pt>
                  <c:pt idx="76">
                    <c:v>2045</c:v>
                  </c:pt>
                  <c:pt idx="77">
                    <c:v>2050</c:v>
                  </c:pt>
                  <c:pt idx="78">
                    <c:v>2025</c:v>
                  </c:pt>
                  <c:pt idx="79">
                    <c:v>2030</c:v>
                  </c:pt>
                  <c:pt idx="80">
                    <c:v>2035</c:v>
                  </c:pt>
                  <c:pt idx="81">
                    <c:v>2040</c:v>
                  </c:pt>
                  <c:pt idx="82">
                    <c:v>2045</c:v>
                  </c:pt>
                  <c:pt idx="83">
                    <c:v>2050</c:v>
                  </c:pt>
                  <c:pt idx="84">
                    <c:v>2025</c:v>
                  </c:pt>
                  <c:pt idx="85">
                    <c:v>2030</c:v>
                  </c:pt>
                  <c:pt idx="86">
                    <c:v>2035</c:v>
                  </c:pt>
                  <c:pt idx="87">
                    <c:v>2040</c:v>
                  </c:pt>
                  <c:pt idx="88">
                    <c:v>2045</c:v>
                  </c:pt>
                  <c:pt idx="89">
                    <c:v>2050</c:v>
                  </c:pt>
                  <c:pt idx="90">
                    <c:v>2025</c:v>
                  </c:pt>
                  <c:pt idx="91">
                    <c:v>2030</c:v>
                  </c:pt>
                  <c:pt idx="92">
                    <c:v>2035</c:v>
                  </c:pt>
                  <c:pt idx="93">
                    <c:v>2040</c:v>
                  </c:pt>
                  <c:pt idx="94">
                    <c:v>2045</c:v>
                  </c:pt>
                  <c:pt idx="95">
                    <c:v>2050</c:v>
                  </c:pt>
                  <c:pt idx="96">
                    <c:v>2025</c:v>
                  </c:pt>
                  <c:pt idx="97">
                    <c:v>2030</c:v>
                  </c:pt>
                </c:lvl>
                <c:lvl>
                  <c:pt idx="6">
                    <c:v>#REF!</c:v>
                  </c:pt>
                  <c:pt idx="12">
                    <c:v>0</c:v>
                  </c:pt>
                </c:lvl>
              </c:multiLvlStrCache>
            </c:multiLvlStrRef>
          </c:cat>
          <c:val>
            <c:numRef>
              <c:f>Summary!$H$32:$H$129</c:f>
              <c:numCache>
                <c:formatCode>_(* #,##0_);_(* \(#,##0\);_(* "-"??_);_(@_)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4653</c:v>
                </c:pt>
                <c:pt idx="7">
                  <c:v>5276</c:v>
                </c:pt>
                <c:pt idx="8">
                  <c:v>5211</c:v>
                </c:pt>
                <c:pt idx="9">
                  <c:v>5211</c:v>
                </c:pt>
                <c:pt idx="10">
                  <c:v>5211</c:v>
                </c:pt>
                <c:pt idx="11">
                  <c:v>5211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20-FD44-BB1C-340D3F586E26}"/>
            </c:ext>
          </c:extLst>
        </c:ser>
        <c:ser>
          <c:idx val="6"/>
          <c:order val="4"/>
          <c:tx>
            <c:strRef>
              <c:f>Summary!$I$31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rgbClr val="FF8AD8"/>
            </a:solidFill>
            <a:ln>
              <a:noFill/>
            </a:ln>
            <a:effectLst/>
          </c:spPr>
          <c:invertIfNegative val="0"/>
          <c:cat>
            <c:multiLvlStrRef>
              <c:f>Summary!$C$32:$D$129</c:f>
              <c:multiLvlStrCache>
                <c:ptCount val="98"/>
                <c:lvl>
                  <c:pt idx="0">
                    <c:v>2025</c:v>
                  </c:pt>
                  <c:pt idx="1">
                    <c:v>2030</c:v>
                  </c:pt>
                  <c:pt idx="2">
                    <c:v>2035</c:v>
                  </c:pt>
                  <c:pt idx="3">
                    <c:v>2040</c:v>
                  </c:pt>
                  <c:pt idx="4">
                    <c:v>2045</c:v>
                  </c:pt>
                  <c:pt idx="5">
                    <c:v>2050</c:v>
                  </c:pt>
                  <c:pt idx="6">
                    <c:v>2025</c:v>
                  </c:pt>
                  <c:pt idx="7">
                    <c:v>2030</c:v>
                  </c:pt>
                  <c:pt idx="8">
                    <c:v>2035</c:v>
                  </c:pt>
                  <c:pt idx="9">
                    <c:v>2040</c:v>
                  </c:pt>
                  <c:pt idx="10">
                    <c:v>2045</c:v>
                  </c:pt>
                  <c:pt idx="11">
                    <c:v>2050</c:v>
                  </c:pt>
                  <c:pt idx="12">
                    <c:v>2025</c:v>
                  </c:pt>
                  <c:pt idx="13">
                    <c:v>2030</c:v>
                  </c:pt>
                  <c:pt idx="14">
                    <c:v>2035</c:v>
                  </c:pt>
                  <c:pt idx="15">
                    <c:v>2040</c:v>
                  </c:pt>
                  <c:pt idx="16">
                    <c:v>2045</c:v>
                  </c:pt>
                  <c:pt idx="17">
                    <c:v>2050</c:v>
                  </c:pt>
                  <c:pt idx="18">
                    <c:v>2025</c:v>
                  </c:pt>
                  <c:pt idx="19">
                    <c:v>2030</c:v>
                  </c:pt>
                  <c:pt idx="20">
                    <c:v>2035</c:v>
                  </c:pt>
                  <c:pt idx="21">
                    <c:v>2040</c:v>
                  </c:pt>
                  <c:pt idx="22">
                    <c:v>2045</c:v>
                  </c:pt>
                  <c:pt idx="23">
                    <c:v>2050</c:v>
                  </c:pt>
                  <c:pt idx="24">
                    <c:v>2025</c:v>
                  </c:pt>
                  <c:pt idx="25">
                    <c:v>2030</c:v>
                  </c:pt>
                  <c:pt idx="26">
                    <c:v>2035</c:v>
                  </c:pt>
                  <c:pt idx="27">
                    <c:v>2040</c:v>
                  </c:pt>
                  <c:pt idx="28">
                    <c:v>2045</c:v>
                  </c:pt>
                  <c:pt idx="29">
                    <c:v>2050</c:v>
                  </c:pt>
                  <c:pt idx="30">
                    <c:v>2025</c:v>
                  </c:pt>
                  <c:pt idx="31">
                    <c:v>2030</c:v>
                  </c:pt>
                  <c:pt idx="32">
                    <c:v>2035</c:v>
                  </c:pt>
                  <c:pt idx="33">
                    <c:v>2040</c:v>
                  </c:pt>
                  <c:pt idx="34">
                    <c:v>2045</c:v>
                  </c:pt>
                  <c:pt idx="35">
                    <c:v>2050</c:v>
                  </c:pt>
                  <c:pt idx="36">
                    <c:v>2025</c:v>
                  </c:pt>
                  <c:pt idx="37">
                    <c:v>2030</c:v>
                  </c:pt>
                  <c:pt idx="38">
                    <c:v>2035</c:v>
                  </c:pt>
                  <c:pt idx="39">
                    <c:v>2040</c:v>
                  </c:pt>
                  <c:pt idx="40">
                    <c:v>2045</c:v>
                  </c:pt>
                  <c:pt idx="41">
                    <c:v>2050</c:v>
                  </c:pt>
                  <c:pt idx="42">
                    <c:v>2025</c:v>
                  </c:pt>
                  <c:pt idx="43">
                    <c:v>2030</c:v>
                  </c:pt>
                  <c:pt idx="44">
                    <c:v>2035</c:v>
                  </c:pt>
                  <c:pt idx="45">
                    <c:v>2040</c:v>
                  </c:pt>
                  <c:pt idx="46">
                    <c:v>2045</c:v>
                  </c:pt>
                  <c:pt idx="47">
                    <c:v>2050</c:v>
                  </c:pt>
                  <c:pt idx="48">
                    <c:v>2025</c:v>
                  </c:pt>
                  <c:pt idx="49">
                    <c:v>2030</c:v>
                  </c:pt>
                  <c:pt idx="50">
                    <c:v>2035</c:v>
                  </c:pt>
                  <c:pt idx="51">
                    <c:v>2040</c:v>
                  </c:pt>
                  <c:pt idx="52">
                    <c:v>2045</c:v>
                  </c:pt>
                  <c:pt idx="53">
                    <c:v>2050</c:v>
                  </c:pt>
                  <c:pt idx="54">
                    <c:v>2025</c:v>
                  </c:pt>
                  <c:pt idx="55">
                    <c:v>2030</c:v>
                  </c:pt>
                  <c:pt idx="56">
                    <c:v>2035</c:v>
                  </c:pt>
                  <c:pt idx="57">
                    <c:v>2040</c:v>
                  </c:pt>
                  <c:pt idx="58">
                    <c:v>2045</c:v>
                  </c:pt>
                  <c:pt idx="59">
                    <c:v>2050</c:v>
                  </c:pt>
                  <c:pt idx="60">
                    <c:v>2025</c:v>
                  </c:pt>
                  <c:pt idx="61">
                    <c:v>2030</c:v>
                  </c:pt>
                  <c:pt idx="62">
                    <c:v>2035</c:v>
                  </c:pt>
                  <c:pt idx="63">
                    <c:v>2040</c:v>
                  </c:pt>
                  <c:pt idx="64">
                    <c:v>2045</c:v>
                  </c:pt>
                  <c:pt idx="65">
                    <c:v>2050</c:v>
                  </c:pt>
                  <c:pt idx="66">
                    <c:v>2025</c:v>
                  </c:pt>
                  <c:pt idx="67">
                    <c:v>2030</c:v>
                  </c:pt>
                  <c:pt idx="68">
                    <c:v>2035</c:v>
                  </c:pt>
                  <c:pt idx="69">
                    <c:v>2040</c:v>
                  </c:pt>
                  <c:pt idx="70">
                    <c:v>2045</c:v>
                  </c:pt>
                  <c:pt idx="71">
                    <c:v>2050</c:v>
                  </c:pt>
                  <c:pt idx="72">
                    <c:v>2025</c:v>
                  </c:pt>
                  <c:pt idx="73">
                    <c:v>2030</c:v>
                  </c:pt>
                  <c:pt idx="74">
                    <c:v>2035</c:v>
                  </c:pt>
                  <c:pt idx="75">
                    <c:v>2040</c:v>
                  </c:pt>
                  <c:pt idx="76">
                    <c:v>2045</c:v>
                  </c:pt>
                  <c:pt idx="77">
                    <c:v>2050</c:v>
                  </c:pt>
                  <c:pt idx="78">
                    <c:v>2025</c:v>
                  </c:pt>
                  <c:pt idx="79">
                    <c:v>2030</c:v>
                  </c:pt>
                  <c:pt idx="80">
                    <c:v>2035</c:v>
                  </c:pt>
                  <c:pt idx="81">
                    <c:v>2040</c:v>
                  </c:pt>
                  <c:pt idx="82">
                    <c:v>2045</c:v>
                  </c:pt>
                  <c:pt idx="83">
                    <c:v>2050</c:v>
                  </c:pt>
                  <c:pt idx="84">
                    <c:v>2025</c:v>
                  </c:pt>
                  <c:pt idx="85">
                    <c:v>2030</c:v>
                  </c:pt>
                  <c:pt idx="86">
                    <c:v>2035</c:v>
                  </c:pt>
                  <c:pt idx="87">
                    <c:v>2040</c:v>
                  </c:pt>
                  <c:pt idx="88">
                    <c:v>2045</c:v>
                  </c:pt>
                  <c:pt idx="89">
                    <c:v>2050</c:v>
                  </c:pt>
                  <c:pt idx="90">
                    <c:v>2025</c:v>
                  </c:pt>
                  <c:pt idx="91">
                    <c:v>2030</c:v>
                  </c:pt>
                  <c:pt idx="92">
                    <c:v>2035</c:v>
                  </c:pt>
                  <c:pt idx="93">
                    <c:v>2040</c:v>
                  </c:pt>
                  <c:pt idx="94">
                    <c:v>2045</c:v>
                  </c:pt>
                  <c:pt idx="95">
                    <c:v>2050</c:v>
                  </c:pt>
                  <c:pt idx="96">
                    <c:v>2025</c:v>
                  </c:pt>
                  <c:pt idx="97">
                    <c:v>2030</c:v>
                  </c:pt>
                </c:lvl>
                <c:lvl>
                  <c:pt idx="6">
                    <c:v>#REF!</c:v>
                  </c:pt>
                  <c:pt idx="12">
                    <c:v>0</c:v>
                  </c:pt>
                </c:lvl>
              </c:multiLvlStrCache>
            </c:multiLvlStrRef>
          </c:cat>
          <c:val>
            <c:numRef>
              <c:f>Summary!$I$32:$I$129</c:f>
              <c:numCache>
                <c:formatCode>_(* #,##0_);_(* \(#,##0\);_(* "-"??_);_(@_)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20-FD44-BB1C-340D3F586E26}"/>
            </c:ext>
          </c:extLst>
        </c:ser>
        <c:ser>
          <c:idx val="7"/>
          <c:order val="5"/>
          <c:tx>
            <c:strRef>
              <c:f>Summary!$J$31</c:f>
              <c:strCache>
                <c:ptCount val="1"/>
                <c:pt idx="0">
                  <c:v>Biogas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Summary!$C$32:$D$129</c:f>
              <c:multiLvlStrCache>
                <c:ptCount val="98"/>
                <c:lvl>
                  <c:pt idx="0">
                    <c:v>2025</c:v>
                  </c:pt>
                  <c:pt idx="1">
                    <c:v>2030</c:v>
                  </c:pt>
                  <c:pt idx="2">
                    <c:v>2035</c:v>
                  </c:pt>
                  <c:pt idx="3">
                    <c:v>2040</c:v>
                  </c:pt>
                  <c:pt idx="4">
                    <c:v>2045</c:v>
                  </c:pt>
                  <c:pt idx="5">
                    <c:v>2050</c:v>
                  </c:pt>
                  <c:pt idx="6">
                    <c:v>2025</c:v>
                  </c:pt>
                  <c:pt idx="7">
                    <c:v>2030</c:v>
                  </c:pt>
                  <c:pt idx="8">
                    <c:v>2035</c:v>
                  </c:pt>
                  <c:pt idx="9">
                    <c:v>2040</c:v>
                  </c:pt>
                  <c:pt idx="10">
                    <c:v>2045</c:v>
                  </c:pt>
                  <c:pt idx="11">
                    <c:v>2050</c:v>
                  </c:pt>
                  <c:pt idx="12">
                    <c:v>2025</c:v>
                  </c:pt>
                  <c:pt idx="13">
                    <c:v>2030</c:v>
                  </c:pt>
                  <c:pt idx="14">
                    <c:v>2035</c:v>
                  </c:pt>
                  <c:pt idx="15">
                    <c:v>2040</c:v>
                  </c:pt>
                  <c:pt idx="16">
                    <c:v>2045</c:v>
                  </c:pt>
                  <c:pt idx="17">
                    <c:v>2050</c:v>
                  </c:pt>
                  <c:pt idx="18">
                    <c:v>2025</c:v>
                  </c:pt>
                  <c:pt idx="19">
                    <c:v>2030</c:v>
                  </c:pt>
                  <c:pt idx="20">
                    <c:v>2035</c:v>
                  </c:pt>
                  <c:pt idx="21">
                    <c:v>2040</c:v>
                  </c:pt>
                  <c:pt idx="22">
                    <c:v>2045</c:v>
                  </c:pt>
                  <c:pt idx="23">
                    <c:v>2050</c:v>
                  </c:pt>
                  <c:pt idx="24">
                    <c:v>2025</c:v>
                  </c:pt>
                  <c:pt idx="25">
                    <c:v>2030</c:v>
                  </c:pt>
                  <c:pt idx="26">
                    <c:v>2035</c:v>
                  </c:pt>
                  <c:pt idx="27">
                    <c:v>2040</c:v>
                  </c:pt>
                  <c:pt idx="28">
                    <c:v>2045</c:v>
                  </c:pt>
                  <c:pt idx="29">
                    <c:v>2050</c:v>
                  </c:pt>
                  <c:pt idx="30">
                    <c:v>2025</c:v>
                  </c:pt>
                  <c:pt idx="31">
                    <c:v>2030</c:v>
                  </c:pt>
                  <c:pt idx="32">
                    <c:v>2035</c:v>
                  </c:pt>
                  <c:pt idx="33">
                    <c:v>2040</c:v>
                  </c:pt>
                  <c:pt idx="34">
                    <c:v>2045</c:v>
                  </c:pt>
                  <c:pt idx="35">
                    <c:v>2050</c:v>
                  </c:pt>
                  <c:pt idx="36">
                    <c:v>2025</c:v>
                  </c:pt>
                  <c:pt idx="37">
                    <c:v>2030</c:v>
                  </c:pt>
                  <c:pt idx="38">
                    <c:v>2035</c:v>
                  </c:pt>
                  <c:pt idx="39">
                    <c:v>2040</c:v>
                  </c:pt>
                  <c:pt idx="40">
                    <c:v>2045</c:v>
                  </c:pt>
                  <c:pt idx="41">
                    <c:v>2050</c:v>
                  </c:pt>
                  <c:pt idx="42">
                    <c:v>2025</c:v>
                  </c:pt>
                  <c:pt idx="43">
                    <c:v>2030</c:v>
                  </c:pt>
                  <c:pt idx="44">
                    <c:v>2035</c:v>
                  </c:pt>
                  <c:pt idx="45">
                    <c:v>2040</c:v>
                  </c:pt>
                  <c:pt idx="46">
                    <c:v>2045</c:v>
                  </c:pt>
                  <c:pt idx="47">
                    <c:v>2050</c:v>
                  </c:pt>
                  <c:pt idx="48">
                    <c:v>2025</c:v>
                  </c:pt>
                  <c:pt idx="49">
                    <c:v>2030</c:v>
                  </c:pt>
                  <c:pt idx="50">
                    <c:v>2035</c:v>
                  </c:pt>
                  <c:pt idx="51">
                    <c:v>2040</c:v>
                  </c:pt>
                  <c:pt idx="52">
                    <c:v>2045</c:v>
                  </c:pt>
                  <c:pt idx="53">
                    <c:v>2050</c:v>
                  </c:pt>
                  <c:pt idx="54">
                    <c:v>2025</c:v>
                  </c:pt>
                  <c:pt idx="55">
                    <c:v>2030</c:v>
                  </c:pt>
                  <c:pt idx="56">
                    <c:v>2035</c:v>
                  </c:pt>
                  <c:pt idx="57">
                    <c:v>2040</c:v>
                  </c:pt>
                  <c:pt idx="58">
                    <c:v>2045</c:v>
                  </c:pt>
                  <c:pt idx="59">
                    <c:v>2050</c:v>
                  </c:pt>
                  <c:pt idx="60">
                    <c:v>2025</c:v>
                  </c:pt>
                  <c:pt idx="61">
                    <c:v>2030</c:v>
                  </c:pt>
                  <c:pt idx="62">
                    <c:v>2035</c:v>
                  </c:pt>
                  <c:pt idx="63">
                    <c:v>2040</c:v>
                  </c:pt>
                  <c:pt idx="64">
                    <c:v>2045</c:v>
                  </c:pt>
                  <c:pt idx="65">
                    <c:v>2050</c:v>
                  </c:pt>
                  <c:pt idx="66">
                    <c:v>2025</c:v>
                  </c:pt>
                  <c:pt idx="67">
                    <c:v>2030</c:v>
                  </c:pt>
                  <c:pt idx="68">
                    <c:v>2035</c:v>
                  </c:pt>
                  <c:pt idx="69">
                    <c:v>2040</c:v>
                  </c:pt>
                  <c:pt idx="70">
                    <c:v>2045</c:v>
                  </c:pt>
                  <c:pt idx="71">
                    <c:v>2050</c:v>
                  </c:pt>
                  <c:pt idx="72">
                    <c:v>2025</c:v>
                  </c:pt>
                  <c:pt idx="73">
                    <c:v>2030</c:v>
                  </c:pt>
                  <c:pt idx="74">
                    <c:v>2035</c:v>
                  </c:pt>
                  <c:pt idx="75">
                    <c:v>2040</c:v>
                  </c:pt>
                  <c:pt idx="76">
                    <c:v>2045</c:v>
                  </c:pt>
                  <c:pt idx="77">
                    <c:v>2050</c:v>
                  </c:pt>
                  <c:pt idx="78">
                    <c:v>2025</c:v>
                  </c:pt>
                  <c:pt idx="79">
                    <c:v>2030</c:v>
                  </c:pt>
                  <c:pt idx="80">
                    <c:v>2035</c:v>
                  </c:pt>
                  <c:pt idx="81">
                    <c:v>2040</c:v>
                  </c:pt>
                  <c:pt idx="82">
                    <c:v>2045</c:v>
                  </c:pt>
                  <c:pt idx="83">
                    <c:v>2050</c:v>
                  </c:pt>
                  <c:pt idx="84">
                    <c:v>2025</c:v>
                  </c:pt>
                  <c:pt idx="85">
                    <c:v>2030</c:v>
                  </c:pt>
                  <c:pt idx="86">
                    <c:v>2035</c:v>
                  </c:pt>
                  <c:pt idx="87">
                    <c:v>2040</c:v>
                  </c:pt>
                  <c:pt idx="88">
                    <c:v>2045</c:v>
                  </c:pt>
                  <c:pt idx="89">
                    <c:v>2050</c:v>
                  </c:pt>
                  <c:pt idx="90">
                    <c:v>2025</c:v>
                  </c:pt>
                  <c:pt idx="91">
                    <c:v>2030</c:v>
                  </c:pt>
                  <c:pt idx="92">
                    <c:v>2035</c:v>
                  </c:pt>
                  <c:pt idx="93">
                    <c:v>2040</c:v>
                  </c:pt>
                  <c:pt idx="94">
                    <c:v>2045</c:v>
                  </c:pt>
                  <c:pt idx="95">
                    <c:v>2050</c:v>
                  </c:pt>
                  <c:pt idx="96">
                    <c:v>2025</c:v>
                  </c:pt>
                  <c:pt idx="97">
                    <c:v>2030</c:v>
                  </c:pt>
                </c:lvl>
                <c:lvl>
                  <c:pt idx="6">
                    <c:v>#REF!</c:v>
                  </c:pt>
                  <c:pt idx="12">
                    <c:v>0</c:v>
                  </c:pt>
                </c:lvl>
              </c:multiLvlStrCache>
            </c:multiLvlStrRef>
          </c:cat>
          <c:val>
            <c:numRef>
              <c:f>Summary!$J$32:$J$129</c:f>
              <c:numCache>
                <c:formatCode>_(* #,##0_);_(* \(#,##0\);_(* "-"??_);_(@_)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18.100000000000001</c:v>
                </c:pt>
                <c:pt idx="7">
                  <c:v>18.100000000000001</c:v>
                </c:pt>
                <c:pt idx="8">
                  <c:v>18.100000000000001</c:v>
                </c:pt>
                <c:pt idx="9">
                  <c:v>18.100000000000001</c:v>
                </c:pt>
                <c:pt idx="10">
                  <c:v>18.100000000000001</c:v>
                </c:pt>
                <c:pt idx="11">
                  <c:v>18.100000000000001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20-FD44-BB1C-340D3F586E26}"/>
            </c:ext>
          </c:extLst>
        </c:ser>
        <c:ser>
          <c:idx val="8"/>
          <c:order val="6"/>
          <c:tx>
            <c:strRef>
              <c:f>Summary!$K$31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multiLvlStrRef>
              <c:f>Summary!$C$32:$D$129</c:f>
              <c:multiLvlStrCache>
                <c:ptCount val="98"/>
                <c:lvl>
                  <c:pt idx="0">
                    <c:v>2025</c:v>
                  </c:pt>
                  <c:pt idx="1">
                    <c:v>2030</c:v>
                  </c:pt>
                  <c:pt idx="2">
                    <c:v>2035</c:v>
                  </c:pt>
                  <c:pt idx="3">
                    <c:v>2040</c:v>
                  </c:pt>
                  <c:pt idx="4">
                    <c:v>2045</c:v>
                  </c:pt>
                  <c:pt idx="5">
                    <c:v>2050</c:v>
                  </c:pt>
                  <c:pt idx="6">
                    <c:v>2025</c:v>
                  </c:pt>
                  <c:pt idx="7">
                    <c:v>2030</c:v>
                  </c:pt>
                  <c:pt idx="8">
                    <c:v>2035</c:v>
                  </c:pt>
                  <c:pt idx="9">
                    <c:v>2040</c:v>
                  </c:pt>
                  <c:pt idx="10">
                    <c:v>2045</c:v>
                  </c:pt>
                  <c:pt idx="11">
                    <c:v>2050</c:v>
                  </c:pt>
                  <c:pt idx="12">
                    <c:v>2025</c:v>
                  </c:pt>
                  <c:pt idx="13">
                    <c:v>2030</c:v>
                  </c:pt>
                  <c:pt idx="14">
                    <c:v>2035</c:v>
                  </c:pt>
                  <c:pt idx="15">
                    <c:v>2040</c:v>
                  </c:pt>
                  <c:pt idx="16">
                    <c:v>2045</c:v>
                  </c:pt>
                  <c:pt idx="17">
                    <c:v>2050</c:v>
                  </c:pt>
                  <c:pt idx="18">
                    <c:v>2025</c:v>
                  </c:pt>
                  <c:pt idx="19">
                    <c:v>2030</c:v>
                  </c:pt>
                  <c:pt idx="20">
                    <c:v>2035</c:v>
                  </c:pt>
                  <c:pt idx="21">
                    <c:v>2040</c:v>
                  </c:pt>
                  <c:pt idx="22">
                    <c:v>2045</c:v>
                  </c:pt>
                  <c:pt idx="23">
                    <c:v>2050</c:v>
                  </c:pt>
                  <c:pt idx="24">
                    <c:v>2025</c:v>
                  </c:pt>
                  <c:pt idx="25">
                    <c:v>2030</c:v>
                  </c:pt>
                  <c:pt idx="26">
                    <c:v>2035</c:v>
                  </c:pt>
                  <c:pt idx="27">
                    <c:v>2040</c:v>
                  </c:pt>
                  <c:pt idx="28">
                    <c:v>2045</c:v>
                  </c:pt>
                  <c:pt idx="29">
                    <c:v>2050</c:v>
                  </c:pt>
                  <c:pt idx="30">
                    <c:v>2025</c:v>
                  </c:pt>
                  <c:pt idx="31">
                    <c:v>2030</c:v>
                  </c:pt>
                  <c:pt idx="32">
                    <c:v>2035</c:v>
                  </c:pt>
                  <c:pt idx="33">
                    <c:v>2040</c:v>
                  </c:pt>
                  <c:pt idx="34">
                    <c:v>2045</c:v>
                  </c:pt>
                  <c:pt idx="35">
                    <c:v>2050</c:v>
                  </c:pt>
                  <c:pt idx="36">
                    <c:v>2025</c:v>
                  </c:pt>
                  <c:pt idx="37">
                    <c:v>2030</c:v>
                  </c:pt>
                  <c:pt idx="38">
                    <c:v>2035</c:v>
                  </c:pt>
                  <c:pt idx="39">
                    <c:v>2040</c:v>
                  </c:pt>
                  <c:pt idx="40">
                    <c:v>2045</c:v>
                  </c:pt>
                  <c:pt idx="41">
                    <c:v>2050</c:v>
                  </c:pt>
                  <c:pt idx="42">
                    <c:v>2025</c:v>
                  </c:pt>
                  <c:pt idx="43">
                    <c:v>2030</c:v>
                  </c:pt>
                  <c:pt idx="44">
                    <c:v>2035</c:v>
                  </c:pt>
                  <c:pt idx="45">
                    <c:v>2040</c:v>
                  </c:pt>
                  <c:pt idx="46">
                    <c:v>2045</c:v>
                  </c:pt>
                  <c:pt idx="47">
                    <c:v>2050</c:v>
                  </c:pt>
                  <c:pt idx="48">
                    <c:v>2025</c:v>
                  </c:pt>
                  <c:pt idx="49">
                    <c:v>2030</c:v>
                  </c:pt>
                  <c:pt idx="50">
                    <c:v>2035</c:v>
                  </c:pt>
                  <c:pt idx="51">
                    <c:v>2040</c:v>
                  </c:pt>
                  <c:pt idx="52">
                    <c:v>2045</c:v>
                  </c:pt>
                  <c:pt idx="53">
                    <c:v>2050</c:v>
                  </c:pt>
                  <c:pt idx="54">
                    <c:v>2025</c:v>
                  </c:pt>
                  <c:pt idx="55">
                    <c:v>2030</c:v>
                  </c:pt>
                  <c:pt idx="56">
                    <c:v>2035</c:v>
                  </c:pt>
                  <c:pt idx="57">
                    <c:v>2040</c:v>
                  </c:pt>
                  <c:pt idx="58">
                    <c:v>2045</c:v>
                  </c:pt>
                  <c:pt idx="59">
                    <c:v>2050</c:v>
                  </c:pt>
                  <c:pt idx="60">
                    <c:v>2025</c:v>
                  </c:pt>
                  <c:pt idx="61">
                    <c:v>2030</c:v>
                  </c:pt>
                  <c:pt idx="62">
                    <c:v>2035</c:v>
                  </c:pt>
                  <c:pt idx="63">
                    <c:v>2040</c:v>
                  </c:pt>
                  <c:pt idx="64">
                    <c:v>2045</c:v>
                  </c:pt>
                  <c:pt idx="65">
                    <c:v>2050</c:v>
                  </c:pt>
                  <c:pt idx="66">
                    <c:v>2025</c:v>
                  </c:pt>
                  <c:pt idx="67">
                    <c:v>2030</c:v>
                  </c:pt>
                  <c:pt idx="68">
                    <c:v>2035</c:v>
                  </c:pt>
                  <c:pt idx="69">
                    <c:v>2040</c:v>
                  </c:pt>
                  <c:pt idx="70">
                    <c:v>2045</c:v>
                  </c:pt>
                  <c:pt idx="71">
                    <c:v>2050</c:v>
                  </c:pt>
                  <c:pt idx="72">
                    <c:v>2025</c:v>
                  </c:pt>
                  <c:pt idx="73">
                    <c:v>2030</c:v>
                  </c:pt>
                  <c:pt idx="74">
                    <c:v>2035</c:v>
                  </c:pt>
                  <c:pt idx="75">
                    <c:v>2040</c:v>
                  </c:pt>
                  <c:pt idx="76">
                    <c:v>2045</c:v>
                  </c:pt>
                  <c:pt idx="77">
                    <c:v>2050</c:v>
                  </c:pt>
                  <c:pt idx="78">
                    <c:v>2025</c:v>
                  </c:pt>
                  <c:pt idx="79">
                    <c:v>2030</c:v>
                  </c:pt>
                  <c:pt idx="80">
                    <c:v>2035</c:v>
                  </c:pt>
                  <c:pt idx="81">
                    <c:v>2040</c:v>
                  </c:pt>
                  <c:pt idx="82">
                    <c:v>2045</c:v>
                  </c:pt>
                  <c:pt idx="83">
                    <c:v>2050</c:v>
                  </c:pt>
                  <c:pt idx="84">
                    <c:v>2025</c:v>
                  </c:pt>
                  <c:pt idx="85">
                    <c:v>2030</c:v>
                  </c:pt>
                  <c:pt idx="86">
                    <c:v>2035</c:v>
                  </c:pt>
                  <c:pt idx="87">
                    <c:v>2040</c:v>
                  </c:pt>
                  <c:pt idx="88">
                    <c:v>2045</c:v>
                  </c:pt>
                  <c:pt idx="89">
                    <c:v>2050</c:v>
                  </c:pt>
                  <c:pt idx="90">
                    <c:v>2025</c:v>
                  </c:pt>
                  <c:pt idx="91">
                    <c:v>2030</c:v>
                  </c:pt>
                  <c:pt idx="92">
                    <c:v>2035</c:v>
                  </c:pt>
                  <c:pt idx="93">
                    <c:v>2040</c:v>
                  </c:pt>
                  <c:pt idx="94">
                    <c:v>2045</c:v>
                  </c:pt>
                  <c:pt idx="95">
                    <c:v>2050</c:v>
                  </c:pt>
                  <c:pt idx="96">
                    <c:v>2025</c:v>
                  </c:pt>
                  <c:pt idx="97">
                    <c:v>2030</c:v>
                  </c:pt>
                </c:lvl>
                <c:lvl>
                  <c:pt idx="6">
                    <c:v>#REF!</c:v>
                  </c:pt>
                  <c:pt idx="12">
                    <c:v>0</c:v>
                  </c:pt>
                </c:lvl>
              </c:multiLvlStrCache>
            </c:multiLvlStrRef>
          </c:cat>
          <c:val>
            <c:numRef>
              <c:f>Summary!$K$32:$K$129</c:f>
              <c:numCache>
                <c:formatCode>_(* #,##0_);_(* \(#,##0\);_(* "-"??_);_(@_)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482.2</c:v>
                </c:pt>
                <c:pt idx="7">
                  <c:v>482.2</c:v>
                </c:pt>
                <c:pt idx="8">
                  <c:v>482.2</c:v>
                </c:pt>
                <c:pt idx="9">
                  <c:v>482.2</c:v>
                </c:pt>
                <c:pt idx="10">
                  <c:v>482.2</c:v>
                </c:pt>
                <c:pt idx="11">
                  <c:v>482.2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20-FD44-BB1C-340D3F586E26}"/>
            </c:ext>
          </c:extLst>
        </c:ser>
        <c:ser>
          <c:idx val="9"/>
          <c:order val="7"/>
          <c:tx>
            <c:strRef>
              <c:f>Summary!$L$31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Summary!$C$32:$D$129</c:f>
              <c:multiLvlStrCache>
                <c:ptCount val="98"/>
                <c:lvl>
                  <c:pt idx="0">
                    <c:v>2025</c:v>
                  </c:pt>
                  <c:pt idx="1">
                    <c:v>2030</c:v>
                  </c:pt>
                  <c:pt idx="2">
                    <c:v>2035</c:v>
                  </c:pt>
                  <c:pt idx="3">
                    <c:v>2040</c:v>
                  </c:pt>
                  <c:pt idx="4">
                    <c:v>2045</c:v>
                  </c:pt>
                  <c:pt idx="5">
                    <c:v>2050</c:v>
                  </c:pt>
                  <c:pt idx="6">
                    <c:v>2025</c:v>
                  </c:pt>
                  <c:pt idx="7">
                    <c:v>2030</c:v>
                  </c:pt>
                  <c:pt idx="8">
                    <c:v>2035</c:v>
                  </c:pt>
                  <c:pt idx="9">
                    <c:v>2040</c:v>
                  </c:pt>
                  <c:pt idx="10">
                    <c:v>2045</c:v>
                  </c:pt>
                  <c:pt idx="11">
                    <c:v>2050</c:v>
                  </c:pt>
                  <c:pt idx="12">
                    <c:v>2025</c:v>
                  </c:pt>
                  <c:pt idx="13">
                    <c:v>2030</c:v>
                  </c:pt>
                  <c:pt idx="14">
                    <c:v>2035</c:v>
                  </c:pt>
                  <c:pt idx="15">
                    <c:v>2040</c:v>
                  </c:pt>
                  <c:pt idx="16">
                    <c:v>2045</c:v>
                  </c:pt>
                  <c:pt idx="17">
                    <c:v>2050</c:v>
                  </c:pt>
                  <c:pt idx="18">
                    <c:v>2025</c:v>
                  </c:pt>
                  <c:pt idx="19">
                    <c:v>2030</c:v>
                  </c:pt>
                  <c:pt idx="20">
                    <c:v>2035</c:v>
                  </c:pt>
                  <c:pt idx="21">
                    <c:v>2040</c:v>
                  </c:pt>
                  <c:pt idx="22">
                    <c:v>2045</c:v>
                  </c:pt>
                  <c:pt idx="23">
                    <c:v>2050</c:v>
                  </c:pt>
                  <c:pt idx="24">
                    <c:v>2025</c:v>
                  </c:pt>
                  <c:pt idx="25">
                    <c:v>2030</c:v>
                  </c:pt>
                  <c:pt idx="26">
                    <c:v>2035</c:v>
                  </c:pt>
                  <c:pt idx="27">
                    <c:v>2040</c:v>
                  </c:pt>
                  <c:pt idx="28">
                    <c:v>2045</c:v>
                  </c:pt>
                  <c:pt idx="29">
                    <c:v>2050</c:v>
                  </c:pt>
                  <c:pt idx="30">
                    <c:v>2025</c:v>
                  </c:pt>
                  <c:pt idx="31">
                    <c:v>2030</c:v>
                  </c:pt>
                  <c:pt idx="32">
                    <c:v>2035</c:v>
                  </c:pt>
                  <c:pt idx="33">
                    <c:v>2040</c:v>
                  </c:pt>
                  <c:pt idx="34">
                    <c:v>2045</c:v>
                  </c:pt>
                  <c:pt idx="35">
                    <c:v>2050</c:v>
                  </c:pt>
                  <c:pt idx="36">
                    <c:v>2025</c:v>
                  </c:pt>
                  <c:pt idx="37">
                    <c:v>2030</c:v>
                  </c:pt>
                  <c:pt idx="38">
                    <c:v>2035</c:v>
                  </c:pt>
                  <c:pt idx="39">
                    <c:v>2040</c:v>
                  </c:pt>
                  <c:pt idx="40">
                    <c:v>2045</c:v>
                  </c:pt>
                  <c:pt idx="41">
                    <c:v>2050</c:v>
                  </c:pt>
                  <c:pt idx="42">
                    <c:v>2025</c:v>
                  </c:pt>
                  <c:pt idx="43">
                    <c:v>2030</c:v>
                  </c:pt>
                  <c:pt idx="44">
                    <c:v>2035</c:v>
                  </c:pt>
                  <c:pt idx="45">
                    <c:v>2040</c:v>
                  </c:pt>
                  <c:pt idx="46">
                    <c:v>2045</c:v>
                  </c:pt>
                  <c:pt idx="47">
                    <c:v>2050</c:v>
                  </c:pt>
                  <c:pt idx="48">
                    <c:v>2025</c:v>
                  </c:pt>
                  <c:pt idx="49">
                    <c:v>2030</c:v>
                  </c:pt>
                  <c:pt idx="50">
                    <c:v>2035</c:v>
                  </c:pt>
                  <c:pt idx="51">
                    <c:v>2040</c:v>
                  </c:pt>
                  <c:pt idx="52">
                    <c:v>2045</c:v>
                  </c:pt>
                  <c:pt idx="53">
                    <c:v>2050</c:v>
                  </c:pt>
                  <c:pt idx="54">
                    <c:v>2025</c:v>
                  </c:pt>
                  <c:pt idx="55">
                    <c:v>2030</c:v>
                  </c:pt>
                  <c:pt idx="56">
                    <c:v>2035</c:v>
                  </c:pt>
                  <c:pt idx="57">
                    <c:v>2040</c:v>
                  </c:pt>
                  <c:pt idx="58">
                    <c:v>2045</c:v>
                  </c:pt>
                  <c:pt idx="59">
                    <c:v>2050</c:v>
                  </c:pt>
                  <c:pt idx="60">
                    <c:v>2025</c:v>
                  </c:pt>
                  <c:pt idx="61">
                    <c:v>2030</c:v>
                  </c:pt>
                  <c:pt idx="62">
                    <c:v>2035</c:v>
                  </c:pt>
                  <c:pt idx="63">
                    <c:v>2040</c:v>
                  </c:pt>
                  <c:pt idx="64">
                    <c:v>2045</c:v>
                  </c:pt>
                  <c:pt idx="65">
                    <c:v>2050</c:v>
                  </c:pt>
                  <c:pt idx="66">
                    <c:v>2025</c:v>
                  </c:pt>
                  <c:pt idx="67">
                    <c:v>2030</c:v>
                  </c:pt>
                  <c:pt idx="68">
                    <c:v>2035</c:v>
                  </c:pt>
                  <c:pt idx="69">
                    <c:v>2040</c:v>
                  </c:pt>
                  <c:pt idx="70">
                    <c:v>2045</c:v>
                  </c:pt>
                  <c:pt idx="71">
                    <c:v>2050</c:v>
                  </c:pt>
                  <c:pt idx="72">
                    <c:v>2025</c:v>
                  </c:pt>
                  <c:pt idx="73">
                    <c:v>2030</c:v>
                  </c:pt>
                  <c:pt idx="74">
                    <c:v>2035</c:v>
                  </c:pt>
                  <c:pt idx="75">
                    <c:v>2040</c:v>
                  </c:pt>
                  <c:pt idx="76">
                    <c:v>2045</c:v>
                  </c:pt>
                  <c:pt idx="77">
                    <c:v>2050</c:v>
                  </c:pt>
                  <c:pt idx="78">
                    <c:v>2025</c:v>
                  </c:pt>
                  <c:pt idx="79">
                    <c:v>2030</c:v>
                  </c:pt>
                  <c:pt idx="80">
                    <c:v>2035</c:v>
                  </c:pt>
                  <c:pt idx="81">
                    <c:v>2040</c:v>
                  </c:pt>
                  <c:pt idx="82">
                    <c:v>2045</c:v>
                  </c:pt>
                  <c:pt idx="83">
                    <c:v>2050</c:v>
                  </c:pt>
                  <c:pt idx="84">
                    <c:v>2025</c:v>
                  </c:pt>
                  <c:pt idx="85">
                    <c:v>2030</c:v>
                  </c:pt>
                  <c:pt idx="86">
                    <c:v>2035</c:v>
                  </c:pt>
                  <c:pt idx="87">
                    <c:v>2040</c:v>
                  </c:pt>
                  <c:pt idx="88">
                    <c:v>2045</c:v>
                  </c:pt>
                  <c:pt idx="89">
                    <c:v>2050</c:v>
                  </c:pt>
                  <c:pt idx="90">
                    <c:v>2025</c:v>
                  </c:pt>
                  <c:pt idx="91">
                    <c:v>2030</c:v>
                  </c:pt>
                  <c:pt idx="92">
                    <c:v>2035</c:v>
                  </c:pt>
                  <c:pt idx="93">
                    <c:v>2040</c:v>
                  </c:pt>
                  <c:pt idx="94">
                    <c:v>2045</c:v>
                  </c:pt>
                  <c:pt idx="95">
                    <c:v>2050</c:v>
                  </c:pt>
                  <c:pt idx="96">
                    <c:v>2025</c:v>
                  </c:pt>
                  <c:pt idx="97">
                    <c:v>2030</c:v>
                  </c:pt>
                </c:lvl>
                <c:lvl>
                  <c:pt idx="6">
                    <c:v>#REF!</c:v>
                  </c:pt>
                  <c:pt idx="12">
                    <c:v>0</c:v>
                  </c:pt>
                </c:lvl>
              </c:multiLvlStrCache>
            </c:multiLvlStrRef>
          </c:cat>
          <c:val>
            <c:numRef>
              <c:f>Summary!$L$32:$L$129</c:f>
              <c:numCache>
                <c:formatCode>_(* #,##0_);_(* \(#,##0\);_(* "-"??_);_(@_)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600.09</c:v>
                </c:pt>
                <c:pt idx="8">
                  <c:v>700.09</c:v>
                </c:pt>
                <c:pt idx="9">
                  <c:v>700.09</c:v>
                </c:pt>
                <c:pt idx="10">
                  <c:v>700.09</c:v>
                </c:pt>
                <c:pt idx="11">
                  <c:v>700.09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720-FD44-BB1C-340D3F586E26}"/>
            </c:ext>
          </c:extLst>
        </c:ser>
        <c:ser>
          <c:idx val="0"/>
          <c:order val="8"/>
          <c:tx>
            <c:strRef>
              <c:f>Summary!$M$31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f>Summary!$C$32:$D$129</c:f>
              <c:multiLvlStrCache>
                <c:ptCount val="98"/>
                <c:lvl>
                  <c:pt idx="0">
                    <c:v>2025</c:v>
                  </c:pt>
                  <c:pt idx="1">
                    <c:v>2030</c:v>
                  </c:pt>
                  <c:pt idx="2">
                    <c:v>2035</c:v>
                  </c:pt>
                  <c:pt idx="3">
                    <c:v>2040</c:v>
                  </c:pt>
                  <c:pt idx="4">
                    <c:v>2045</c:v>
                  </c:pt>
                  <c:pt idx="5">
                    <c:v>2050</c:v>
                  </c:pt>
                  <c:pt idx="6">
                    <c:v>2025</c:v>
                  </c:pt>
                  <c:pt idx="7">
                    <c:v>2030</c:v>
                  </c:pt>
                  <c:pt idx="8">
                    <c:v>2035</c:v>
                  </c:pt>
                  <c:pt idx="9">
                    <c:v>2040</c:v>
                  </c:pt>
                  <c:pt idx="10">
                    <c:v>2045</c:v>
                  </c:pt>
                  <c:pt idx="11">
                    <c:v>2050</c:v>
                  </c:pt>
                  <c:pt idx="12">
                    <c:v>2025</c:v>
                  </c:pt>
                  <c:pt idx="13">
                    <c:v>2030</c:v>
                  </c:pt>
                  <c:pt idx="14">
                    <c:v>2035</c:v>
                  </c:pt>
                  <c:pt idx="15">
                    <c:v>2040</c:v>
                  </c:pt>
                  <c:pt idx="16">
                    <c:v>2045</c:v>
                  </c:pt>
                  <c:pt idx="17">
                    <c:v>2050</c:v>
                  </c:pt>
                  <c:pt idx="18">
                    <c:v>2025</c:v>
                  </c:pt>
                  <c:pt idx="19">
                    <c:v>2030</c:v>
                  </c:pt>
                  <c:pt idx="20">
                    <c:v>2035</c:v>
                  </c:pt>
                  <c:pt idx="21">
                    <c:v>2040</c:v>
                  </c:pt>
                  <c:pt idx="22">
                    <c:v>2045</c:v>
                  </c:pt>
                  <c:pt idx="23">
                    <c:v>2050</c:v>
                  </c:pt>
                  <c:pt idx="24">
                    <c:v>2025</c:v>
                  </c:pt>
                  <c:pt idx="25">
                    <c:v>2030</c:v>
                  </c:pt>
                  <c:pt idx="26">
                    <c:v>2035</c:v>
                  </c:pt>
                  <c:pt idx="27">
                    <c:v>2040</c:v>
                  </c:pt>
                  <c:pt idx="28">
                    <c:v>2045</c:v>
                  </c:pt>
                  <c:pt idx="29">
                    <c:v>2050</c:v>
                  </c:pt>
                  <c:pt idx="30">
                    <c:v>2025</c:v>
                  </c:pt>
                  <c:pt idx="31">
                    <c:v>2030</c:v>
                  </c:pt>
                  <c:pt idx="32">
                    <c:v>2035</c:v>
                  </c:pt>
                  <c:pt idx="33">
                    <c:v>2040</c:v>
                  </c:pt>
                  <c:pt idx="34">
                    <c:v>2045</c:v>
                  </c:pt>
                  <c:pt idx="35">
                    <c:v>2050</c:v>
                  </c:pt>
                  <c:pt idx="36">
                    <c:v>2025</c:v>
                  </c:pt>
                  <c:pt idx="37">
                    <c:v>2030</c:v>
                  </c:pt>
                  <c:pt idx="38">
                    <c:v>2035</c:v>
                  </c:pt>
                  <c:pt idx="39">
                    <c:v>2040</c:v>
                  </c:pt>
                  <c:pt idx="40">
                    <c:v>2045</c:v>
                  </c:pt>
                  <c:pt idx="41">
                    <c:v>2050</c:v>
                  </c:pt>
                  <c:pt idx="42">
                    <c:v>2025</c:v>
                  </c:pt>
                  <c:pt idx="43">
                    <c:v>2030</c:v>
                  </c:pt>
                  <c:pt idx="44">
                    <c:v>2035</c:v>
                  </c:pt>
                  <c:pt idx="45">
                    <c:v>2040</c:v>
                  </c:pt>
                  <c:pt idx="46">
                    <c:v>2045</c:v>
                  </c:pt>
                  <c:pt idx="47">
                    <c:v>2050</c:v>
                  </c:pt>
                  <c:pt idx="48">
                    <c:v>2025</c:v>
                  </c:pt>
                  <c:pt idx="49">
                    <c:v>2030</c:v>
                  </c:pt>
                  <c:pt idx="50">
                    <c:v>2035</c:v>
                  </c:pt>
                  <c:pt idx="51">
                    <c:v>2040</c:v>
                  </c:pt>
                  <c:pt idx="52">
                    <c:v>2045</c:v>
                  </c:pt>
                  <c:pt idx="53">
                    <c:v>2050</c:v>
                  </c:pt>
                  <c:pt idx="54">
                    <c:v>2025</c:v>
                  </c:pt>
                  <c:pt idx="55">
                    <c:v>2030</c:v>
                  </c:pt>
                  <c:pt idx="56">
                    <c:v>2035</c:v>
                  </c:pt>
                  <c:pt idx="57">
                    <c:v>2040</c:v>
                  </c:pt>
                  <c:pt idx="58">
                    <c:v>2045</c:v>
                  </c:pt>
                  <c:pt idx="59">
                    <c:v>2050</c:v>
                  </c:pt>
                  <c:pt idx="60">
                    <c:v>2025</c:v>
                  </c:pt>
                  <c:pt idx="61">
                    <c:v>2030</c:v>
                  </c:pt>
                  <c:pt idx="62">
                    <c:v>2035</c:v>
                  </c:pt>
                  <c:pt idx="63">
                    <c:v>2040</c:v>
                  </c:pt>
                  <c:pt idx="64">
                    <c:v>2045</c:v>
                  </c:pt>
                  <c:pt idx="65">
                    <c:v>2050</c:v>
                  </c:pt>
                  <c:pt idx="66">
                    <c:v>2025</c:v>
                  </c:pt>
                  <c:pt idx="67">
                    <c:v>2030</c:v>
                  </c:pt>
                  <c:pt idx="68">
                    <c:v>2035</c:v>
                  </c:pt>
                  <c:pt idx="69">
                    <c:v>2040</c:v>
                  </c:pt>
                  <c:pt idx="70">
                    <c:v>2045</c:v>
                  </c:pt>
                  <c:pt idx="71">
                    <c:v>2050</c:v>
                  </c:pt>
                  <c:pt idx="72">
                    <c:v>2025</c:v>
                  </c:pt>
                  <c:pt idx="73">
                    <c:v>2030</c:v>
                  </c:pt>
                  <c:pt idx="74">
                    <c:v>2035</c:v>
                  </c:pt>
                  <c:pt idx="75">
                    <c:v>2040</c:v>
                  </c:pt>
                  <c:pt idx="76">
                    <c:v>2045</c:v>
                  </c:pt>
                  <c:pt idx="77">
                    <c:v>2050</c:v>
                  </c:pt>
                  <c:pt idx="78">
                    <c:v>2025</c:v>
                  </c:pt>
                  <c:pt idx="79">
                    <c:v>2030</c:v>
                  </c:pt>
                  <c:pt idx="80">
                    <c:v>2035</c:v>
                  </c:pt>
                  <c:pt idx="81">
                    <c:v>2040</c:v>
                  </c:pt>
                  <c:pt idx="82">
                    <c:v>2045</c:v>
                  </c:pt>
                  <c:pt idx="83">
                    <c:v>2050</c:v>
                  </c:pt>
                  <c:pt idx="84">
                    <c:v>2025</c:v>
                  </c:pt>
                  <c:pt idx="85">
                    <c:v>2030</c:v>
                  </c:pt>
                  <c:pt idx="86">
                    <c:v>2035</c:v>
                  </c:pt>
                  <c:pt idx="87">
                    <c:v>2040</c:v>
                  </c:pt>
                  <c:pt idx="88">
                    <c:v>2045</c:v>
                  </c:pt>
                  <c:pt idx="89">
                    <c:v>2050</c:v>
                  </c:pt>
                  <c:pt idx="90">
                    <c:v>2025</c:v>
                  </c:pt>
                  <c:pt idx="91">
                    <c:v>2030</c:v>
                  </c:pt>
                  <c:pt idx="92">
                    <c:v>2035</c:v>
                  </c:pt>
                  <c:pt idx="93">
                    <c:v>2040</c:v>
                  </c:pt>
                  <c:pt idx="94">
                    <c:v>2045</c:v>
                  </c:pt>
                  <c:pt idx="95">
                    <c:v>2050</c:v>
                  </c:pt>
                  <c:pt idx="96">
                    <c:v>2025</c:v>
                  </c:pt>
                  <c:pt idx="97">
                    <c:v>2030</c:v>
                  </c:pt>
                </c:lvl>
                <c:lvl>
                  <c:pt idx="6">
                    <c:v>#REF!</c:v>
                  </c:pt>
                  <c:pt idx="12">
                    <c:v>0</c:v>
                  </c:pt>
                </c:lvl>
              </c:multiLvlStrCache>
            </c:multiLvlStrRef>
          </c:cat>
          <c:val>
            <c:numRef>
              <c:f>Summary!$M$32:$M$129</c:f>
              <c:numCache>
                <c:formatCode>_(* #,##0_);_(* \(#,##0\);_(* "-"??_);_(@_)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325.3</c:v>
                </c:pt>
                <c:pt idx="7">
                  <c:v>1515.3</c:v>
                </c:pt>
                <c:pt idx="8">
                  <c:v>2115.3000000000002</c:v>
                </c:pt>
                <c:pt idx="9">
                  <c:v>2215.3000000000002</c:v>
                </c:pt>
                <c:pt idx="10">
                  <c:v>2215.3000000000002</c:v>
                </c:pt>
                <c:pt idx="11">
                  <c:v>2215.3000000000002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20-FD44-BB1C-340D3F586E26}"/>
            </c:ext>
          </c:extLst>
        </c:ser>
        <c:ser>
          <c:idx val="1"/>
          <c:order val="9"/>
          <c:tx>
            <c:strRef>
              <c:f>Summary!$N$31</c:f>
              <c:strCache>
                <c:ptCount val="1"/>
                <c:pt idx="0">
                  <c:v>4-hr Battery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multiLvlStrRef>
              <c:f>Summary!$C$32:$D$129</c:f>
              <c:multiLvlStrCache>
                <c:ptCount val="98"/>
                <c:lvl>
                  <c:pt idx="0">
                    <c:v>2025</c:v>
                  </c:pt>
                  <c:pt idx="1">
                    <c:v>2030</c:v>
                  </c:pt>
                  <c:pt idx="2">
                    <c:v>2035</c:v>
                  </c:pt>
                  <c:pt idx="3">
                    <c:v>2040</c:v>
                  </c:pt>
                  <c:pt idx="4">
                    <c:v>2045</c:v>
                  </c:pt>
                  <c:pt idx="5">
                    <c:v>2050</c:v>
                  </c:pt>
                  <c:pt idx="6">
                    <c:v>2025</c:v>
                  </c:pt>
                  <c:pt idx="7">
                    <c:v>2030</c:v>
                  </c:pt>
                  <c:pt idx="8">
                    <c:v>2035</c:v>
                  </c:pt>
                  <c:pt idx="9">
                    <c:v>2040</c:v>
                  </c:pt>
                  <c:pt idx="10">
                    <c:v>2045</c:v>
                  </c:pt>
                  <c:pt idx="11">
                    <c:v>2050</c:v>
                  </c:pt>
                  <c:pt idx="12">
                    <c:v>2025</c:v>
                  </c:pt>
                  <c:pt idx="13">
                    <c:v>2030</c:v>
                  </c:pt>
                  <c:pt idx="14">
                    <c:v>2035</c:v>
                  </c:pt>
                  <c:pt idx="15">
                    <c:v>2040</c:v>
                  </c:pt>
                  <c:pt idx="16">
                    <c:v>2045</c:v>
                  </c:pt>
                  <c:pt idx="17">
                    <c:v>2050</c:v>
                  </c:pt>
                  <c:pt idx="18">
                    <c:v>2025</c:v>
                  </c:pt>
                  <c:pt idx="19">
                    <c:v>2030</c:v>
                  </c:pt>
                  <c:pt idx="20">
                    <c:v>2035</c:v>
                  </c:pt>
                  <c:pt idx="21">
                    <c:v>2040</c:v>
                  </c:pt>
                  <c:pt idx="22">
                    <c:v>2045</c:v>
                  </c:pt>
                  <c:pt idx="23">
                    <c:v>2050</c:v>
                  </c:pt>
                  <c:pt idx="24">
                    <c:v>2025</c:v>
                  </c:pt>
                  <c:pt idx="25">
                    <c:v>2030</c:v>
                  </c:pt>
                  <c:pt idx="26">
                    <c:v>2035</c:v>
                  </c:pt>
                  <c:pt idx="27">
                    <c:v>2040</c:v>
                  </c:pt>
                  <c:pt idx="28">
                    <c:v>2045</c:v>
                  </c:pt>
                  <c:pt idx="29">
                    <c:v>2050</c:v>
                  </c:pt>
                  <c:pt idx="30">
                    <c:v>2025</c:v>
                  </c:pt>
                  <c:pt idx="31">
                    <c:v>2030</c:v>
                  </c:pt>
                  <c:pt idx="32">
                    <c:v>2035</c:v>
                  </c:pt>
                  <c:pt idx="33">
                    <c:v>2040</c:v>
                  </c:pt>
                  <c:pt idx="34">
                    <c:v>2045</c:v>
                  </c:pt>
                  <c:pt idx="35">
                    <c:v>2050</c:v>
                  </c:pt>
                  <c:pt idx="36">
                    <c:v>2025</c:v>
                  </c:pt>
                  <c:pt idx="37">
                    <c:v>2030</c:v>
                  </c:pt>
                  <c:pt idx="38">
                    <c:v>2035</c:v>
                  </c:pt>
                  <c:pt idx="39">
                    <c:v>2040</c:v>
                  </c:pt>
                  <c:pt idx="40">
                    <c:v>2045</c:v>
                  </c:pt>
                  <c:pt idx="41">
                    <c:v>2050</c:v>
                  </c:pt>
                  <c:pt idx="42">
                    <c:v>2025</c:v>
                  </c:pt>
                  <c:pt idx="43">
                    <c:v>2030</c:v>
                  </c:pt>
                  <c:pt idx="44">
                    <c:v>2035</c:v>
                  </c:pt>
                  <c:pt idx="45">
                    <c:v>2040</c:v>
                  </c:pt>
                  <c:pt idx="46">
                    <c:v>2045</c:v>
                  </c:pt>
                  <c:pt idx="47">
                    <c:v>2050</c:v>
                  </c:pt>
                  <c:pt idx="48">
                    <c:v>2025</c:v>
                  </c:pt>
                  <c:pt idx="49">
                    <c:v>2030</c:v>
                  </c:pt>
                  <c:pt idx="50">
                    <c:v>2035</c:v>
                  </c:pt>
                  <c:pt idx="51">
                    <c:v>2040</c:v>
                  </c:pt>
                  <c:pt idx="52">
                    <c:v>2045</c:v>
                  </c:pt>
                  <c:pt idx="53">
                    <c:v>2050</c:v>
                  </c:pt>
                  <c:pt idx="54">
                    <c:v>2025</c:v>
                  </c:pt>
                  <c:pt idx="55">
                    <c:v>2030</c:v>
                  </c:pt>
                  <c:pt idx="56">
                    <c:v>2035</c:v>
                  </c:pt>
                  <c:pt idx="57">
                    <c:v>2040</c:v>
                  </c:pt>
                  <c:pt idx="58">
                    <c:v>2045</c:v>
                  </c:pt>
                  <c:pt idx="59">
                    <c:v>2050</c:v>
                  </c:pt>
                  <c:pt idx="60">
                    <c:v>2025</c:v>
                  </c:pt>
                  <c:pt idx="61">
                    <c:v>2030</c:v>
                  </c:pt>
                  <c:pt idx="62">
                    <c:v>2035</c:v>
                  </c:pt>
                  <c:pt idx="63">
                    <c:v>2040</c:v>
                  </c:pt>
                  <c:pt idx="64">
                    <c:v>2045</c:v>
                  </c:pt>
                  <c:pt idx="65">
                    <c:v>2050</c:v>
                  </c:pt>
                  <c:pt idx="66">
                    <c:v>2025</c:v>
                  </c:pt>
                  <c:pt idx="67">
                    <c:v>2030</c:v>
                  </c:pt>
                  <c:pt idx="68">
                    <c:v>2035</c:v>
                  </c:pt>
                  <c:pt idx="69">
                    <c:v>2040</c:v>
                  </c:pt>
                  <c:pt idx="70">
                    <c:v>2045</c:v>
                  </c:pt>
                  <c:pt idx="71">
                    <c:v>2050</c:v>
                  </c:pt>
                  <c:pt idx="72">
                    <c:v>2025</c:v>
                  </c:pt>
                  <c:pt idx="73">
                    <c:v>2030</c:v>
                  </c:pt>
                  <c:pt idx="74">
                    <c:v>2035</c:v>
                  </c:pt>
                  <c:pt idx="75">
                    <c:v>2040</c:v>
                  </c:pt>
                  <c:pt idx="76">
                    <c:v>2045</c:v>
                  </c:pt>
                  <c:pt idx="77">
                    <c:v>2050</c:v>
                  </c:pt>
                  <c:pt idx="78">
                    <c:v>2025</c:v>
                  </c:pt>
                  <c:pt idx="79">
                    <c:v>2030</c:v>
                  </c:pt>
                  <c:pt idx="80">
                    <c:v>2035</c:v>
                  </c:pt>
                  <c:pt idx="81">
                    <c:v>2040</c:v>
                  </c:pt>
                  <c:pt idx="82">
                    <c:v>2045</c:v>
                  </c:pt>
                  <c:pt idx="83">
                    <c:v>2050</c:v>
                  </c:pt>
                  <c:pt idx="84">
                    <c:v>2025</c:v>
                  </c:pt>
                  <c:pt idx="85">
                    <c:v>2030</c:v>
                  </c:pt>
                  <c:pt idx="86">
                    <c:v>2035</c:v>
                  </c:pt>
                  <c:pt idx="87">
                    <c:v>2040</c:v>
                  </c:pt>
                  <c:pt idx="88">
                    <c:v>2045</c:v>
                  </c:pt>
                  <c:pt idx="89">
                    <c:v>2050</c:v>
                  </c:pt>
                  <c:pt idx="90">
                    <c:v>2025</c:v>
                  </c:pt>
                  <c:pt idx="91">
                    <c:v>2030</c:v>
                  </c:pt>
                  <c:pt idx="92">
                    <c:v>2035</c:v>
                  </c:pt>
                  <c:pt idx="93">
                    <c:v>2040</c:v>
                  </c:pt>
                  <c:pt idx="94">
                    <c:v>2045</c:v>
                  </c:pt>
                  <c:pt idx="95">
                    <c:v>2050</c:v>
                  </c:pt>
                  <c:pt idx="96">
                    <c:v>2025</c:v>
                  </c:pt>
                  <c:pt idx="97">
                    <c:v>2030</c:v>
                  </c:pt>
                </c:lvl>
                <c:lvl>
                  <c:pt idx="6">
                    <c:v>#REF!</c:v>
                  </c:pt>
                  <c:pt idx="12">
                    <c:v>0</c:v>
                  </c:pt>
                </c:lvl>
              </c:multiLvlStrCache>
            </c:multiLvlStrRef>
          </c:cat>
          <c:val>
            <c:numRef>
              <c:f>Summary!$N$32:$N$129</c:f>
              <c:numCache>
                <c:formatCode>_(* #,##0_);_(* \(#,##0\);_(* "-"??_);_(@_)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575</c:v>
                </c:pt>
                <c:pt idx="8">
                  <c:v>1125</c:v>
                </c:pt>
                <c:pt idx="9">
                  <c:v>1125</c:v>
                </c:pt>
                <c:pt idx="10">
                  <c:v>1125</c:v>
                </c:pt>
                <c:pt idx="11">
                  <c:v>1125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720-FD44-BB1C-340D3F586E26}"/>
            </c:ext>
          </c:extLst>
        </c:ser>
        <c:ser>
          <c:idx val="10"/>
          <c:order val="10"/>
          <c:tx>
            <c:strRef>
              <c:f>Summary!$O$31</c:f>
              <c:strCache>
                <c:ptCount val="1"/>
                <c:pt idx="0">
                  <c:v>8-hr Battery</c:v>
                </c:pt>
              </c:strCache>
            </c:strRef>
          </c:tx>
          <c:spPr>
            <a:pattFill prst="dkUpDiag">
              <a:fgClr>
                <a:srgbClr val="7030A0"/>
              </a:fgClr>
              <a:bgClr>
                <a:schemeClr val="bg1"/>
              </a:bgClr>
            </a:pattFill>
          </c:spPr>
          <c:invertIfNegative val="0"/>
          <c:cat>
            <c:multiLvlStrRef>
              <c:f>Summary!$C$32:$D$129</c:f>
              <c:multiLvlStrCache>
                <c:ptCount val="98"/>
                <c:lvl>
                  <c:pt idx="0">
                    <c:v>2025</c:v>
                  </c:pt>
                  <c:pt idx="1">
                    <c:v>2030</c:v>
                  </c:pt>
                  <c:pt idx="2">
                    <c:v>2035</c:v>
                  </c:pt>
                  <c:pt idx="3">
                    <c:v>2040</c:v>
                  </c:pt>
                  <c:pt idx="4">
                    <c:v>2045</c:v>
                  </c:pt>
                  <c:pt idx="5">
                    <c:v>2050</c:v>
                  </c:pt>
                  <c:pt idx="6">
                    <c:v>2025</c:v>
                  </c:pt>
                  <c:pt idx="7">
                    <c:v>2030</c:v>
                  </c:pt>
                  <c:pt idx="8">
                    <c:v>2035</c:v>
                  </c:pt>
                  <c:pt idx="9">
                    <c:v>2040</c:v>
                  </c:pt>
                  <c:pt idx="10">
                    <c:v>2045</c:v>
                  </c:pt>
                  <c:pt idx="11">
                    <c:v>2050</c:v>
                  </c:pt>
                  <c:pt idx="12">
                    <c:v>2025</c:v>
                  </c:pt>
                  <c:pt idx="13">
                    <c:v>2030</c:v>
                  </c:pt>
                  <c:pt idx="14">
                    <c:v>2035</c:v>
                  </c:pt>
                  <c:pt idx="15">
                    <c:v>2040</c:v>
                  </c:pt>
                  <c:pt idx="16">
                    <c:v>2045</c:v>
                  </c:pt>
                  <c:pt idx="17">
                    <c:v>2050</c:v>
                  </c:pt>
                  <c:pt idx="18">
                    <c:v>2025</c:v>
                  </c:pt>
                  <c:pt idx="19">
                    <c:v>2030</c:v>
                  </c:pt>
                  <c:pt idx="20">
                    <c:v>2035</c:v>
                  </c:pt>
                  <c:pt idx="21">
                    <c:v>2040</c:v>
                  </c:pt>
                  <c:pt idx="22">
                    <c:v>2045</c:v>
                  </c:pt>
                  <c:pt idx="23">
                    <c:v>2050</c:v>
                  </c:pt>
                  <c:pt idx="24">
                    <c:v>2025</c:v>
                  </c:pt>
                  <c:pt idx="25">
                    <c:v>2030</c:v>
                  </c:pt>
                  <c:pt idx="26">
                    <c:v>2035</c:v>
                  </c:pt>
                  <c:pt idx="27">
                    <c:v>2040</c:v>
                  </c:pt>
                  <c:pt idx="28">
                    <c:v>2045</c:v>
                  </c:pt>
                  <c:pt idx="29">
                    <c:v>2050</c:v>
                  </c:pt>
                  <c:pt idx="30">
                    <c:v>2025</c:v>
                  </c:pt>
                  <c:pt idx="31">
                    <c:v>2030</c:v>
                  </c:pt>
                  <c:pt idx="32">
                    <c:v>2035</c:v>
                  </c:pt>
                  <c:pt idx="33">
                    <c:v>2040</c:v>
                  </c:pt>
                  <c:pt idx="34">
                    <c:v>2045</c:v>
                  </c:pt>
                  <c:pt idx="35">
                    <c:v>2050</c:v>
                  </c:pt>
                  <c:pt idx="36">
                    <c:v>2025</c:v>
                  </c:pt>
                  <c:pt idx="37">
                    <c:v>2030</c:v>
                  </c:pt>
                  <c:pt idx="38">
                    <c:v>2035</c:v>
                  </c:pt>
                  <c:pt idx="39">
                    <c:v>2040</c:v>
                  </c:pt>
                  <c:pt idx="40">
                    <c:v>2045</c:v>
                  </c:pt>
                  <c:pt idx="41">
                    <c:v>2050</c:v>
                  </c:pt>
                  <c:pt idx="42">
                    <c:v>2025</c:v>
                  </c:pt>
                  <c:pt idx="43">
                    <c:v>2030</c:v>
                  </c:pt>
                  <c:pt idx="44">
                    <c:v>2035</c:v>
                  </c:pt>
                  <c:pt idx="45">
                    <c:v>2040</c:v>
                  </c:pt>
                  <c:pt idx="46">
                    <c:v>2045</c:v>
                  </c:pt>
                  <c:pt idx="47">
                    <c:v>2050</c:v>
                  </c:pt>
                  <c:pt idx="48">
                    <c:v>2025</c:v>
                  </c:pt>
                  <c:pt idx="49">
                    <c:v>2030</c:v>
                  </c:pt>
                  <c:pt idx="50">
                    <c:v>2035</c:v>
                  </c:pt>
                  <c:pt idx="51">
                    <c:v>2040</c:v>
                  </c:pt>
                  <c:pt idx="52">
                    <c:v>2045</c:v>
                  </c:pt>
                  <c:pt idx="53">
                    <c:v>2050</c:v>
                  </c:pt>
                  <c:pt idx="54">
                    <c:v>2025</c:v>
                  </c:pt>
                  <c:pt idx="55">
                    <c:v>2030</c:v>
                  </c:pt>
                  <c:pt idx="56">
                    <c:v>2035</c:v>
                  </c:pt>
                  <c:pt idx="57">
                    <c:v>2040</c:v>
                  </c:pt>
                  <c:pt idx="58">
                    <c:v>2045</c:v>
                  </c:pt>
                  <c:pt idx="59">
                    <c:v>2050</c:v>
                  </c:pt>
                  <c:pt idx="60">
                    <c:v>2025</c:v>
                  </c:pt>
                  <c:pt idx="61">
                    <c:v>2030</c:v>
                  </c:pt>
                  <c:pt idx="62">
                    <c:v>2035</c:v>
                  </c:pt>
                  <c:pt idx="63">
                    <c:v>2040</c:v>
                  </c:pt>
                  <c:pt idx="64">
                    <c:v>2045</c:v>
                  </c:pt>
                  <c:pt idx="65">
                    <c:v>2050</c:v>
                  </c:pt>
                  <c:pt idx="66">
                    <c:v>2025</c:v>
                  </c:pt>
                  <c:pt idx="67">
                    <c:v>2030</c:v>
                  </c:pt>
                  <c:pt idx="68">
                    <c:v>2035</c:v>
                  </c:pt>
                  <c:pt idx="69">
                    <c:v>2040</c:v>
                  </c:pt>
                  <c:pt idx="70">
                    <c:v>2045</c:v>
                  </c:pt>
                  <c:pt idx="71">
                    <c:v>2050</c:v>
                  </c:pt>
                  <c:pt idx="72">
                    <c:v>2025</c:v>
                  </c:pt>
                  <c:pt idx="73">
                    <c:v>2030</c:v>
                  </c:pt>
                  <c:pt idx="74">
                    <c:v>2035</c:v>
                  </c:pt>
                  <c:pt idx="75">
                    <c:v>2040</c:v>
                  </c:pt>
                  <c:pt idx="76">
                    <c:v>2045</c:v>
                  </c:pt>
                  <c:pt idx="77">
                    <c:v>2050</c:v>
                  </c:pt>
                  <c:pt idx="78">
                    <c:v>2025</c:v>
                  </c:pt>
                  <c:pt idx="79">
                    <c:v>2030</c:v>
                  </c:pt>
                  <c:pt idx="80">
                    <c:v>2035</c:v>
                  </c:pt>
                  <c:pt idx="81">
                    <c:v>2040</c:v>
                  </c:pt>
                  <c:pt idx="82">
                    <c:v>2045</c:v>
                  </c:pt>
                  <c:pt idx="83">
                    <c:v>2050</c:v>
                  </c:pt>
                  <c:pt idx="84">
                    <c:v>2025</c:v>
                  </c:pt>
                  <c:pt idx="85">
                    <c:v>2030</c:v>
                  </c:pt>
                  <c:pt idx="86">
                    <c:v>2035</c:v>
                  </c:pt>
                  <c:pt idx="87">
                    <c:v>2040</c:v>
                  </c:pt>
                  <c:pt idx="88">
                    <c:v>2045</c:v>
                  </c:pt>
                  <c:pt idx="89">
                    <c:v>2050</c:v>
                  </c:pt>
                  <c:pt idx="90">
                    <c:v>2025</c:v>
                  </c:pt>
                  <c:pt idx="91">
                    <c:v>2030</c:v>
                  </c:pt>
                  <c:pt idx="92">
                    <c:v>2035</c:v>
                  </c:pt>
                  <c:pt idx="93">
                    <c:v>2040</c:v>
                  </c:pt>
                  <c:pt idx="94">
                    <c:v>2045</c:v>
                  </c:pt>
                  <c:pt idx="95">
                    <c:v>2050</c:v>
                  </c:pt>
                  <c:pt idx="96">
                    <c:v>2025</c:v>
                  </c:pt>
                  <c:pt idx="97">
                    <c:v>2030</c:v>
                  </c:pt>
                </c:lvl>
                <c:lvl>
                  <c:pt idx="6">
                    <c:v>#REF!</c:v>
                  </c:pt>
                  <c:pt idx="12">
                    <c:v>0</c:v>
                  </c:pt>
                </c:lvl>
              </c:multiLvlStrCache>
            </c:multiLvlStrRef>
          </c:cat>
          <c:val>
            <c:numRef>
              <c:f>Summary!$O$32:$O$129</c:f>
              <c:numCache>
                <c:formatCode>_(* #,##0_);_(* \(#,##0\);_(* "-"??_);_(@_)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720-FD44-BB1C-340D3F586E26}"/>
            </c:ext>
          </c:extLst>
        </c:ser>
        <c:ser>
          <c:idx val="11"/>
          <c:order val="11"/>
          <c:tx>
            <c:strRef>
              <c:f>Summary!$P$31</c:f>
              <c:strCache>
                <c:ptCount val="1"/>
                <c:pt idx="0">
                  <c:v>100-hr Battery</c:v>
                </c:pt>
              </c:strCache>
            </c:strRef>
          </c:tx>
          <c:spPr>
            <a:solidFill>
              <a:srgbClr val="002060"/>
            </a:solidFill>
          </c:spPr>
          <c:invertIfNegative val="0"/>
          <c:cat>
            <c:multiLvlStrRef>
              <c:f>Summary!$C$32:$D$129</c:f>
              <c:multiLvlStrCache>
                <c:ptCount val="98"/>
                <c:lvl>
                  <c:pt idx="0">
                    <c:v>2025</c:v>
                  </c:pt>
                  <c:pt idx="1">
                    <c:v>2030</c:v>
                  </c:pt>
                  <c:pt idx="2">
                    <c:v>2035</c:v>
                  </c:pt>
                  <c:pt idx="3">
                    <c:v>2040</c:v>
                  </c:pt>
                  <c:pt idx="4">
                    <c:v>2045</c:v>
                  </c:pt>
                  <c:pt idx="5">
                    <c:v>2050</c:v>
                  </c:pt>
                  <c:pt idx="6">
                    <c:v>2025</c:v>
                  </c:pt>
                  <c:pt idx="7">
                    <c:v>2030</c:v>
                  </c:pt>
                  <c:pt idx="8">
                    <c:v>2035</c:v>
                  </c:pt>
                  <c:pt idx="9">
                    <c:v>2040</c:v>
                  </c:pt>
                  <c:pt idx="10">
                    <c:v>2045</c:v>
                  </c:pt>
                  <c:pt idx="11">
                    <c:v>2050</c:v>
                  </c:pt>
                  <c:pt idx="12">
                    <c:v>2025</c:v>
                  </c:pt>
                  <c:pt idx="13">
                    <c:v>2030</c:v>
                  </c:pt>
                  <c:pt idx="14">
                    <c:v>2035</c:v>
                  </c:pt>
                  <c:pt idx="15">
                    <c:v>2040</c:v>
                  </c:pt>
                  <c:pt idx="16">
                    <c:v>2045</c:v>
                  </c:pt>
                  <c:pt idx="17">
                    <c:v>2050</c:v>
                  </c:pt>
                  <c:pt idx="18">
                    <c:v>2025</c:v>
                  </c:pt>
                  <c:pt idx="19">
                    <c:v>2030</c:v>
                  </c:pt>
                  <c:pt idx="20">
                    <c:v>2035</c:v>
                  </c:pt>
                  <c:pt idx="21">
                    <c:v>2040</c:v>
                  </c:pt>
                  <c:pt idx="22">
                    <c:v>2045</c:v>
                  </c:pt>
                  <c:pt idx="23">
                    <c:v>2050</c:v>
                  </c:pt>
                  <c:pt idx="24">
                    <c:v>2025</c:v>
                  </c:pt>
                  <c:pt idx="25">
                    <c:v>2030</c:v>
                  </c:pt>
                  <c:pt idx="26">
                    <c:v>2035</c:v>
                  </c:pt>
                  <c:pt idx="27">
                    <c:v>2040</c:v>
                  </c:pt>
                  <c:pt idx="28">
                    <c:v>2045</c:v>
                  </c:pt>
                  <c:pt idx="29">
                    <c:v>2050</c:v>
                  </c:pt>
                  <c:pt idx="30">
                    <c:v>2025</c:v>
                  </c:pt>
                  <c:pt idx="31">
                    <c:v>2030</c:v>
                  </c:pt>
                  <c:pt idx="32">
                    <c:v>2035</c:v>
                  </c:pt>
                  <c:pt idx="33">
                    <c:v>2040</c:v>
                  </c:pt>
                  <c:pt idx="34">
                    <c:v>2045</c:v>
                  </c:pt>
                  <c:pt idx="35">
                    <c:v>2050</c:v>
                  </c:pt>
                  <c:pt idx="36">
                    <c:v>2025</c:v>
                  </c:pt>
                  <c:pt idx="37">
                    <c:v>2030</c:v>
                  </c:pt>
                  <c:pt idx="38">
                    <c:v>2035</c:v>
                  </c:pt>
                  <c:pt idx="39">
                    <c:v>2040</c:v>
                  </c:pt>
                  <c:pt idx="40">
                    <c:v>2045</c:v>
                  </c:pt>
                  <c:pt idx="41">
                    <c:v>2050</c:v>
                  </c:pt>
                  <c:pt idx="42">
                    <c:v>2025</c:v>
                  </c:pt>
                  <c:pt idx="43">
                    <c:v>2030</c:v>
                  </c:pt>
                  <c:pt idx="44">
                    <c:v>2035</c:v>
                  </c:pt>
                  <c:pt idx="45">
                    <c:v>2040</c:v>
                  </c:pt>
                  <c:pt idx="46">
                    <c:v>2045</c:v>
                  </c:pt>
                  <c:pt idx="47">
                    <c:v>2050</c:v>
                  </c:pt>
                  <c:pt idx="48">
                    <c:v>2025</c:v>
                  </c:pt>
                  <c:pt idx="49">
                    <c:v>2030</c:v>
                  </c:pt>
                  <c:pt idx="50">
                    <c:v>2035</c:v>
                  </c:pt>
                  <c:pt idx="51">
                    <c:v>2040</c:v>
                  </c:pt>
                  <c:pt idx="52">
                    <c:v>2045</c:v>
                  </c:pt>
                  <c:pt idx="53">
                    <c:v>2050</c:v>
                  </c:pt>
                  <c:pt idx="54">
                    <c:v>2025</c:v>
                  </c:pt>
                  <c:pt idx="55">
                    <c:v>2030</c:v>
                  </c:pt>
                  <c:pt idx="56">
                    <c:v>2035</c:v>
                  </c:pt>
                  <c:pt idx="57">
                    <c:v>2040</c:v>
                  </c:pt>
                  <c:pt idx="58">
                    <c:v>2045</c:v>
                  </c:pt>
                  <c:pt idx="59">
                    <c:v>2050</c:v>
                  </c:pt>
                  <c:pt idx="60">
                    <c:v>2025</c:v>
                  </c:pt>
                  <c:pt idx="61">
                    <c:v>2030</c:v>
                  </c:pt>
                  <c:pt idx="62">
                    <c:v>2035</c:v>
                  </c:pt>
                  <c:pt idx="63">
                    <c:v>2040</c:v>
                  </c:pt>
                  <c:pt idx="64">
                    <c:v>2045</c:v>
                  </c:pt>
                  <c:pt idx="65">
                    <c:v>2050</c:v>
                  </c:pt>
                  <c:pt idx="66">
                    <c:v>2025</c:v>
                  </c:pt>
                  <c:pt idx="67">
                    <c:v>2030</c:v>
                  </c:pt>
                  <c:pt idx="68">
                    <c:v>2035</c:v>
                  </c:pt>
                  <c:pt idx="69">
                    <c:v>2040</c:v>
                  </c:pt>
                  <c:pt idx="70">
                    <c:v>2045</c:v>
                  </c:pt>
                  <c:pt idx="71">
                    <c:v>2050</c:v>
                  </c:pt>
                  <c:pt idx="72">
                    <c:v>2025</c:v>
                  </c:pt>
                  <c:pt idx="73">
                    <c:v>2030</c:v>
                  </c:pt>
                  <c:pt idx="74">
                    <c:v>2035</c:v>
                  </c:pt>
                  <c:pt idx="75">
                    <c:v>2040</c:v>
                  </c:pt>
                  <c:pt idx="76">
                    <c:v>2045</c:v>
                  </c:pt>
                  <c:pt idx="77">
                    <c:v>2050</c:v>
                  </c:pt>
                  <c:pt idx="78">
                    <c:v>2025</c:v>
                  </c:pt>
                  <c:pt idx="79">
                    <c:v>2030</c:v>
                  </c:pt>
                  <c:pt idx="80">
                    <c:v>2035</c:v>
                  </c:pt>
                  <c:pt idx="81">
                    <c:v>2040</c:v>
                  </c:pt>
                  <c:pt idx="82">
                    <c:v>2045</c:v>
                  </c:pt>
                  <c:pt idx="83">
                    <c:v>2050</c:v>
                  </c:pt>
                  <c:pt idx="84">
                    <c:v>2025</c:v>
                  </c:pt>
                  <c:pt idx="85">
                    <c:v>2030</c:v>
                  </c:pt>
                  <c:pt idx="86">
                    <c:v>2035</c:v>
                  </c:pt>
                  <c:pt idx="87">
                    <c:v>2040</c:v>
                  </c:pt>
                  <c:pt idx="88">
                    <c:v>2045</c:v>
                  </c:pt>
                  <c:pt idx="89">
                    <c:v>2050</c:v>
                  </c:pt>
                  <c:pt idx="90">
                    <c:v>2025</c:v>
                  </c:pt>
                  <c:pt idx="91">
                    <c:v>2030</c:v>
                  </c:pt>
                  <c:pt idx="92">
                    <c:v>2035</c:v>
                  </c:pt>
                  <c:pt idx="93">
                    <c:v>2040</c:v>
                  </c:pt>
                  <c:pt idx="94">
                    <c:v>2045</c:v>
                  </c:pt>
                  <c:pt idx="95">
                    <c:v>2050</c:v>
                  </c:pt>
                  <c:pt idx="96">
                    <c:v>2025</c:v>
                  </c:pt>
                  <c:pt idx="97">
                    <c:v>2030</c:v>
                  </c:pt>
                </c:lvl>
                <c:lvl>
                  <c:pt idx="6">
                    <c:v>#REF!</c:v>
                  </c:pt>
                  <c:pt idx="12">
                    <c:v>0</c:v>
                  </c:pt>
                </c:lvl>
              </c:multiLvlStrCache>
            </c:multiLvlStrRef>
          </c:cat>
          <c:val>
            <c:numRef>
              <c:f>Summary!$P$32:$P$129</c:f>
              <c:numCache>
                <c:formatCode>_(* #,##0_);_(* \(#,##0\);_(* "-"??_);_(@_)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720-FD44-BB1C-340D3F586E26}"/>
            </c:ext>
          </c:extLst>
        </c:ser>
        <c:ser>
          <c:idx val="12"/>
          <c:order val="12"/>
          <c:tx>
            <c:strRef>
              <c:f>Summary!$Q$31</c:f>
              <c:strCache>
                <c:ptCount val="1"/>
                <c:pt idx="0">
                  <c:v>Capacity Purchase</c:v>
                </c:pt>
              </c:strCache>
            </c:strRef>
          </c:tx>
          <c:invertIfNegative val="0"/>
          <c:cat>
            <c:multiLvlStrRef>
              <c:f>Summary!$C$32:$D$129</c:f>
              <c:multiLvlStrCache>
                <c:ptCount val="98"/>
                <c:lvl>
                  <c:pt idx="0">
                    <c:v>2025</c:v>
                  </c:pt>
                  <c:pt idx="1">
                    <c:v>2030</c:v>
                  </c:pt>
                  <c:pt idx="2">
                    <c:v>2035</c:v>
                  </c:pt>
                  <c:pt idx="3">
                    <c:v>2040</c:v>
                  </c:pt>
                  <c:pt idx="4">
                    <c:v>2045</c:v>
                  </c:pt>
                  <c:pt idx="5">
                    <c:v>2050</c:v>
                  </c:pt>
                  <c:pt idx="6">
                    <c:v>2025</c:v>
                  </c:pt>
                  <c:pt idx="7">
                    <c:v>2030</c:v>
                  </c:pt>
                  <c:pt idx="8">
                    <c:v>2035</c:v>
                  </c:pt>
                  <c:pt idx="9">
                    <c:v>2040</c:v>
                  </c:pt>
                  <c:pt idx="10">
                    <c:v>2045</c:v>
                  </c:pt>
                  <c:pt idx="11">
                    <c:v>2050</c:v>
                  </c:pt>
                  <c:pt idx="12">
                    <c:v>2025</c:v>
                  </c:pt>
                  <c:pt idx="13">
                    <c:v>2030</c:v>
                  </c:pt>
                  <c:pt idx="14">
                    <c:v>2035</c:v>
                  </c:pt>
                  <c:pt idx="15">
                    <c:v>2040</c:v>
                  </c:pt>
                  <c:pt idx="16">
                    <c:v>2045</c:v>
                  </c:pt>
                  <c:pt idx="17">
                    <c:v>2050</c:v>
                  </c:pt>
                  <c:pt idx="18">
                    <c:v>2025</c:v>
                  </c:pt>
                  <c:pt idx="19">
                    <c:v>2030</c:v>
                  </c:pt>
                  <c:pt idx="20">
                    <c:v>2035</c:v>
                  </c:pt>
                  <c:pt idx="21">
                    <c:v>2040</c:v>
                  </c:pt>
                  <c:pt idx="22">
                    <c:v>2045</c:v>
                  </c:pt>
                  <c:pt idx="23">
                    <c:v>2050</c:v>
                  </c:pt>
                  <c:pt idx="24">
                    <c:v>2025</c:v>
                  </c:pt>
                  <c:pt idx="25">
                    <c:v>2030</c:v>
                  </c:pt>
                  <c:pt idx="26">
                    <c:v>2035</c:v>
                  </c:pt>
                  <c:pt idx="27">
                    <c:v>2040</c:v>
                  </c:pt>
                  <c:pt idx="28">
                    <c:v>2045</c:v>
                  </c:pt>
                  <c:pt idx="29">
                    <c:v>2050</c:v>
                  </c:pt>
                  <c:pt idx="30">
                    <c:v>2025</c:v>
                  </c:pt>
                  <c:pt idx="31">
                    <c:v>2030</c:v>
                  </c:pt>
                  <c:pt idx="32">
                    <c:v>2035</c:v>
                  </c:pt>
                  <c:pt idx="33">
                    <c:v>2040</c:v>
                  </c:pt>
                  <c:pt idx="34">
                    <c:v>2045</c:v>
                  </c:pt>
                  <c:pt idx="35">
                    <c:v>2050</c:v>
                  </c:pt>
                  <c:pt idx="36">
                    <c:v>2025</c:v>
                  </c:pt>
                  <c:pt idx="37">
                    <c:v>2030</c:v>
                  </c:pt>
                  <c:pt idx="38">
                    <c:v>2035</c:v>
                  </c:pt>
                  <c:pt idx="39">
                    <c:v>2040</c:v>
                  </c:pt>
                  <c:pt idx="40">
                    <c:v>2045</c:v>
                  </c:pt>
                  <c:pt idx="41">
                    <c:v>2050</c:v>
                  </c:pt>
                  <c:pt idx="42">
                    <c:v>2025</c:v>
                  </c:pt>
                  <c:pt idx="43">
                    <c:v>2030</c:v>
                  </c:pt>
                  <c:pt idx="44">
                    <c:v>2035</c:v>
                  </c:pt>
                  <c:pt idx="45">
                    <c:v>2040</c:v>
                  </c:pt>
                  <c:pt idx="46">
                    <c:v>2045</c:v>
                  </c:pt>
                  <c:pt idx="47">
                    <c:v>2050</c:v>
                  </c:pt>
                  <c:pt idx="48">
                    <c:v>2025</c:v>
                  </c:pt>
                  <c:pt idx="49">
                    <c:v>2030</c:v>
                  </c:pt>
                  <c:pt idx="50">
                    <c:v>2035</c:v>
                  </c:pt>
                  <c:pt idx="51">
                    <c:v>2040</c:v>
                  </c:pt>
                  <c:pt idx="52">
                    <c:v>2045</c:v>
                  </c:pt>
                  <c:pt idx="53">
                    <c:v>2050</c:v>
                  </c:pt>
                  <c:pt idx="54">
                    <c:v>2025</c:v>
                  </c:pt>
                  <c:pt idx="55">
                    <c:v>2030</c:v>
                  </c:pt>
                  <c:pt idx="56">
                    <c:v>2035</c:v>
                  </c:pt>
                  <c:pt idx="57">
                    <c:v>2040</c:v>
                  </c:pt>
                  <c:pt idx="58">
                    <c:v>2045</c:v>
                  </c:pt>
                  <c:pt idx="59">
                    <c:v>2050</c:v>
                  </c:pt>
                  <c:pt idx="60">
                    <c:v>2025</c:v>
                  </c:pt>
                  <c:pt idx="61">
                    <c:v>2030</c:v>
                  </c:pt>
                  <c:pt idx="62">
                    <c:v>2035</c:v>
                  </c:pt>
                  <c:pt idx="63">
                    <c:v>2040</c:v>
                  </c:pt>
                  <c:pt idx="64">
                    <c:v>2045</c:v>
                  </c:pt>
                  <c:pt idx="65">
                    <c:v>2050</c:v>
                  </c:pt>
                  <c:pt idx="66">
                    <c:v>2025</c:v>
                  </c:pt>
                  <c:pt idx="67">
                    <c:v>2030</c:v>
                  </c:pt>
                  <c:pt idx="68">
                    <c:v>2035</c:v>
                  </c:pt>
                  <c:pt idx="69">
                    <c:v>2040</c:v>
                  </c:pt>
                  <c:pt idx="70">
                    <c:v>2045</c:v>
                  </c:pt>
                  <c:pt idx="71">
                    <c:v>2050</c:v>
                  </c:pt>
                  <c:pt idx="72">
                    <c:v>2025</c:v>
                  </c:pt>
                  <c:pt idx="73">
                    <c:v>2030</c:v>
                  </c:pt>
                  <c:pt idx="74">
                    <c:v>2035</c:v>
                  </c:pt>
                  <c:pt idx="75">
                    <c:v>2040</c:v>
                  </c:pt>
                  <c:pt idx="76">
                    <c:v>2045</c:v>
                  </c:pt>
                  <c:pt idx="77">
                    <c:v>2050</c:v>
                  </c:pt>
                  <c:pt idx="78">
                    <c:v>2025</c:v>
                  </c:pt>
                  <c:pt idx="79">
                    <c:v>2030</c:v>
                  </c:pt>
                  <c:pt idx="80">
                    <c:v>2035</c:v>
                  </c:pt>
                  <c:pt idx="81">
                    <c:v>2040</c:v>
                  </c:pt>
                  <c:pt idx="82">
                    <c:v>2045</c:v>
                  </c:pt>
                  <c:pt idx="83">
                    <c:v>2050</c:v>
                  </c:pt>
                  <c:pt idx="84">
                    <c:v>2025</c:v>
                  </c:pt>
                  <c:pt idx="85">
                    <c:v>2030</c:v>
                  </c:pt>
                  <c:pt idx="86">
                    <c:v>2035</c:v>
                  </c:pt>
                  <c:pt idx="87">
                    <c:v>2040</c:v>
                  </c:pt>
                  <c:pt idx="88">
                    <c:v>2045</c:v>
                  </c:pt>
                  <c:pt idx="89">
                    <c:v>2050</c:v>
                  </c:pt>
                  <c:pt idx="90">
                    <c:v>2025</c:v>
                  </c:pt>
                  <c:pt idx="91">
                    <c:v>2030</c:v>
                  </c:pt>
                  <c:pt idx="92">
                    <c:v>2035</c:v>
                  </c:pt>
                  <c:pt idx="93">
                    <c:v>2040</c:v>
                  </c:pt>
                  <c:pt idx="94">
                    <c:v>2045</c:v>
                  </c:pt>
                  <c:pt idx="95">
                    <c:v>2050</c:v>
                  </c:pt>
                  <c:pt idx="96">
                    <c:v>2025</c:v>
                  </c:pt>
                  <c:pt idx="97">
                    <c:v>2030</c:v>
                  </c:pt>
                </c:lvl>
                <c:lvl>
                  <c:pt idx="6">
                    <c:v>#REF!</c:v>
                  </c:pt>
                  <c:pt idx="12">
                    <c:v>0</c:v>
                  </c:pt>
                </c:lvl>
              </c:multiLvlStrCache>
            </c:multiLvlStrRef>
          </c:cat>
          <c:val>
            <c:numRef>
              <c:f>Summary!$Q$32:$Q$129</c:f>
              <c:numCache>
                <c:formatCode>_(* #,##0_);_(* \(#,##0\);_(* "-"??_);_(@_)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7-9E48-8507-264DB3513D04}"/>
            </c:ext>
          </c:extLst>
        </c:ser>
        <c:ser>
          <c:idx val="13"/>
          <c:order val="13"/>
          <c:tx>
            <c:strRef>
              <c:f>Summary!$R$31</c:f>
              <c:strCache>
                <c:ptCount val="1"/>
                <c:pt idx="0">
                  <c:v> </c:v>
                </c:pt>
              </c:strCache>
            </c:strRef>
          </c:tx>
          <c:invertIfNegative val="0"/>
          <c:dLbls>
            <c:dLbl>
              <c:idx val="0"/>
              <c:tx>
                <c:rich>
                  <a:bodyPr/>
                  <a:lstStyle/>
                  <a:p>
                    <a:fld id="{63D1C61C-0257-8648-A4CB-50B55CF63D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5A7-9E48-8507-264DB3513D0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DC25F95-E60F-7F45-8D01-260A50350F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5A7-9E48-8507-264DB3513D0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1AA9848-99B2-0645-9FC6-E3E40413B1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5A7-9E48-8507-264DB3513D0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15E62D8-10A3-F047-A7EA-E3E5745498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5A7-9E48-8507-264DB3513D0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5601E09-9A51-FB41-9F5D-5D3BF9F8F2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5A7-9E48-8507-264DB3513D0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CA3CF41-414D-7D4F-A4A3-F86946523D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5A7-9E48-8507-264DB3513D0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D1FAE1F-06AD-7C45-B157-D59298B0F1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5A7-9E48-8507-264DB3513D0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56F1DA1-E3D9-F14D-BED7-FEC34F818B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5A7-9E48-8507-264DB3513D0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7DE8067-8C2F-EA49-B2BF-E58D4ACD45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5A7-9E48-8507-264DB3513D0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8CA9500-1E24-A64C-AF38-6054A5977D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5A7-9E48-8507-264DB3513D0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607E50A-54FE-914A-9A23-B3E8FA2A0A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5A7-9E48-8507-264DB3513D0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127C3FB-A2A3-7D45-BDCC-279681E959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5A7-9E48-8507-264DB3513D0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85C63B4-EF81-7243-B18F-0799EE6072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5A7-9E48-8507-264DB3513D0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317C0CF-907D-4A44-BC9F-A5B2E4B0E6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5A7-9E48-8507-264DB3513D0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E25E229-8B16-F94B-9C40-90D4505AF1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5A7-9E48-8507-264DB3513D0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A518342-B11A-5E46-9C98-70022209E2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5A7-9E48-8507-264DB3513D0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C64F840-9FF0-9941-99EA-19FE7E2857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5A7-9E48-8507-264DB3513D0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B745006-029A-A64A-B33F-DD3AFE501E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5A7-9E48-8507-264DB3513D0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8FE59E9-DB8F-4248-95BF-4F3E248927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5A7-9E48-8507-264DB3513D0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11831C8-608E-A245-912D-E46FB938F7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5A7-9E48-8507-264DB3513D0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A0F1D2F-4F1F-6A46-BD0C-4C035D2994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C5A7-9E48-8507-264DB3513D0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6C67D6A-FBAB-B143-BCED-A9C87C8E6D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5A7-9E48-8507-264DB3513D0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5FFE4D3-FB09-E842-B10F-93A25EEC47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5A7-9E48-8507-264DB3513D0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5DFD55B-EB07-724D-86A5-1F40322ACA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5A7-9E48-8507-264DB3513D0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235E20FA-7EE8-FA46-A1D6-2D0B4F23ED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5A7-9E48-8507-264DB3513D0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34E62EAD-B124-5D4B-A663-E0D6E0E472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5A7-9E48-8507-264DB3513D0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E622AA83-37B7-4443-BE6D-10EA665C3C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C5A7-9E48-8507-264DB3513D0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62897815-6D8A-2348-B683-C159FF6FD9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C5A7-9E48-8507-264DB3513D0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8A2FBB99-17B8-FE4B-ACB0-FDBDC1B7E1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C5A7-9E48-8507-264DB3513D0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264D7E8D-3C62-1B47-9214-1A83A11740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C5A7-9E48-8507-264DB3513D0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8B940DD6-BE69-2F4A-9F08-4C07F272B4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C5A7-9E48-8507-264DB3513D04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0D06FFE8-7543-9C47-A1DB-B3771AC2B6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C5A7-9E48-8507-264DB3513D04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C7C38DE0-40BD-4E40-93EB-7966671C1B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C5A7-9E48-8507-264DB3513D04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86FAD9CF-1AA6-F747-89BB-27221AABF1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C5A7-9E48-8507-264DB3513D04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07CD57E4-D521-EE4D-B456-E29A6743F6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C5A7-9E48-8507-264DB3513D04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2B49D477-8A34-2640-9656-24B3B357E0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C5A7-9E48-8507-264DB3513D04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E41566F5-9C2D-E343-B66F-A27B80F0CE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C5A7-9E48-8507-264DB3513D04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D0826A9F-D8DD-2C4E-B4FF-E2AD0CEF8E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C5A7-9E48-8507-264DB3513D04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FB771EAD-1E54-734D-B3D5-CB7EDA9881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C5A7-9E48-8507-264DB3513D04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760D1EAF-4F48-A04F-823A-72490C82B4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C5A7-9E48-8507-264DB3513D04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CD0CBAE2-12ED-3C43-81A4-A3A60111FE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C5A7-9E48-8507-264DB3513D04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A3AF6791-68D8-5043-964F-34E97576CA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C5A7-9E48-8507-264DB3513D04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2C18B5CA-7B47-BC49-B98B-394AE5B6F2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C5A7-9E48-8507-264DB3513D04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6B0A7068-D714-664A-91D1-55FDA5039D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C5A7-9E48-8507-264DB3513D04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1154C095-E126-CB45-BFF4-1319E58E23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C5A7-9E48-8507-264DB3513D04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C0DE2E3F-998F-FD49-A223-92D1C7A41D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C5A7-9E48-8507-264DB3513D04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E47BFE55-1E9D-AA4F-97AC-D461EF36BB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C5A7-9E48-8507-264DB3513D04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80A0B1F8-5F07-314F-9778-DFFF7B51DE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C5A7-9E48-8507-264DB3513D04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887E4AC1-82F3-C443-A0BA-0E878F6B4E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C5A7-9E48-8507-264DB3513D04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32EDE03F-42CE-5047-BD99-F050BC3B41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C5A7-9E48-8507-264DB3513D04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53705858-71BB-514A-90F3-1D7A3B8D7B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C5A7-9E48-8507-264DB3513D04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5359F745-98F8-9A40-894E-452A8F9D8B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C5A7-9E48-8507-264DB3513D04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C9FCCD21-2FAC-5F41-B46B-09FDF7433D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C5A7-9E48-8507-264DB3513D04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F82B692C-297B-AE43-B0AE-C0FE9F9250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C5A7-9E48-8507-264DB3513D04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876B3D1D-6818-F64A-88AD-3859BF6246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C5A7-9E48-8507-264DB3513D04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E59AD72E-DB4B-1749-9FBA-A6EA24082E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C5A7-9E48-8507-264DB3513D04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7B48CF06-B45B-D44A-B492-46BB5446A9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C5A7-9E48-8507-264DB3513D04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E157BCC3-C8D8-AA41-9D6E-C8F48817F6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C5A7-9E48-8507-264DB3513D04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30B2EE0A-8DB4-6C4E-A33B-ED9E1FD497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C5A7-9E48-8507-264DB3513D04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70C499BB-9ADD-2041-B1F4-17C99DCB1B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C5A7-9E48-8507-264DB3513D04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61EC2DB4-64F6-A547-B8A7-0B6642E8BD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C5A7-9E48-8507-264DB3513D04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D41678B5-94D8-FC48-AD2E-282B0B39E0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C5A7-9E48-8507-264DB3513D04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9B8743CD-874A-5F44-A714-93B4356FB5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C5A7-9E48-8507-264DB3513D04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19ADE254-9231-294C-A607-C6C4BFBAD5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C5A7-9E48-8507-264DB3513D04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B3918200-8154-9847-8999-6181CCE855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C5A7-9E48-8507-264DB3513D04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32920FD2-3705-7941-ADF5-69E91CC07D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C5A7-9E48-8507-264DB3513D04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ACB1428C-D1BB-E64E-8E6B-7ABA74CFCD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C5A7-9E48-8507-264DB3513D04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8B51BFAE-AA59-4446-BCA7-D9EF1610B1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C5A7-9E48-8507-264DB3513D04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D91D0A6B-B2B2-6047-B375-CA25E7A9F3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C5A7-9E48-8507-264DB3513D04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61370492-3072-1C44-AA61-18C5588BF1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C5A7-9E48-8507-264DB3513D04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6AB61535-9EB4-E048-A02E-608729BE13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C5A7-9E48-8507-264DB3513D04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CF35F4FC-7592-CC41-B04F-6F27687253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C5A7-9E48-8507-264DB3513D04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5C58710B-5B21-3F48-AB53-07E06B00C3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C5A7-9E48-8507-264DB3513D04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4E6932E9-4940-8349-BA97-B548F60F75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C5A7-9E48-8507-264DB3513D04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D159931C-B932-FF4F-95A5-A7A09DB430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C5A7-9E48-8507-264DB3513D04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BAAD1DE5-DDCE-2449-BF77-93578FED34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C5A7-9E48-8507-264DB3513D04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A0D36AF5-EEE4-1443-BD06-B04F618976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C5A7-9E48-8507-264DB3513D04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D9FD5C0B-75DD-9941-A14B-3BB1B0E3B0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C5A7-9E48-8507-264DB3513D04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C2946C8C-9CFD-F648-8842-D06D6FDBEC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C5A7-9E48-8507-264DB3513D04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B259D786-CD58-884E-A517-B3F4CBFC07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C5A7-9E48-8507-264DB3513D04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76AFDBDE-F080-8B41-9BB6-710740C5A8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C5A7-9E48-8507-264DB3513D04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9AA2BE45-8EF2-1F4A-8133-1CD8A30AF8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C5A7-9E48-8507-264DB3513D04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D9CF67CC-9EA7-7E44-8AEC-B60E1BFA0C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C5A7-9E48-8507-264DB3513D04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9298A253-5BEB-2141-907F-30FBEF9157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C5A7-9E48-8507-264DB3513D04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5FF469EC-EF5C-DC48-866A-FF1E4A019D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C5A7-9E48-8507-264DB3513D04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E920F8EE-C846-7C44-AAF8-D791E0ECBF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C5A7-9E48-8507-264DB3513D04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8EC559CA-868A-9A43-9287-A2798A6889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C5A7-9E48-8507-264DB3513D04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E36084B3-20AB-2543-9A66-44A5E5FBCC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C5A7-9E48-8507-264DB3513D04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8C11BE06-6593-274F-98EE-0FEAFCB217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C5A7-9E48-8507-264DB3513D04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880F59C5-C7F6-8B4D-AA0C-8C04D85C46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C5A7-9E48-8507-264DB3513D04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84D41B09-A056-614E-9284-132AA97A3A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C5A7-9E48-8507-264DB3513D04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D2050B48-2799-8C45-935A-53C319EC9E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C5A7-9E48-8507-264DB3513D04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352123C5-2AF7-C844-BE6F-85A1211145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C5A7-9E48-8507-264DB3513D04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C6A1B5A9-E114-B340-943A-F50EBFEAD2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C5A7-9E48-8507-264DB3513D04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2152B6F0-BE4E-F243-BA75-CE6C58CF05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C5A7-9E48-8507-264DB3513D04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228F9E83-3C38-0E47-A59E-6BC0863A3C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C5A7-9E48-8507-264DB3513D04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5CBFFE94-4C53-854B-84DF-55B5999876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C5A7-9E48-8507-264DB3513D04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17231481-4AB2-F449-A250-F4D2A79D7B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C5A7-9E48-8507-264DB3513D04}"/>
                </c:ext>
              </c:extLst>
            </c:dLbl>
            <c:spPr>
              <a:noFill/>
              <a:ln>
                <a:noFill/>
              </a:ln>
              <a:effectLst/>
            </c:sp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multiLvlStrRef>
              <c:f>Summary!$C$32:$D$129</c:f>
              <c:multiLvlStrCache>
                <c:ptCount val="98"/>
                <c:lvl>
                  <c:pt idx="0">
                    <c:v>2025</c:v>
                  </c:pt>
                  <c:pt idx="1">
                    <c:v>2030</c:v>
                  </c:pt>
                  <c:pt idx="2">
                    <c:v>2035</c:v>
                  </c:pt>
                  <c:pt idx="3">
                    <c:v>2040</c:v>
                  </c:pt>
                  <c:pt idx="4">
                    <c:v>2045</c:v>
                  </c:pt>
                  <c:pt idx="5">
                    <c:v>2050</c:v>
                  </c:pt>
                  <c:pt idx="6">
                    <c:v>2025</c:v>
                  </c:pt>
                  <c:pt idx="7">
                    <c:v>2030</c:v>
                  </c:pt>
                  <c:pt idx="8">
                    <c:v>2035</c:v>
                  </c:pt>
                  <c:pt idx="9">
                    <c:v>2040</c:v>
                  </c:pt>
                  <c:pt idx="10">
                    <c:v>2045</c:v>
                  </c:pt>
                  <c:pt idx="11">
                    <c:v>2050</c:v>
                  </c:pt>
                  <c:pt idx="12">
                    <c:v>2025</c:v>
                  </c:pt>
                  <c:pt idx="13">
                    <c:v>2030</c:v>
                  </c:pt>
                  <c:pt idx="14">
                    <c:v>2035</c:v>
                  </c:pt>
                  <c:pt idx="15">
                    <c:v>2040</c:v>
                  </c:pt>
                  <c:pt idx="16">
                    <c:v>2045</c:v>
                  </c:pt>
                  <c:pt idx="17">
                    <c:v>2050</c:v>
                  </c:pt>
                  <c:pt idx="18">
                    <c:v>2025</c:v>
                  </c:pt>
                  <c:pt idx="19">
                    <c:v>2030</c:v>
                  </c:pt>
                  <c:pt idx="20">
                    <c:v>2035</c:v>
                  </c:pt>
                  <c:pt idx="21">
                    <c:v>2040</c:v>
                  </c:pt>
                  <c:pt idx="22">
                    <c:v>2045</c:v>
                  </c:pt>
                  <c:pt idx="23">
                    <c:v>2050</c:v>
                  </c:pt>
                  <c:pt idx="24">
                    <c:v>2025</c:v>
                  </c:pt>
                  <c:pt idx="25">
                    <c:v>2030</c:v>
                  </c:pt>
                  <c:pt idx="26">
                    <c:v>2035</c:v>
                  </c:pt>
                  <c:pt idx="27">
                    <c:v>2040</c:v>
                  </c:pt>
                  <c:pt idx="28">
                    <c:v>2045</c:v>
                  </c:pt>
                  <c:pt idx="29">
                    <c:v>2050</c:v>
                  </c:pt>
                  <c:pt idx="30">
                    <c:v>2025</c:v>
                  </c:pt>
                  <c:pt idx="31">
                    <c:v>2030</c:v>
                  </c:pt>
                  <c:pt idx="32">
                    <c:v>2035</c:v>
                  </c:pt>
                  <c:pt idx="33">
                    <c:v>2040</c:v>
                  </c:pt>
                  <c:pt idx="34">
                    <c:v>2045</c:v>
                  </c:pt>
                  <c:pt idx="35">
                    <c:v>2050</c:v>
                  </c:pt>
                  <c:pt idx="36">
                    <c:v>2025</c:v>
                  </c:pt>
                  <c:pt idx="37">
                    <c:v>2030</c:v>
                  </c:pt>
                  <c:pt idx="38">
                    <c:v>2035</c:v>
                  </c:pt>
                  <c:pt idx="39">
                    <c:v>2040</c:v>
                  </c:pt>
                  <c:pt idx="40">
                    <c:v>2045</c:v>
                  </c:pt>
                  <c:pt idx="41">
                    <c:v>2050</c:v>
                  </c:pt>
                  <c:pt idx="42">
                    <c:v>2025</c:v>
                  </c:pt>
                  <c:pt idx="43">
                    <c:v>2030</c:v>
                  </c:pt>
                  <c:pt idx="44">
                    <c:v>2035</c:v>
                  </c:pt>
                  <c:pt idx="45">
                    <c:v>2040</c:v>
                  </c:pt>
                  <c:pt idx="46">
                    <c:v>2045</c:v>
                  </c:pt>
                  <c:pt idx="47">
                    <c:v>2050</c:v>
                  </c:pt>
                  <c:pt idx="48">
                    <c:v>2025</c:v>
                  </c:pt>
                  <c:pt idx="49">
                    <c:v>2030</c:v>
                  </c:pt>
                  <c:pt idx="50">
                    <c:v>2035</c:v>
                  </c:pt>
                  <c:pt idx="51">
                    <c:v>2040</c:v>
                  </c:pt>
                  <c:pt idx="52">
                    <c:v>2045</c:v>
                  </c:pt>
                  <c:pt idx="53">
                    <c:v>2050</c:v>
                  </c:pt>
                  <c:pt idx="54">
                    <c:v>2025</c:v>
                  </c:pt>
                  <c:pt idx="55">
                    <c:v>2030</c:v>
                  </c:pt>
                  <c:pt idx="56">
                    <c:v>2035</c:v>
                  </c:pt>
                  <c:pt idx="57">
                    <c:v>2040</c:v>
                  </c:pt>
                  <c:pt idx="58">
                    <c:v>2045</c:v>
                  </c:pt>
                  <c:pt idx="59">
                    <c:v>2050</c:v>
                  </c:pt>
                  <c:pt idx="60">
                    <c:v>2025</c:v>
                  </c:pt>
                  <c:pt idx="61">
                    <c:v>2030</c:v>
                  </c:pt>
                  <c:pt idx="62">
                    <c:v>2035</c:v>
                  </c:pt>
                  <c:pt idx="63">
                    <c:v>2040</c:v>
                  </c:pt>
                  <c:pt idx="64">
                    <c:v>2045</c:v>
                  </c:pt>
                  <c:pt idx="65">
                    <c:v>2050</c:v>
                  </c:pt>
                  <c:pt idx="66">
                    <c:v>2025</c:v>
                  </c:pt>
                  <c:pt idx="67">
                    <c:v>2030</c:v>
                  </c:pt>
                  <c:pt idx="68">
                    <c:v>2035</c:v>
                  </c:pt>
                  <c:pt idx="69">
                    <c:v>2040</c:v>
                  </c:pt>
                  <c:pt idx="70">
                    <c:v>2045</c:v>
                  </c:pt>
                  <c:pt idx="71">
                    <c:v>2050</c:v>
                  </c:pt>
                  <c:pt idx="72">
                    <c:v>2025</c:v>
                  </c:pt>
                  <c:pt idx="73">
                    <c:v>2030</c:v>
                  </c:pt>
                  <c:pt idx="74">
                    <c:v>2035</c:v>
                  </c:pt>
                  <c:pt idx="75">
                    <c:v>2040</c:v>
                  </c:pt>
                  <c:pt idx="76">
                    <c:v>2045</c:v>
                  </c:pt>
                  <c:pt idx="77">
                    <c:v>2050</c:v>
                  </c:pt>
                  <c:pt idx="78">
                    <c:v>2025</c:v>
                  </c:pt>
                  <c:pt idx="79">
                    <c:v>2030</c:v>
                  </c:pt>
                  <c:pt idx="80">
                    <c:v>2035</c:v>
                  </c:pt>
                  <c:pt idx="81">
                    <c:v>2040</c:v>
                  </c:pt>
                  <c:pt idx="82">
                    <c:v>2045</c:v>
                  </c:pt>
                  <c:pt idx="83">
                    <c:v>2050</c:v>
                  </c:pt>
                  <c:pt idx="84">
                    <c:v>2025</c:v>
                  </c:pt>
                  <c:pt idx="85">
                    <c:v>2030</c:v>
                  </c:pt>
                  <c:pt idx="86">
                    <c:v>2035</c:v>
                  </c:pt>
                  <c:pt idx="87">
                    <c:v>2040</c:v>
                  </c:pt>
                  <c:pt idx="88">
                    <c:v>2045</c:v>
                  </c:pt>
                  <c:pt idx="89">
                    <c:v>2050</c:v>
                  </c:pt>
                  <c:pt idx="90">
                    <c:v>2025</c:v>
                  </c:pt>
                  <c:pt idx="91">
                    <c:v>2030</c:v>
                  </c:pt>
                  <c:pt idx="92">
                    <c:v>2035</c:v>
                  </c:pt>
                  <c:pt idx="93">
                    <c:v>2040</c:v>
                  </c:pt>
                  <c:pt idx="94">
                    <c:v>2045</c:v>
                  </c:pt>
                  <c:pt idx="95">
                    <c:v>2050</c:v>
                  </c:pt>
                  <c:pt idx="96">
                    <c:v>2025</c:v>
                  </c:pt>
                  <c:pt idx="97">
                    <c:v>2030</c:v>
                  </c:pt>
                </c:lvl>
                <c:lvl>
                  <c:pt idx="6">
                    <c:v>#REF!</c:v>
                  </c:pt>
                  <c:pt idx="12">
                    <c:v>0</c:v>
                  </c:pt>
                </c:lvl>
              </c:multiLvlStrCache>
            </c:multiLvlStrRef>
          </c:cat>
          <c:val>
            <c:numRef>
              <c:f>Summary!$R$32:$R$129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Summary!$AA$32:$AA$139</c15:f>
                <c15:dlblRangeCache>
                  <c:ptCount val="108"/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5%</c:v>
                  </c:pt>
                  <c:pt idx="7">
                    <c:v>11%</c:v>
                  </c:pt>
                  <c:pt idx="8">
                    <c:v>13%</c:v>
                  </c:pt>
                  <c:pt idx="9">
                    <c:v>13%</c:v>
                  </c:pt>
                  <c:pt idx="10">
                    <c:v>13%</c:v>
                  </c:pt>
                  <c:pt idx="11">
                    <c:v>13%</c:v>
                  </c:pt>
                  <c:pt idx="12">
                    <c:v>#REF!</c:v>
                  </c:pt>
                  <c:pt idx="13">
                    <c:v>#REF!</c:v>
                  </c:pt>
                  <c:pt idx="14">
                    <c:v>#REF!</c:v>
                  </c:pt>
                  <c:pt idx="15">
                    <c:v>#REF!</c:v>
                  </c:pt>
                  <c:pt idx="16">
                    <c:v>#REF!</c:v>
                  </c:pt>
                  <c:pt idx="17">
                    <c:v>#REF!</c:v>
                  </c:pt>
                  <c:pt idx="18">
                    <c:v>#REF!</c:v>
                  </c:pt>
                  <c:pt idx="19">
                    <c:v>#REF!</c:v>
                  </c:pt>
                  <c:pt idx="20">
                    <c:v>#REF!</c:v>
                  </c:pt>
                  <c:pt idx="21">
                    <c:v>#REF!</c:v>
                  </c:pt>
                  <c:pt idx="22">
                    <c:v>#REF!</c:v>
                  </c:pt>
                  <c:pt idx="23">
                    <c:v>#REF!</c:v>
                  </c:pt>
                  <c:pt idx="24">
                    <c:v>#REF!</c:v>
                  </c:pt>
                  <c:pt idx="25">
                    <c:v>#REF!</c:v>
                  </c:pt>
                  <c:pt idx="26">
                    <c:v>#REF!</c:v>
                  </c:pt>
                  <c:pt idx="27">
                    <c:v>#REF!</c:v>
                  </c:pt>
                  <c:pt idx="28">
                    <c:v>#REF!</c:v>
                  </c:pt>
                  <c:pt idx="29">
                    <c:v>#REF!</c:v>
                  </c:pt>
                  <c:pt idx="30">
                    <c:v>#REF!</c:v>
                  </c:pt>
                  <c:pt idx="31">
                    <c:v>#REF!</c:v>
                  </c:pt>
                  <c:pt idx="32">
                    <c:v>#REF!</c:v>
                  </c:pt>
                  <c:pt idx="33">
                    <c:v>#REF!</c:v>
                  </c:pt>
                  <c:pt idx="34">
                    <c:v>#REF!</c:v>
                  </c:pt>
                  <c:pt idx="35">
                    <c:v>#REF!</c:v>
                  </c:pt>
                  <c:pt idx="36">
                    <c:v>#REF!</c:v>
                  </c:pt>
                  <c:pt idx="37">
                    <c:v>#REF!</c:v>
                  </c:pt>
                  <c:pt idx="38">
                    <c:v>#REF!</c:v>
                  </c:pt>
                  <c:pt idx="39">
                    <c:v>#REF!</c:v>
                  </c:pt>
                  <c:pt idx="40">
                    <c:v>#REF!</c:v>
                  </c:pt>
                  <c:pt idx="41">
                    <c:v>#REF!</c:v>
                  </c:pt>
                  <c:pt idx="42">
                    <c:v>#REF!</c:v>
                  </c:pt>
                  <c:pt idx="43">
                    <c:v>#REF!</c:v>
                  </c:pt>
                  <c:pt idx="44">
                    <c:v>#REF!</c:v>
                  </c:pt>
                  <c:pt idx="45">
                    <c:v>#REF!</c:v>
                  </c:pt>
                  <c:pt idx="46">
                    <c:v>#REF!</c:v>
                  </c:pt>
                  <c:pt idx="47">
                    <c:v>#REF!</c:v>
                  </c:pt>
                  <c:pt idx="48">
                    <c:v>#REF!</c:v>
                  </c:pt>
                  <c:pt idx="49">
                    <c:v>#REF!</c:v>
                  </c:pt>
                  <c:pt idx="50">
                    <c:v>#REF!</c:v>
                  </c:pt>
                  <c:pt idx="51">
                    <c:v>#REF!</c:v>
                  </c:pt>
                  <c:pt idx="52">
                    <c:v>#REF!</c:v>
                  </c:pt>
                  <c:pt idx="53">
                    <c:v>#REF!</c:v>
                  </c:pt>
                  <c:pt idx="54">
                    <c:v>#REF!</c:v>
                  </c:pt>
                  <c:pt idx="55">
                    <c:v>#REF!</c:v>
                  </c:pt>
                  <c:pt idx="56">
                    <c:v>#REF!</c:v>
                  </c:pt>
                  <c:pt idx="57">
                    <c:v>#REF!</c:v>
                  </c:pt>
                  <c:pt idx="58">
                    <c:v>#REF!</c:v>
                  </c:pt>
                  <c:pt idx="59">
                    <c:v>#REF!</c:v>
                  </c:pt>
                  <c:pt idx="60">
                    <c:v>#REF!</c:v>
                  </c:pt>
                  <c:pt idx="61">
                    <c:v>#REF!</c:v>
                  </c:pt>
                  <c:pt idx="62">
                    <c:v>#REF!</c:v>
                  </c:pt>
                  <c:pt idx="63">
                    <c:v>#REF!</c:v>
                  </c:pt>
                  <c:pt idx="64">
                    <c:v>#REF!</c:v>
                  </c:pt>
                  <c:pt idx="65">
                    <c:v>#REF!</c:v>
                  </c:pt>
                  <c:pt idx="66">
                    <c:v>#REF!</c:v>
                  </c:pt>
                  <c:pt idx="67">
                    <c:v>#REF!</c:v>
                  </c:pt>
                  <c:pt idx="68">
                    <c:v>#REF!</c:v>
                  </c:pt>
                  <c:pt idx="69">
                    <c:v>#REF!</c:v>
                  </c:pt>
                  <c:pt idx="70">
                    <c:v>#REF!</c:v>
                  </c:pt>
                  <c:pt idx="71">
                    <c:v>#REF!</c:v>
                  </c:pt>
                  <c:pt idx="72">
                    <c:v>#REF!</c:v>
                  </c:pt>
                  <c:pt idx="73">
                    <c:v>#REF!</c:v>
                  </c:pt>
                  <c:pt idx="74">
                    <c:v>#REF!</c:v>
                  </c:pt>
                  <c:pt idx="75">
                    <c:v>#REF!</c:v>
                  </c:pt>
                  <c:pt idx="76">
                    <c:v>#REF!</c:v>
                  </c:pt>
                  <c:pt idx="77">
                    <c:v>#REF!</c:v>
                  </c:pt>
                  <c:pt idx="78">
                    <c:v>#REF!</c:v>
                  </c:pt>
                  <c:pt idx="79">
                    <c:v>#REF!</c:v>
                  </c:pt>
                  <c:pt idx="80">
                    <c:v>#REF!</c:v>
                  </c:pt>
                  <c:pt idx="81">
                    <c:v>#REF!</c:v>
                  </c:pt>
                  <c:pt idx="82">
                    <c:v>#REF!</c:v>
                  </c:pt>
                  <c:pt idx="83">
                    <c:v>#REF!</c:v>
                  </c:pt>
                  <c:pt idx="84">
                    <c:v>#REF!</c:v>
                  </c:pt>
                  <c:pt idx="85">
                    <c:v>#REF!</c:v>
                  </c:pt>
                  <c:pt idx="86">
                    <c:v>#REF!</c:v>
                  </c:pt>
                  <c:pt idx="87">
                    <c:v>#REF!</c:v>
                  </c:pt>
                  <c:pt idx="88">
                    <c:v>#REF!</c:v>
                  </c:pt>
                  <c:pt idx="89">
                    <c:v>#REF!</c:v>
                  </c:pt>
                  <c:pt idx="90">
                    <c:v>#REF!</c:v>
                  </c:pt>
                  <c:pt idx="91">
                    <c:v>#REF!</c:v>
                  </c:pt>
                  <c:pt idx="92">
                    <c:v>#REF!</c:v>
                  </c:pt>
                  <c:pt idx="93">
                    <c:v>#REF!</c:v>
                  </c:pt>
                  <c:pt idx="94">
                    <c:v>#REF!</c:v>
                  </c:pt>
                  <c:pt idx="95">
                    <c:v>#REF!</c:v>
                  </c:pt>
                  <c:pt idx="96">
                    <c:v>#REF!</c:v>
                  </c:pt>
                  <c:pt idx="97">
                    <c:v>#REF!</c:v>
                  </c:pt>
                  <c:pt idx="98">
                    <c:v>#REF!</c:v>
                  </c:pt>
                  <c:pt idx="99">
                    <c:v>#REF!</c:v>
                  </c:pt>
                  <c:pt idx="100">
                    <c:v>#REF!</c:v>
                  </c:pt>
                  <c:pt idx="101">
                    <c:v>#REF!</c:v>
                  </c:pt>
                  <c:pt idx="102">
                    <c:v>#REF!</c:v>
                  </c:pt>
                  <c:pt idx="103">
                    <c:v>#REF!</c:v>
                  </c:pt>
                  <c:pt idx="104">
                    <c:v>#REF!</c:v>
                  </c:pt>
                  <c:pt idx="105">
                    <c:v>#REF!</c:v>
                  </c:pt>
                  <c:pt idx="106">
                    <c:v>#REF!</c:v>
                  </c:pt>
                  <c:pt idx="107">
                    <c:v>#REF!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C5A7-9E48-8507-264DB3513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416597511"/>
        <c:axId val="1020599815"/>
      </c:barChart>
      <c:catAx>
        <c:axId val="416597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020599815"/>
        <c:crosses val="autoZero"/>
        <c:auto val="1"/>
        <c:lblAlgn val="ctr"/>
        <c:lblOffset val="100"/>
        <c:noMultiLvlLbl val="0"/>
      </c:catAx>
      <c:valAx>
        <c:axId val="10205998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Summary!$A$2</c:f>
              <c:strCache>
                <c:ptCount val="1"/>
                <c:pt idx="0">
                  <c:v>TotalBuild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vert="horz"/>
            <a:lstStyle/>
            <a:p>
              <a:pPr>
                <a:defRPr sz="900"/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16597511"/>
        <c:crosses val="autoZero"/>
        <c:crossBetween val="between"/>
        <c:majorUnit val="5000"/>
      </c:valAx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solidFill>
            <a:schemeClr val="bg1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Summary!$U$31</c:f>
              <c:strCache>
                <c:ptCount val="1"/>
                <c:pt idx="0">
                  <c:v>New Investment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multiLvlStrRef>
              <c:f>Summary!$S$32:$T$145</c:f>
              <c:multiLvlStrCache>
                <c:ptCount val="114"/>
                <c:lvl>
                  <c:pt idx="0">
                    <c:v>2025</c:v>
                  </c:pt>
                  <c:pt idx="1">
                    <c:v>2030</c:v>
                  </c:pt>
                  <c:pt idx="2">
                    <c:v>2035</c:v>
                  </c:pt>
                  <c:pt idx="3">
                    <c:v>2040</c:v>
                  </c:pt>
                  <c:pt idx="4">
                    <c:v>2045</c:v>
                  </c:pt>
                  <c:pt idx="5">
                    <c:v>2050</c:v>
                  </c:pt>
                  <c:pt idx="6">
                    <c:v>2025</c:v>
                  </c:pt>
                  <c:pt idx="7">
                    <c:v>2030</c:v>
                  </c:pt>
                  <c:pt idx="8">
                    <c:v>2035</c:v>
                  </c:pt>
                  <c:pt idx="9">
                    <c:v>2040</c:v>
                  </c:pt>
                  <c:pt idx="10">
                    <c:v>2045</c:v>
                  </c:pt>
                  <c:pt idx="11">
                    <c:v>2050</c:v>
                  </c:pt>
                  <c:pt idx="12">
                    <c:v>2025</c:v>
                  </c:pt>
                  <c:pt idx="13">
                    <c:v>2030</c:v>
                  </c:pt>
                  <c:pt idx="14">
                    <c:v>2035</c:v>
                  </c:pt>
                  <c:pt idx="15">
                    <c:v>2040</c:v>
                  </c:pt>
                  <c:pt idx="16">
                    <c:v>2045</c:v>
                  </c:pt>
                  <c:pt idx="17">
                    <c:v>2050</c:v>
                  </c:pt>
                  <c:pt idx="18">
                    <c:v>2025</c:v>
                  </c:pt>
                  <c:pt idx="19">
                    <c:v>2030</c:v>
                  </c:pt>
                  <c:pt idx="20">
                    <c:v>2035</c:v>
                  </c:pt>
                  <c:pt idx="21">
                    <c:v>2040</c:v>
                  </c:pt>
                  <c:pt idx="22">
                    <c:v>2045</c:v>
                  </c:pt>
                  <c:pt idx="23">
                    <c:v>2050</c:v>
                  </c:pt>
                  <c:pt idx="24">
                    <c:v>2025</c:v>
                  </c:pt>
                  <c:pt idx="25">
                    <c:v>2030</c:v>
                  </c:pt>
                  <c:pt idx="26">
                    <c:v>2035</c:v>
                  </c:pt>
                  <c:pt idx="27">
                    <c:v>2040</c:v>
                  </c:pt>
                  <c:pt idx="28">
                    <c:v>2045</c:v>
                  </c:pt>
                  <c:pt idx="29">
                    <c:v>2050</c:v>
                  </c:pt>
                  <c:pt idx="30">
                    <c:v>2025</c:v>
                  </c:pt>
                  <c:pt idx="31">
                    <c:v>2030</c:v>
                  </c:pt>
                  <c:pt idx="32">
                    <c:v>2035</c:v>
                  </c:pt>
                  <c:pt idx="33">
                    <c:v>2040</c:v>
                  </c:pt>
                  <c:pt idx="34">
                    <c:v>2045</c:v>
                  </c:pt>
                  <c:pt idx="35">
                    <c:v>2050</c:v>
                  </c:pt>
                  <c:pt idx="36">
                    <c:v>2025</c:v>
                  </c:pt>
                  <c:pt idx="37">
                    <c:v>2030</c:v>
                  </c:pt>
                  <c:pt idx="38">
                    <c:v>2035</c:v>
                  </c:pt>
                  <c:pt idx="39">
                    <c:v>2040</c:v>
                  </c:pt>
                  <c:pt idx="40">
                    <c:v>2045</c:v>
                  </c:pt>
                  <c:pt idx="41">
                    <c:v>2050</c:v>
                  </c:pt>
                  <c:pt idx="42">
                    <c:v>2025</c:v>
                  </c:pt>
                  <c:pt idx="43">
                    <c:v>2030</c:v>
                  </c:pt>
                  <c:pt idx="44">
                    <c:v>2035</c:v>
                  </c:pt>
                  <c:pt idx="45">
                    <c:v>2040</c:v>
                  </c:pt>
                  <c:pt idx="46">
                    <c:v>2045</c:v>
                  </c:pt>
                  <c:pt idx="47">
                    <c:v>2050</c:v>
                  </c:pt>
                  <c:pt idx="48">
                    <c:v>2025</c:v>
                  </c:pt>
                  <c:pt idx="49">
                    <c:v>2030</c:v>
                  </c:pt>
                  <c:pt idx="50">
                    <c:v>2035</c:v>
                  </c:pt>
                  <c:pt idx="51">
                    <c:v>2040</c:v>
                  </c:pt>
                  <c:pt idx="52">
                    <c:v>2045</c:v>
                  </c:pt>
                  <c:pt idx="53">
                    <c:v>2050</c:v>
                  </c:pt>
                  <c:pt idx="54">
                    <c:v>2025</c:v>
                  </c:pt>
                  <c:pt idx="55">
                    <c:v>2030</c:v>
                  </c:pt>
                  <c:pt idx="56">
                    <c:v>2035</c:v>
                  </c:pt>
                  <c:pt idx="57">
                    <c:v>2040</c:v>
                  </c:pt>
                  <c:pt idx="58">
                    <c:v>2045</c:v>
                  </c:pt>
                  <c:pt idx="59">
                    <c:v>2050</c:v>
                  </c:pt>
                  <c:pt idx="60">
                    <c:v>2025</c:v>
                  </c:pt>
                  <c:pt idx="61">
                    <c:v>2030</c:v>
                  </c:pt>
                  <c:pt idx="62">
                    <c:v>2035</c:v>
                  </c:pt>
                  <c:pt idx="63">
                    <c:v>2040</c:v>
                  </c:pt>
                  <c:pt idx="64">
                    <c:v>2045</c:v>
                  </c:pt>
                  <c:pt idx="65">
                    <c:v>2050</c:v>
                  </c:pt>
                  <c:pt idx="66">
                    <c:v>2025</c:v>
                  </c:pt>
                  <c:pt idx="67">
                    <c:v>2030</c:v>
                  </c:pt>
                  <c:pt idx="68">
                    <c:v>2035</c:v>
                  </c:pt>
                  <c:pt idx="69">
                    <c:v>2040</c:v>
                  </c:pt>
                  <c:pt idx="70">
                    <c:v>2045</c:v>
                  </c:pt>
                  <c:pt idx="71">
                    <c:v>2050</c:v>
                  </c:pt>
                  <c:pt idx="72">
                    <c:v>2025</c:v>
                  </c:pt>
                  <c:pt idx="73">
                    <c:v>2030</c:v>
                  </c:pt>
                  <c:pt idx="74">
                    <c:v>2035</c:v>
                  </c:pt>
                  <c:pt idx="75">
                    <c:v>2040</c:v>
                  </c:pt>
                  <c:pt idx="76">
                    <c:v>2045</c:v>
                  </c:pt>
                  <c:pt idx="77">
                    <c:v>2050</c:v>
                  </c:pt>
                  <c:pt idx="78">
                    <c:v>2025</c:v>
                  </c:pt>
                  <c:pt idx="79">
                    <c:v>2030</c:v>
                  </c:pt>
                  <c:pt idx="80">
                    <c:v>2035</c:v>
                  </c:pt>
                  <c:pt idx="81">
                    <c:v>2040</c:v>
                  </c:pt>
                  <c:pt idx="82">
                    <c:v>2045</c:v>
                  </c:pt>
                  <c:pt idx="83">
                    <c:v>2050</c:v>
                  </c:pt>
                  <c:pt idx="84">
                    <c:v>2025</c:v>
                  </c:pt>
                  <c:pt idx="85">
                    <c:v>2030</c:v>
                  </c:pt>
                  <c:pt idx="86">
                    <c:v>2035</c:v>
                  </c:pt>
                  <c:pt idx="87">
                    <c:v>2040</c:v>
                  </c:pt>
                  <c:pt idx="88">
                    <c:v>2045</c:v>
                  </c:pt>
                  <c:pt idx="89">
                    <c:v>2050</c:v>
                  </c:pt>
                  <c:pt idx="90">
                    <c:v>2025</c:v>
                  </c:pt>
                  <c:pt idx="91">
                    <c:v>2030</c:v>
                  </c:pt>
                  <c:pt idx="92">
                    <c:v>2035</c:v>
                  </c:pt>
                  <c:pt idx="93">
                    <c:v>2040</c:v>
                  </c:pt>
                  <c:pt idx="94">
                    <c:v>2045</c:v>
                  </c:pt>
                  <c:pt idx="95">
                    <c:v>2050</c:v>
                  </c:pt>
                  <c:pt idx="96">
                    <c:v>2025</c:v>
                  </c:pt>
                  <c:pt idx="97">
                    <c:v>2030</c:v>
                  </c:pt>
                  <c:pt idx="98">
                    <c:v>2035</c:v>
                  </c:pt>
                  <c:pt idx="99">
                    <c:v>2040</c:v>
                  </c:pt>
                  <c:pt idx="100">
                    <c:v>2045</c:v>
                  </c:pt>
                  <c:pt idx="101">
                    <c:v>2050</c:v>
                  </c:pt>
                  <c:pt idx="102">
                    <c:v>2025</c:v>
                  </c:pt>
                  <c:pt idx="103">
                    <c:v>2030</c:v>
                  </c:pt>
                  <c:pt idx="104">
                    <c:v>2035</c:v>
                  </c:pt>
                  <c:pt idx="105">
                    <c:v>2040</c:v>
                  </c:pt>
                  <c:pt idx="106">
                    <c:v>2045</c:v>
                  </c:pt>
                  <c:pt idx="107">
                    <c:v>2050</c:v>
                  </c:pt>
                  <c:pt idx="108">
                    <c:v>2025</c:v>
                  </c:pt>
                  <c:pt idx="109">
                    <c:v>2030</c:v>
                  </c:pt>
                  <c:pt idx="110">
                    <c:v>2035</c:v>
                  </c:pt>
                  <c:pt idx="111">
                    <c:v>2040</c:v>
                  </c:pt>
                  <c:pt idx="112">
                    <c:v>2045</c:v>
                  </c:pt>
                  <c:pt idx="113">
                    <c:v>2050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#REF!</c:v>
                  </c:pt>
                  <c:pt idx="12">
                    <c:v>0</c:v>
                  </c:pt>
                </c:lvl>
              </c:multiLvlStrCache>
            </c:multiLvlStrRef>
          </c:cat>
          <c:val>
            <c:numRef>
              <c:f>Summary!$U$32:$U$145</c:f>
              <c:numCache>
                <c:formatCode>_(* #,##0_);_(* \(#,##0\);_(* "-"??_);_(@_)</c:formatCode>
                <c:ptCount val="1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435.30235757795907</c:v>
                </c:pt>
                <c:pt idx="8">
                  <c:v>551.45792089954693</c:v>
                </c:pt>
                <c:pt idx="9">
                  <c:v>594.74475599400762</c:v>
                </c:pt>
                <c:pt idx="10">
                  <c:v>574.33390393209936</c:v>
                </c:pt>
                <c:pt idx="11">
                  <c:v>553.92583856557314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D-784F-BD20-BFC2C5BF20CB}"/>
            </c:ext>
          </c:extLst>
        </c:ser>
        <c:ser>
          <c:idx val="1"/>
          <c:order val="1"/>
          <c:tx>
            <c:strRef>
              <c:f>Summary!$V$31</c:f>
              <c:strCache>
                <c:ptCount val="1"/>
                <c:pt idx="0">
                  <c:v>Fixed O&amp;M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cat>
            <c:multiLvlStrRef>
              <c:f>Summary!$S$32:$T$145</c:f>
              <c:multiLvlStrCache>
                <c:ptCount val="114"/>
                <c:lvl>
                  <c:pt idx="0">
                    <c:v>2025</c:v>
                  </c:pt>
                  <c:pt idx="1">
                    <c:v>2030</c:v>
                  </c:pt>
                  <c:pt idx="2">
                    <c:v>2035</c:v>
                  </c:pt>
                  <c:pt idx="3">
                    <c:v>2040</c:v>
                  </c:pt>
                  <c:pt idx="4">
                    <c:v>2045</c:v>
                  </c:pt>
                  <c:pt idx="5">
                    <c:v>2050</c:v>
                  </c:pt>
                  <c:pt idx="6">
                    <c:v>2025</c:v>
                  </c:pt>
                  <c:pt idx="7">
                    <c:v>2030</c:v>
                  </c:pt>
                  <c:pt idx="8">
                    <c:v>2035</c:v>
                  </c:pt>
                  <c:pt idx="9">
                    <c:v>2040</c:v>
                  </c:pt>
                  <c:pt idx="10">
                    <c:v>2045</c:v>
                  </c:pt>
                  <c:pt idx="11">
                    <c:v>2050</c:v>
                  </c:pt>
                  <c:pt idx="12">
                    <c:v>2025</c:v>
                  </c:pt>
                  <c:pt idx="13">
                    <c:v>2030</c:v>
                  </c:pt>
                  <c:pt idx="14">
                    <c:v>2035</c:v>
                  </c:pt>
                  <c:pt idx="15">
                    <c:v>2040</c:v>
                  </c:pt>
                  <c:pt idx="16">
                    <c:v>2045</c:v>
                  </c:pt>
                  <c:pt idx="17">
                    <c:v>2050</c:v>
                  </c:pt>
                  <c:pt idx="18">
                    <c:v>2025</c:v>
                  </c:pt>
                  <c:pt idx="19">
                    <c:v>2030</c:v>
                  </c:pt>
                  <c:pt idx="20">
                    <c:v>2035</c:v>
                  </c:pt>
                  <c:pt idx="21">
                    <c:v>2040</c:v>
                  </c:pt>
                  <c:pt idx="22">
                    <c:v>2045</c:v>
                  </c:pt>
                  <c:pt idx="23">
                    <c:v>2050</c:v>
                  </c:pt>
                  <c:pt idx="24">
                    <c:v>2025</c:v>
                  </c:pt>
                  <c:pt idx="25">
                    <c:v>2030</c:v>
                  </c:pt>
                  <c:pt idx="26">
                    <c:v>2035</c:v>
                  </c:pt>
                  <c:pt idx="27">
                    <c:v>2040</c:v>
                  </c:pt>
                  <c:pt idx="28">
                    <c:v>2045</c:v>
                  </c:pt>
                  <c:pt idx="29">
                    <c:v>2050</c:v>
                  </c:pt>
                  <c:pt idx="30">
                    <c:v>2025</c:v>
                  </c:pt>
                  <c:pt idx="31">
                    <c:v>2030</c:v>
                  </c:pt>
                  <c:pt idx="32">
                    <c:v>2035</c:v>
                  </c:pt>
                  <c:pt idx="33">
                    <c:v>2040</c:v>
                  </c:pt>
                  <c:pt idx="34">
                    <c:v>2045</c:v>
                  </c:pt>
                  <c:pt idx="35">
                    <c:v>2050</c:v>
                  </c:pt>
                  <c:pt idx="36">
                    <c:v>2025</c:v>
                  </c:pt>
                  <c:pt idx="37">
                    <c:v>2030</c:v>
                  </c:pt>
                  <c:pt idx="38">
                    <c:v>2035</c:v>
                  </c:pt>
                  <c:pt idx="39">
                    <c:v>2040</c:v>
                  </c:pt>
                  <c:pt idx="40">
                    <c:v>2045</c:v>
                  </c:pt>
                  <c:pt idx="41">
                    <c:v>2050</c:v>
                  </c:pt>
                  <c:pt idx="42">
                    <c:v>2025</c:v>
                  </c:pt>
                  <c:pt idx="43">
                    <c:v>2030</c:v>
                  </c:pt>
                  <c:pt idx="44">
                    <c:v>2035</c:v>
                  </c:pt>
                  <c:pt idx="45">
                    <c:v>2040</c:v>
                  </c:pt>
                  <c:pt idx="46">
                    <c:v>2045</c:v>
                  </c:pt>
                  <c:pt idx="47">
                    <c:v>2050</c:v>
                  </c:pt>
                  <c:pt idx="48">
                    <c:v>2025</c:v>
                  </c:pt>
                  <c:pt idx="49">
                    <c:v>2030</c:v>
                  </c:pt>
                  <c:pt idx="50">
                    <c:v>2035</c:v>
                  </c:pt>
                  <c:pt idx="51">
                    <c:v>2040</c:v>
                  </c:pt>
                  <c:pt idx="52">
                    <c:v>2045</c:v>
                  </c:pt>
                  <c:pt idx="53">
                    <c:v>2050</c:v>
                  </c:pt>
                  <c:pt idx="54">
                    <c:v>2025</c:v>
                  </c:pt>
                  <c:pt idx="55">
                    <c:v>2030</c:v>
                  </c:pt>
                  <c:pt idx="56">
                    <c:v>2035</c:v>
                  </c:pt>
                  <c:pt idx="57">
                    <c:v>2040</c:v>
                  </c:pt>
                  <c:pt idx="58">
                    <c:v>2045</c:v>
                  </c:pt>
                  <c:pt idx="59">
                    <c:v>2050</c:v>
                  </c:pt>
                  <c:pt idx="60">
                    <c:v>2025</c:v>
                  </c:pt>
                  <c:pt idx="61">
                    <c:v>2030</c:v>
                  </c:pt>
                  <c:pt idx="62">
                    <c:v>2035</c:v>
                  </c:pt>
                  <c:pt idx="63">
                    <c:v>2040</c:v>
                  </c:pt>
                  <c:pt idx="64">
                    <c:v>2045</c:v>
                  </c:pt>
                  <c:pt idx="65">
                    <c:v>2050</c:v>
                  </c:pt>
                  <c:pt idx="66">
                    <c:v>2025</c:v>
                  </c:pt>
                  <c:pt idx="67">
                    <c:v>2030</c:v>
                  </c:pt>
                  <c:pt idx="68">
                    <c:v>2035</c:v>
                  </c:pt>
                  <c:pt idx="69">
                    <c:v>2040</c:v>
                  </c:pt>
                  <c:pt idx="70">
                    <c:v>2045</c:v>
                  </c:pt>
                  <c:pt idx="71">
                    <c:v>2050</c:v>
                  </c:pt>
                  <c:pt idx="72">
                    <c:v>2025</c:v>
                  </c:pt>
                  <c:pt idx="73">
                    <c:v>2030</c:v>
                  </c:pt>
                  <c:pt idx="74">
                    <c:v>2035</c:v>
                  </c:pt>
                  <c:pt idx="75">
                    <c:v>2040</c:v>
                  </c:pt>
                  <c:pt idx="76">
                    <c:v>2045</c:v>
                  </c:pt>
                  <c:pt idx="77">
                    <c:v>2050</c:v>
                  </c:pt>
                  <c:pt idx="78">
                    <c:v>2025</c:v>
                  </c:pt>
                  <c:pt idx="79">
                    <c:v>2030</c:v>
                  </c:pt>
                  <c:pt idx="80">
                    <c:v>2035</c:v>
                  </c:pt>
                  <c:pt idx="81">
                    <c:v>2040</c:v>
                  </c:pt>
                  <c:pt idx="82">
                    <c:v>2045</c:v>
                  </c:pt>
                  <c:pt idx="83">
                    <c:v>2050</c:v>
                  </c:pt>
                  <c:pt idx="84">
                    <c:v>2025</c:v>
                  </c:pt>
                  <c:pt idx="85">
                    <c:v>2030</c:v>
                  </c:pt>
                  <c:pt idx="86">
                    <c:v>2035</c:v>
                  </c:pt>
                  <c:pt idx="87">
                    <c:v>2040</c:v>
                  </c:pt>
                  <c:pt idx="88">
                    <c:v>2045</c:v>
                  </c:pt>
                  <c:pt idx="89">
                    <c:v>2050</c:v>
                  </c:pt>
                  <c:pt idx="90">
                    <c:v>2025</c:v>
                  </c:pt>
                  <c:pt idx="91">
                    <c:v>2030</c:v>
                  </c:pt>
                  <c:pt idx="92">
                    <c:v>2035</c:v>
                  </c:pt>
                  <c:pt idx="93">
                    <c:v>2040</c:v>
                  </c:pt>
                  <c:pt idx="94">
                    <c:v>2045</c:v>
                  </c:pt>
                  <c:pt idx="95">
                    <c:v>2050</c:v>
                  </c:pt>
                  <c:pt idx="96">
                    <c:v>2025</c:v>
                  </c:pt>
                  <c:pt idx="97">
                    <c:v>2030</c:v>
                  </c:pt>
                  <c:pt idx="98">
                    <c:v>2035</c:v>
                  </c:pt>
                  <c:pt idx="99">
                    <c:v>2040</c:v>
                  </c:pt>
                  <c:pt idx="100">
                    <c:v>2045</c:v>
                  </c:pt>
                  <c:pt idx="101">
                    <c:v>2050</c:v>
                  </c:pt>
                  <c:pt idx="102">
                    <c:v>2025</c:v>
                  </c:pt>
                  <c:pt idx="103">
                    <c:v>2030</c:v>
                  </c:pt>
                  <c:pt idx="104">
                    <c:v>2035</c:v>
                  </c:pt>
                  <c:pt idx="105">
                    <c:v>2040</c:v>
                  </c:pt>
                  <c:pt idx="106">
                    <c:v>2045</c:v>
                  </c:pt>
                  <c:pt idx="107">
                    <c:v>2050</c:v>
                  </c:pt>
                  <c:pt idx="108">
                    <c:v>2025</c:v>
                  </c:pt>
                  <c:pt idx="109">
                    <c:v>2030</c:v>
                  </c:pt>
                  <c:pt idx="110">
                    <c:v>2035</c:v>
                  </c:pt>
                  <c:pt idx="111">
                    <c:v>2040</c:v>
                  </c:pt>
                  <c:pt idx="112">
                    <c:v>2045</c:v>
                  </c:pt>
                  <c:pt idx="113">
                    <c:v>2050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#REF!</c:v>
                  </c:pt>
                  <c:pt idx="12">
                    <c:v>0</c:v>
                  </c:pt>
                </c:lvl>
              </c:multiLvlStrCache>
            </c:multiLvlStrRef>
          </c:cat>
          <c:val>
            <c:numRef>
              <c:f>Summary!$V$32:$V$145</c:f>
              <c:numCache>
                <c:formatCode>_(* #,##0_);_(* \(#,##0\);_(* "-"??_);_(@_)</c:formatCode>
                <c:ptCount val="1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754.99733779999997</c:v>
                </c:pt>
                <c:pt idx="7">
                  <c:v>864.42025279999996</c:v>
                </c:pt>
                <c:pt idx="8">
                  <c:v>924.95660280000004</c:v>
                </c:pt>
                <c:pt idx="9">
                  <c:v>864.34470279999994</c:v>
                </c:pt>
                <c:pt idx="10">
                  <c:v>843.69470279999996</c:v>
                </c:pt>
                <c:pt idx="11">
                  <c:v>843.69470279999996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DD-784F-BD20-BFC2C5BF20CB}"/>
            </c:ext>
          </c:extLst>
        </c:ser>
        <c:ser>
          <c:idx val="0"/>
          <c:order val="2"/>
          <c:tx>
            <c:strRef>
              <c:f>Summary!$W$31</c:f>
              <c:strCache>
                <c:ptCount val="1"/>
                <c:pt idx="0">
                  <c:v>Variable O&amp;M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multiLvlStrRef>
              <c:f>Summary!$S$32:$T$145</c:f>
              <c:multiLvlStrCache>
                <c:ptCount val="114"/>
                <c:lvl>
                  <c:pt idx="0">
                    <c:v>2025</c:v>
                  </c:pt>
                  <c:pt idx="1">
                    <c:v>2030</c:v>
                  </c:pt>
                  <c:pt idx="2">
                    <c:v>2035</c:v>
                  </c:pt>
                  <c:pt idx="3">
                    <c:v>2040</c:v>
                  </c:pt>
                  <c:pt idx="4">
                    <c:v>2045</c:v>
                  </c:pt>
                  <c:pt idx="5">
                    <c:v>2050</c:v>
                  </c:pt>
                  <c:pt idx="6">
                    <c:v>2025</c:v>
                  </c:pt>
                  <c:pt idx="7">
                    <c:v>2030</c:v>
                  </c:pt>
                  <c:pt idx="8">
                    <c:v>2035</c:v>
                  </c:pt>
                  <c:pt idx="9">
                    <c:v>2040</c:v>
                  </c:pt>
                  <c:pt idx="10">
                    <c:v>2045</c:v>
                  </c:pt>
                  <c:pt idx="11">
                    <c:v>2050</c:v>
                  </c:pt>
                  <c:pt idx="12">
                    <c:v>2025</c:v>
                  </c:pt>
                  <c:pt idx="13">
                    <c:v>2030</c:v>
                  </c:pt>
                  <c:pt idx="14">
                    <c:v>2035</c:v>
                  </c:pt>
                  <c:pt idx="15">
                    <c:v>2040</c:v>
                  </c:pt>
                  <c:pt idx="16">
                    <c:v>2045</c:v>
                  </c:pt>
                  <c:pt idx="17">
                    <c:v>2050</c:v>
                  </c:pt>
                  <c:pt idx="18">
                    <c:v>2025</c:v>
                  </c:pt>
                  <c:pt idx="19">
                    <c:v>2030</c:v>
                  </c:pt>
                  <c:pt idx="20">
                    <c:v>2035</c:v>
                  </c:pt>
                  <c:pt idx="21">
                    <c:v>2040</c:v>
                  </c:pt>
                  <c:pt idx="22">
                    <c:v>2045</c:v>
                  </c:pt>
                  <c:pt idx="23">
                    <c:v>2050</c:v>
                  </c:pt>
                  <c:pt idx="24">
                    <c:v>2025</c:v>
                  </c:pt>
                  <c:pt idx="25">
                    <c:v>2030</c:v>
                  </c:pt>
                  <c:pt idx="26">
                    <c:v>2035</c:v>
                  </c:pt>
                  <c:pt idx="27">
                    <c:v>2040</c:v>
                  </c:pt>
                  <c:pt idx="28">
                    <c:v>2045</c:v>
                  </c:pt>
                  <c:pt idx="29">
                    <c:v>2050</c:v>
                  </c:pt>
                  <c:pt idx="30">
                    <c:v>2025</c:v>
                  </c:pt>
                  <c:pt idx="31">
                    <c:v>2030</c:v>
                  </c:pt>
                  <c:pt idx="32">
                    <c:v>2035</c:v>
                  </c:pt>
                  <c:pt idx="33">
                    <c:v>2040</c:v>
                  </c:pt>
                  <c:pt idx="34">
                    <c:v>2045</c:v>
                  </c:pt>
                  <c:pt idx="35">
                    <c:v>2050</c:v>
                  </c:pt>
                  <c:pt idx="36">
                    <c:v>2025</c:v>
                  </c:pt>
                  <c:pt idx="37">
                    <c:v>2030</c:v>
                  </c:pt>
                  <c:pt idx="38">
                    <c:v>2035</c:v>
                  </c:pt>
                  <c:pt idx="39">
                    <c:v>2040</c:v>
                  </c:pt>
                  <c:pt idx="40">
                    <c:v>2045</c:v>
                  </c:pt>
                  <c:pt idx="41">
                    <c:v>2050</c:v>
                  </c:pt>
                  <c:pt idx="42">
                    <c:v>2025</c:v>
                  </c:pt>
                  <c:pt idx="43">
                    <c:v>2030</c:v>
                  </c:pt>
                  <c:pt idx="44">
                    <c:v>2035</c:v>
                  </c:pt>
                  <c:pt idx="45">
                    <c:v>2040</c:v>
                  </c:pt>
                  <c:pt idx="46">
                    <c:v>2045</c:v>
                  </c:pt>
                  <c:pt idx="47">
                    <c:v>2050</c:v>
                  </c:pt>
                  <c:pt idx="48">
                    <c:v>2025</c:v>
                  </c:pt>
                  <c:pt idx="49">
                    <c:v>2030</c:v>
                  </c:pt>
                  <c:pt idx="50">
                    <c:v>2035</c:v>
                  </c:pt>
                  <c:pt idx="51">
                    <c:v>2040</c:v>
                  </c:pt>
                  <c:pt idx="52">
                    <c:v>2045</c:v>
                  </c:pt>
                  <c:pt idx="53">
                    <c:v>2050</c:v>
                  </c:pt>
                  <c:pt idx="54">
                    <c:v>2025</c:v>
                  </c:pt>
                  <c:pt idx="55">
                    <c:v>2030</c:v>
                  </c:pt>
                  <c:pt idx="56">
                    <c:v>2035</c:v>
                  </c:pt>
                  <c:pt idx="57">
                    <c:v>2040</c:v>
                  </c:pt>
                  <c:pt idx="58">
                    <c:v>2045</c:v>
                  </c:pt>
                  <c:pt idx="59">
                    <c:v>2050</c:v>
                  </c:pt>
                  <c:pt idx="60">
                    <c:v>2025</c:v>
                  </c:pt>
                  <c:pt idx="61">
                    <c:v>2030</c:v>
                  </c:pt>
                  <c:pt idx="62">
                    <c:v>2035</c:v>
                  </c:pt>
                  <c:pt idx="63">
                    <c:v>2040</c:v>
                  </c:pt>
                  <c:pt idx="64">
                    <c:v>2045</c:v>
                  </c:pt>
                  <c:pt idx="65">
                    <c:v>2050</c:v>
                  </c:pt>
                  <c:pt idx="66">
                    <c:v>2025</c:v>
                  </c:pt>
                  <c:pt idx="67">
                    <c:v>2030</c:v>
                  </c:pt>
                  <c:pt idx="68">
                    <c:v>2035</c:v>
                  </c:pt>
                  <c:pt idx="69">
                    <c:v>2040</c:v>
                  </c:pt>
                  <c:pt idx="70">
                    <c:v>2045</c:v>
                  </c:pt>
                  <c:pt idx="71">
                    <c:v>2050</c:v>
                  </c:pt>
                  <c:pt idx="72">
                    <c:v>2025</c:v>
                  </c:pt>
                  <c:pt idx="73">
                    <c:v>2030</c:v>
                  </c:pt>
                  <c:pt idx="74">
                    <c:v>2035</c:v>
                  </c:pt>
                  <c:pt idx="75">
                    <c:v>2040</c:v>
                  </c:pt>
                  <c:pt idx="76">
                    <c:v>2045</c:v>
                  </c:pt>
                  <c:pt idx="77">
                    <c:v>2050</c:v>
                  </c:pt>
                  <c:pt idx="78">
                    <c:v>2025</c:v>
                  </c:pt>
                  <c:pt idx="79">
                    <c:v>2030</c:v>
                  </c:pt>
                  <c:pt idx="80">
                    <c:v>2035</c:v>
                  </c:pt>
                  <c:pt idx="81">
                    <c:v>2040</c:v>
                  </c:pt>
                  <c:pt idx="82">
                    <c:v>2045</c:v>
                  </c:pt>
                  <c:pt idx="83">
                    <c:v>2050</c:v>
                  </c:pt>
                  <c:pt idx="84">
                    <c:v>2025</c:v>
                  </c:pt>
                  <c:pt idx="85">
                    <c:v>2030</c:v>
                  </c:pt>
                  <c:pt idx="86">
                    <c:v>2035</c:v>
                  </c:pt>
                  <c:pt idx="87">
                    <c:v>2040</c:v>
                  </c:pt>
                  <c:pt idx="88">
                    <c:v>2045</c:v>
                  </c:pt>
                  <c:pt idx="89">
                    <c:v>2050</c:v>
                  </c:pt>
                  <c:pt idx="90">
                    <c:v>2025</c:v>
                  </c:pt>
                  <c:pt idx="91">
                    <c:v>2030</c:v>
                  </c:pt>
                  <c:pt idx="92">
                    <c:v>2035</c:v>
                  </c:pt>
                  <c:pt idx="93">
                    <c:v>2040</c:v>
                  </c:pt>
                  <c:pt idx="94">
                    <c:v>2045</c:v>
                  </c:pt>
                  <c:pt idx="95">
                    <c:v>2050</c:v>
                  </c:pt>
                  <c:pt idx="96">
                    <c:v>2025</c:v>
                  </c:pt>
                  <c:pt idx="97">
                    <c:v>2030</c:v>
                  </c:pt>
                  <c:pt idx="98">
                    <c:v>2035</c:v>
                  </c:pt>
                  <c:pt idx="99">
                    <c:v>2040</c:v>
                  </c:pt>
                  <c:pt idx="100">
                    <c:v>2045</c:v>
                  </c:pt>
                  <c:pt idx="101">
                    <c:v>2050</c:v>
                  </c:pt>
                  <c:pt idx="102">
                    <c:v>2025</c:v>
                  </c:pt>
                  <c:pt idx="103">
                    <c:v>2030</c:v>
                  </c:pt>
                  <c:pt idx="104">
                    <c:v>2035</c:v>
                  </c:pt>
                  <c:pt idx="105">
                    <c:v>2040</c:v>
                  </c:pt>
                  <c:pt idx="106">
                    <c:v>2045</c:v>
                  </c:pt>
                  <c:pt idx="107">
                    <c:v>2050</c:v>
                  </c:pt>
                  <c:pt idx="108">
                    <c:v>2025</c:v>
                  </c:pt>
                  <c:pt idx="109">
                    <c:v>2030</c:v>
                  </c:pt>
                  <c:pt idx="110">
                    <c:v>2035</c:v>
                  </c:pt>
                  <c:pt idx="111">
                    <c:v>2040</c:v>
                  </c:pt>
                  <c:pt idx="112">
                    <c:v>2045</c:v>
                  </c:pt>
                  <c:pt idx="113">
                    <c:v>2050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#REF!</c:v>
                  </c:pt>
                  <c:pt idx="12">
                    <c:v>0</c:v>
                  </c:pt>
                </c:lvl>
              </c:multiLvlStrCache>
            </c:multiLvlStrRef>
          </c:cat>
          <c:val>
            <c:numRef>
              <c:f>Summary!$W$32:$W$145</c:f>
              <c:numCache>
                <c:formatCode>_(* #,##0_);_(* \(#,##0\);_(* "-"??_);_(@_)</c:formatCode>
                <c:ptCount val="1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585.54399999999998</c:v>
                </c:pt>
                <c:pt idx="7">
                  <c:v>519.97400000000005</c:v>
                </c:pt>
                <c:pt idx="8">
                  <c:v>512.87300000000005</c:v>
                </c:pt>
                <c:pt idx="9">
                  <c:v>500.45100000000002</c:v>
                </c:pt>
                <c:pt idx="10">
                  <c:v>501.59</c:v>
                </c:pt>
                <c:pt idx="11">
                  <c:v>505.18799999999999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DD-784F-BD20-BFC2C5BF20CB}"/>
            </c:ext>
          </c:extLst>
        </c:ser>
        <c:ser>
          <c:idx val="3"/>
          <c:order val="3"/>
          <c:tx>
            <c:strRef>
              <c:f>Summary!$X$31</c:f>
              <c:strCache>
                <c:ptCount val="1"/>
                <c:pt idx="0">
                  <c:v>Fuel</c:v>
                </c:pt>
              </c:strCache>
            </c:strRef>
          </c:tx>
          <c:invertIfNegative val="0"/>
          <c:cat>
            <c:multiLvlStrRef>
              <c:f>Summary!$S$32:$T$145</c:f>
              <c:multiLvlStrCache>
                <c:ptCount val="114"/>
                <c:lvl>
                  <c:pt idx="0">
                    <c:v>2025</c:v>
                  </c:pt>
                  <c:pt idx="1">
                    <c:v>2030</c:v>
                  </c:pt>
                  <c:pt idx="2">
                    <c:v>2035</c:v>
                  </c:pt>
                  <c:pt idx="3">
                    <c:v>2040</c:v>
                  </c:pt>
                  <c:pt idx="4">
                    <c:v>2045</c:v>
                  </c:pt>
                  <c:pt idx="5">
                    <c:v>2050</c:v>
                  </c:pt>
                  <c:pt idx="6">
                    <c:v>2025</c:v>
                  </c:pt>
                  <c:pt idx="7">
                    <c:v>2030</c:v>
                  </c:pt>
                  <c:pt idx="8">
                    <c:v>2035</c:v>
                  </c:pt>
                  <c:pt idx="9">
                    <c:v>2040</c:v>
                  </c:pt>
                  <c:pt idx="10">
                    <c:v>2045</c:v>
                  </c:pt>
                  <c:pt idx="11">
                    <c:v>2050</c:v>
                  </c:pt>
                  <c:pt idx="12">
                    <c:v>2025</c:v>
                  </c:pt>
                  <c:pt idx="13">
                    <c:v>2030</c:v>
                  </c:pt>
                  <c:pt idx="14">
                    <c:v>2035</c:v>
                  </c:pt>
                  <c:pt idx="15">
                    <c:v>2040</c:v>
                  </c:pt>
                  <c:pt idx="16">
                    <c:v>2045</c:v>
                  </c:pt>
                  <c:pt idx="17">
                    <c:v>2050</c:v>
                  </c:pt>
                  <c:pt idx="18">
                    <c:v>2025</c:v>
                  </c:pt>
                  <c:pt idx="19">
                    <c:v>2030</c:v>
                  </c:pt>
                  <c:pt idx="20">
                    <c:v>2035</c:v>
                  </c:pt>
                  <c:pt idx="21">
                    <c:v>2040</c:v>
                  </c:pt>
                  <c:pt idx="22">
                    <c:v>2045</c:v>
                  </c:pt>
                  <c:pt idx="23">
                    <c:v>2050</c:v>
                  </c:pt>
                  <c:pt idx="24">
                    <c:v>2025</c:v>
                  </c:pt>
                  <c:pt idx="25">
                    <c:v>2030</c:v>
                  </c:pt>
                  <c:pt idx="26">
                    <c:v>2035</c:v>
                  </c:pt>
                  <c:pt idx="27">
                    <c:v>2040</c:v>
                  </c:pt>
                  <c:pt idx="28">
                    <c:v>2045</c:v>
                  </c:pt>
                  <c:pt idx="29">
                    <c:v>2050</c:v>
                  </c:pt>
                  <c:pt idx="30">
                    <c:v>2025</c:v>
                  </c:pt>
                  <c:pt idx="31">
                    <c:v>2030</c:v>
                  </c:pt>
                  <c:pt idx="32">
                    <c:v>2035</c:v>
                  </c:pt>
                  <c:pt idx="33">
                    <c:v>2040</c:v>
                  </c:pt>
                  <c:pt idx="34">
                    <c:v>2045</c:v>
                  </c:pt>
                  <c:pt idx="35">
                    <c:v>2050</c:v>
                  </c:pt>
                  <c:pt idx="36">
                    <c:v>2025</c:v>
                  </c:pt>
                  <c:pt idx="37">
                    <c:v>2030</c:v>
                  </c:pt>
                  <c:pt idx="38">
                    <c:v>2035</c:v>
                  </c:pt>
                  <c:pt idx="39">
                    <c:v>2040</c:v>
                  </c:pt>
                  <c:pt idx="40">
                    <c:v>2045</c:v>
                  </c:pt>
                  <c:pt idx="41">
                    <c:v>2050</c:v>
                  </c:pt>
                  <c:pt idx="42">
                    <c:v>2025</c:v>
                  </c:pt>
                  <c:pt idx="43">
                    <c:v>2030</c:v>
                  </c:pt>
                  <c:pt idx="44">
                    <c:v>2035</c:v>
                  </c:pt>
                  <c:pt idx="45">
                    <c:v>2040</c:v>
                  </c:pt>
                  <c:pt idx="46">
                    <c:v>2045</c:v>
                  </c:pt>
                  <c:pt idx="47">
                    <c:v>2050</c:v>
                  </c:pt>
                  <c:pt idx="48">
                    <c:v>2025</c:v>
                  </c:pt>
                  <c:pt idx="49">
                    <c:v>2030</c:v>
                  </c:pt>
                  <c:pt idx="50">
                    <c:v>2035</c:v>
                  </c:pt>
                  <c:pt idx="51">
                    <c:v>2040</c:v>
                  </c:pt>
                  <c:pt idx="52">
                    <c:v>2045</c:v>
                  </c:pt>
                  <c:pt idx="53">
                    <c:v>2050</c:v>
                  </c:pt>
                  <c:pt idx="54">
                    <c:v>2025</c:v>
                  </c:pt>
                  <c:pt idx="55">
                    <c:v>2030</c:v>
                  </c:pt>
                  <c:pt idx="56">
                    <c:v>2035</c:v>
                  </c:pt>
                  <c:pt idx="57">
                    <c:v>2040</c:v>
                  </c:pt>
                  <c:pt idx="58">
                    <c:v>2045</c:v>
                  </c:pt>
                  <c:pt idx="59">
                    <c:v>2050</c:v>
                  </c:pt>
                  <c:pt idx="60">
                    <c:v>2025</c:v>
                  </c:pt>
                  <c:pt idx="61">
                    <c:v>2030</c:v>
                  </c:pt>
                  <c:pt idx="62">
                    <c:v>2035</c:v>
                  </c:pt>
                  <c:pt idx="63">
                    <c:v>2040</c:v>
                  </c:pt>
                  <c:pt idx="64">
                    <c:v>2045</c:v>
                  </c:pt>
                  <c:pt idx="65">
                    <c:v>2050</c:v>
                  </c:pt>
                  <c:pt idx="66">
                    <c:v>2025</c:v>
                  </c:pt>
                  <c:pt idx="67">
                    <c:v>2030</c:v>
                  </c:pt>
                  <c:pt idx="68">
                    <c:v>2035</c:v>
                  </c:pt>
                  <c:pt idx="69">
                    <c:v>2040</c:v>
                  </c:pt>
                  <c:pt idx="70">
                    <c:v>2045</c:v>
                  </c:pt>
                  <c:pt idx="71">
                    <c:v>2050</c:v>
                  </c:pt>
                  <c:pt idx="72">
                    <c:v>2025</c:v>
                  </c:pt>
                  <c:pt idx="73">
                    <c:v>2030</c:v>
                  </c:pt>
                  <c:pt idx="74">
                    <c:v>2035</c:v>
                  </c:pt>
                  <c:pt idx="75">
                    <c:v>2040</c:v>
                  </c:pt>
                  <c:pt idx="76">
                    <c:v>2045</c:v>
                  </c:pt>
                  <c:pt idx="77">
                    <c:v>2050</c:v>
                  </c:pt>
                  <c:pt idx="78">
                    <c:v>2025</c:v>
                  </c:pt>
                  <c:pt idx="79">
                    <c:v>2030</c:v>
                  </c:pt>
                  <c:pt idx="80">
                    <c:v>2035</c:v>
                  </c:pt>
                  <c:pt idx="81">
                    <c:v>2040</c:v>
                  </c:pt>
                  <c:pt idx="82">
                    <c:v>2045</c:v>
                  </c:pt>
                  <c:pt idx="83">
                    <c:v>2050</c:v>
                  </c:pt>
                  <c:pt idx="84">
                    <c:v>2025</c:v>
                  </c:pt>
                  <c:pt idx="85">
                    <c:v>2030</c:v>
                  </c:pt>
                  <c:pt idx="86">
                    <c:v>2035</c:v>
                  </c:pt>
                  <c:pt idx="87">
                    <c:v>2040</c:v>
                  </c:pt>
                  <c:pt idx="88">
                    <c:v>2045</c:v>
                  </c:pt>
                  <c:pt idx="89">
                    <c:v>2050</c:v>
                  </c:pt>
                  <c:pt idx="90">
                    <c:v>2025</c:v>
                  </c:pt>
                  <c:pt idx="91">
                    <c:v>2030</c:v>
                  </c:pt>
                  <c:pt idx="92">
                    <c:v>2035</c:v>
                  </c:pt>
                  <c:pt idx="93">
                    <c:v>2040</c:v>
                  </c:pt>
                  <c:pt idx="94">
                    <c:v>2045</c:v>
                  </c:pt>
                  <c:pt idx="95">
                    <c:v>2050</c:v>
                  </c:pt>
                  <c:pt idx="96">
                    <c:v>2025</c:v>
                  </c:pt>
                  <c:pt idx="97">
                    <c:v>2030</c:v>
                  </c:pt>
                  <c:pt idx="98">
                    <c:v>2035</c:v>
                  </c:pt>
                  <c:pt idx="99">
                    <c:v>2040</c:v>
                  </c:pt>
                  <c:pt idx="100">
                    <c:v>2045</c:v>
                  </c:pt>
                  <c:pt idx="101">
                    <c:v>2050</c:v>
                  </c:pt>
                  <c:pt idx="102">
                    <c:v>2025</c:v>
                  </c:pt>
                  <c:pt idx="103">
                    <c:v>2030</c:v>
                  </c:pt>
                  <c:pt idx="104">
                    <c:v>2035</c:v>
                  </c:pt>
                  <c:pt idx="105">
                    <c:v>2040</c:v>
                  </c:pt>
                  <c:pt idx="106">
                    <c:v>2045</c:v>
                  </c:pt>
                  <c:pt idx="107">
                    <c:v>2050</c:v>
                  </c:pt>
                  <c:pt idx="108">
                    <c:v>2025</c:v>
                  </c:pt>
                  <c:pt idx="109">
                    <c:v>2030</c:v>
                  </c:pt>
                  <c:pt idx="110">
                    <c:v>2035</c:v>
                  </c:pt>
                  <c:pt idx="111">
                    <c:v>2040</c:v>
                  </c:pt>
                  <c:pt idx="112">
                    <c:v>2045</c:v>
                  </c:pt>
                  <c:pt idx="113">
                    <c:v>2050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#REF!</c:v>
                  </c:pt>
                  <c:pt idx="12">
                    <c:v>0</c:v>
                  </c:pt>
                </c:lvl>
              </c:multiLvlStrCache>
            </c:multiLvlStrRef>
          </c:cat>
          <c:val>
            <c:numRef>
              <c:f>Summary!$X$32:$X$145</c:f>
              <c:numCache>
                <c:formatCode>_(* #,##0_);_(* \(#,##0\);_(* "-"??_);_(@_)</c:formatCode>
                <c:ptCount val="1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3584.02</c:v>
                </c:pt>
                <c:pt idx="7">
                  <c:v>2568.942</c:v>
                </c:pt>
                <c:pt idx="8">
                  <c:v>2861.4</c:v>
                </c:pt>
                <c:pt idx="9">
                  <c:v>2938.982</c:v>
                </c:pt>
                <c:pt idx="10">
                  <c:v>3074.8339999999998</c:v>
                </c:pt>
                <c:pt idx="11">
                  <c:v>3117.4160000000002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DD-784F-BD20-BFC2C5BF2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416597511"/>
        <c:axId val="1020599815"/>
      </c:barChart>
      <c:catAx>
        <c:axId val="416597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20599815"/>
        <c:crosses val="autoZero"/>
        <c:auto val="1"/>
        <c:lblAlgn val="ctr"/>
        <c:lblOffset val="100"/>
        <c:noMultiLvlLbl val="0"/>
      </c:catAx>
      <c:valAx>
        <c:axId val="1020599815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n-US" sz="900"/>
                  <a:t>TRC</a:t>
                </a:r>
                <a:br>
                  <a:rPr lang="en-US" sz="900"/>
                </a:br>
                <a:r>
                  <a:rPr lang="en-US" sz="900"/>
                  <a:t>($MM)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1659751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solidFill>
            <a:schemeClr val="bg1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'IRP Plan (default)'!$G$42</c:f>
              <c:strCache>
                <c:ptCount val="1"/>
                <c:pt idx="0">
                  <c:v>Total Operational Capacity (MW)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val>
            <c:numRef>
              <c:f>'IRP Plan (default)'!$H$42:$AG$42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3-0C4D-BA0D-3F31ED4FA986}"/>
            </c:ext>
          </c:extLst>
        </c:ser>
        <c:ser>
          <c:idx val="3"/>
          <c:order val="1"/>
          <c:tx>
            <c:strRef>
              <c:f>'IRP Plan (default)'!$G$43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'IRP Plan (default)'!$H$43:$AG$43</c:f>
              <c:numCache>
                <c:formatCode>_(* #,##0_);_(* \(#,##0\);_(* "-"??_);_(@_)</c:formatCode>
                <c:ptCount val="26"/>
                <c:pt idx="0">
                  <c:v>7899</c:v>
                </c:pt>
                <c:pt idx="1">
                  <c:v>7899</c:v>
                </c:pt>
                <c:pt idx="2">
                  <c:v>7899</c:v>
                </c:pt>
                <c:pt idx="3">
                  <c:v>7602</c:v>
                </c:pt>
                <c:pt idx="4">
                  <c:v>6822</c:v>
                </c:pt>
                <c:pt idx="5">
                  <c:v>4803</c:v>
                </c:pt>
                <c:pt idx="6">
                  <c:v>4803</c:v>
                </c:pt>
                <c:pt idx="7">
                  <c:v>4803</c:v>
                </c:pt>
                <c:pt idx="8">
                  <c:v>4803</c:v>
                </c:pt>
                <c:pt idx="9">
                  <c:v>4803</c:v>
                </c:pt>
                <c:pt idx="10">
                  <c:v>4803</c:v>
                </c:pt>
                <c:pt idx="11">
                  <c:v>3523</c:v>
                </c:pt>
                <c:pt idx="12">
                  <c:v>3523</c:v>
                </c:pt>
                <c:pt idx="13">
                  <c:v>3523</c:v>
                </c:pt>
                <c:pt idx="14">
                  <c:v>3523</c:v>
                </c:pt>
                <c:pt idx="15">
                  <c:v>3523</c:v>
                </c:pt>
                <c:pt idx="16">
                  <c:v>3523</c:v>
                </c:pt>
                <c:pt idx="17">
                  <c:v>3523</c:v>
                </c:pt>
                <c:pt idx="18">
                  <c:v>3523</c:v>
                </c:pt>
                <c:pt idx="19">
                  <c:v>3523</c:v>
                </c:pt>
                <c:pt idx="20">
                  <c:v>3523</c:v>
                </c:pt>
                <c:pt idx="21">
                  <c:v>3523</c:v>
                </c:pt>
                <c:pt idx="22">
                  <c:v>3523</c:v>
                </c:pt>
                <c:pt idx="23">
                  <c:v>3523</c:v>
                </c:pt>
                <c:pt idx="24">
                  <c:v>3523</c:v>
                </c:pt>
                <c:pt idx="25">
                  <c:v>3523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33-0C4D-BA0D-3F31ED4FA986}"/>
            </c:ext>
          </c:extLst>
        </c:ser>
        <c:ser>
          <c:idx val="4"/>
          <c:order val="2"/>
          <c:tx>
            <c:strRef>
              <c:f>'IRP Plan (default)'!$G$44</c:f>
              <c:strCache>
                <c:ptCount val="1"/>
                <c:pt idx="0">
                  <c:v>Gas Other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val>
            <c:numRef>
              <c:f>'IRP Plan (default)'!$H$44:$AG$44</c:f>
              <c:numCache>
                <c:formatCode>_(* #,##0_);_(* \(#,##0\);_(* "-"??_);_(@_)</c:formatCode>
                <c:ptCount val="26"/>
                <c:pt idx="0">
                  <c:v>749</c:v>
                </c:pt>
                <c:pt idx="1">
                  <c:v>749</c:v>
                </c:pt>
                <c:pt idx="2">
                  <c:v>749</c:v>
                </c:pt>
                <c:pt idx="3">
                  <c:v>749</c:v>
                </c:pt>
                <c:pt idx="4">
                  <c:v>749</c:v>
                </c:pt>
                <c:pt idx="5">
                  <c:v>2768</c:v>
                </c:pt>
                <c:pt idx="6">
                  <c:v>2768</c:v>
                </c:pt>
                <c:pt idx="7">
                  <c:v>2768</c:v>
                </c:pt>
                <c:pt idx="8">
                  <c:v>2768</c:v>
                </c:pt>
                <c:pt idx="9">
                  <c:v>2768</c:v>
                </c:pt>
                <c:pt idx="10">
                  <c:v>2768</c:v>
                </c:pt>
                <c:pt idx="11">
                  <c:v>2768</c:v>
                </c:pt>
                <c:pt idx="12">
                  <c:v>2768</c:v>
                </c:pt>
                <c:pt idx="13">
                  <c:v>2768</c:v>
                </c:pt>
                <c:pt idx="14">
                  <c:v>3432</c:v>
                </c:pt>
                <c:pt idx="15">
                  <c:v>3432</c:v>
                </c:pt>
                <c:pt idx="16">
                  <c:v>3432</c:v>
                </c:pt>
                <c:pt idx="17">
                  <c:v>3137</c:v>
                </c:pt>
                <c:pt idx="18">
                  <c:v>3137</c:v>
                </c:pt>
                <c:pt idx="19">
                  <c:v>3137</c:v>
                </c:pt>
                <c:pt idx="20">
                  <c:v>3137</c:v>
                </c:pt>
                <c:pt idx="21">
                  <c:v>3137</c:v>
                </c:pt>
                <c:pt idx="22">
                  <c:v>3137</c:v>
                </c:pt>
                <c:pt idx="23">
                  <c:v>3137</c:v>
                </c:pt>
                <c:pt idx="24">
                  <c:v>3137</c:v>
                </c:pt>
                <c:pt idx="25">
                  <c:v>3137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33-0C4D-BA0D-3F31ED4FA986}"/>
            </c:ext>
          </c:extLst>
        </c:ser>
        <c:ser>
          <c:idx val="5"/>
          <c:order val="3"/>
          <c:tx>
            <c:strRef>
              <c:f>'IRP Plan (default)'!$G$45</c:f>
              <c:strCache>
                <c:ptCount val="1"/>
                <c:pt idx="0">
                  <c:v>Gas CCGT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invertIfNegative val="0"/>
          <c:val>
            <c:numRef>
              <c:f>'IRP Plan (default)'!$H$45:$AG$45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645</c:v>
                </c:pt>
                <c:pt idx="3">
                  <c:v>1290</c:v>
                </c:pt>
                <c:pt idx="4">
                  <c:v>1890</c:v>
                </c:pt>
                <c:pt idx="5">
                  <c:v>2635</c:v>
                </c:pt>
                <c:pt idx="6">
                  <c:v>3280</c:v>
                </c:pt>
                <c:pt idx="7">
                  <c:v>3280</c:v>
                </c:pt>
                <c:pt idx="8">
                  <c:v>3280</c:v>
                </c:pt>
                <c:pt idx="9">
                  <c:v>3280</c:v>
                </c:pt>
                <c:pt idx="10">
                  <c:v>3280</c:v>
                </c:pt>
                <c:pt idx="11">
                  <c:v>3280</c:v>
                </c:pt>
                <c:pt idx="12">
                  <c:v>3280</c:v>
                </c:pt>
                <c:pt idx="13">
                  <c:v>3280</c:v>
                </c:pt>
                <c:pt idx="14">
                  <c:v>3280</c:v>
                </c:pt>
                <c:pt idx="15">
                  <c:v>3280</c:v>
                </c:pt>
                <c:pt idx="16">
                  <c:v>3280</c:v>
                </c:pt>
                <c:pt idx="17">
                  <c:v>3280</c:v>
                </c:pt>
                <c:pt idx="18">
                  <c:v>3280</c:v>
                </c:pt>
                <c:pt idx="19">
                  <c:v>3280</c:v>
                </c:pt>
                <c:pt idx="20">
                  <c:v>3280</c:v>
                </c:pt>
                <c:pt idx="21">
                  <c:v>3280</c:v>
                </c:pt>
                <c:pt idx="22">
                  <c:v>3280</c:v>
                </c:pt>
                <c:pt idx="23">
                  <c:v>3280</c:v>
                </c:pt>
                <c:pt idx="24">
                  <c:v>3280</c:v>
                </c:pt>
                <c:pt idx="25">
                  <c:v>3280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33-0C4D-BA0D-3F31ED4FA986}"/>
            </c:ext>
          </c:extLst>
        </c:ser>
        <c:ser>
          <c:idx val="6"/>
          <c:order val="4"/>
          <c:tx>
            <c:strRef>
              <c:f>'IRP Plan (default)'!$G$46</c:f>
              <c:strCache>
                <c:ptCount val="1"/>
                <c:pt idx="0">
                  <c:v>Gas CT</c:v>
                </c:pt>
              </c:strCache>
            </c:strRef>
          </c:tx>
          <c:spPr>
            <a:solidFill>
              <a:srgbClr val="FF8AD8"/>
            </a:solidFill>
            <a:ln>
              <a:noFill/>
            </a:ln>
            <a:effectLst/>
          </c:spPr>
          <c:invertIfNegative val="0"/>
          <c:val>
            <c:numRef>
              <c:f>'IRP Plan (default)'!$H$46:$AG$46</c:f>
              <c:numCache>
                <c:formatCode>_(* #,##0_);_(* \(#,##0\);_(* "-"??_);_(@_)</c:formatCode>
                <c:ptCount val="26"/>
                <c:pt idx="0">
                  <c:v>4653</c:v>
                </c:pt>
                <c:pt idx="1">
                  <c:v>4582</c:v>
                </c:pt>
                <c:pt idx="2">
                  <c:v>4582</c:v>
                </c:pt>
                <c:pt idx="3">
                  <c:v>4796</c:v>
                </c:pt>
                <c:pt idx="4">
                  <c:v>5276</c:v>
                </c:pt>
                <c:pt idx="5">
                  <c:v>5276</c:v>
                </c:pt>
                <c:pt idx="6">
                  <c:v>5276</c:v>
                </c:pt>
                <c:pt idx="7">
                  <c:v>5211</c:v>
                </c:pt>
                <c:pt idx="8">
                  <c:v>5211</c:v>
                </c:pt>
                <c:pt idx="9">
                  <c:v>5211</c:v>
                </c:pt>
                <c:pt idx="10">
                  <c:v>5211</c:v>
                </c:pt>
                <c:pt idx="11">
                  <c:v>5211</c:v>
                </c:pt>
                <c:pt idx="12">
                  <c:v>5211</c:v>
                </c:pt>
                <c:pt idx="13">
                  <c:v>5211</c:v>
                </c:pt>
                <c:pt idx="14">
                  <c:v>5211</c:v>
                </c:pt>
                <c:pt idx="15">
                  <c:v>5211</c:v>
                </c:pt>
                <c:pt idx="16">
                  <c:v>5211</c:v>
                </c:pt>
                <c:pt idx="17">
                  <c:v>5211</c:v>
                </c:pt>
                <c:pt idx="18">
                  <c:v>5211</c:v>
                </c:pt>
                <c:pt idx="19">
                  <c:v>5211</c:v>
                </c:pt>
                <c:pt idx="20">
                  <c:v>5211</c:v>
                </c:pt>
                <c:pt idx="21">
                  <c:v>5211</c:v>
                </c:pt>
                <c:pt idx="22">
                  <c:v>5211</c:v>
                </c:pt>
                <c:pt idx="23">
                  <c:v>5211</c:v>
                </c:pt>
                <c:pt idx="24">
                  <c:v>5211</c:v>
                </c:pt>
                <c:pt idx="25">
                  <c:v>5211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33-0C4D-BA0D-3F31ED4FA986}"/>
            </c:ext>
          </c:extLst>
        </c:ser>
        <c:ser>
          <c:idx val="7"/>
          <c:order val="5"/>
          <c:tx>
            <c:strRef>
              <c:f>'IRP Plan (default)'!$G$47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'IRP Plan (default)'!$H$47:$AG$47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33-0C4D-BA0D-3F31ED4FA986}"/>
            </c:ext>
          </c:extLst>
        </c:ser>
        <c:ser>
          <c:idx val="8"/>
          <c:order val="6"/>
          <c:tx>
            <c:strRef>
              <c:f>'IRP Plan (default)'!$G$48</c:f>
              <c:strCache>
                <c:ptCount val="1"/>
                <c:pt idx="0">
                  <c:v>Biogas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'IRP Plan (default)'!$H$48:$AG$48</c:f>
              <c:numCache>
                <c:formatCode>_(* #,##0_);_(* \(#,##0\);_(* "-"??_);_(@_)</c:formatCode>
                <c:ptCount val="26"/>
                <c:pt idx="0">
                  <c:v>18.100000000000001</c:v>
                </c:pt>
                <c:pt idx="1">
                  <c:v>18.100000000000001</c:v>
                </c:pt>
                <c:pt idx="2">
                  <c:v>18.100000000000001</c:v>
                </c:pt>
                <c:pt idx="3">
                  <c:v>18.100000000000001</c:v>
                </c:pt>
                <c:pt idx="4">
                  <c:v>18.100000000000001</c:v>
                </c:pt>
                <c:pt idx="5">
                  <c:v>18.100000000000001</c:v>
                </c:pt>
                <c:pt idx="6">
                  <c:v>18.100000000000001</c:v>
                </c:pt>
                <c:pt idx="7">
                  <c:v>18.100000000000001</c:v>
                </c:pt>
                <c:pt idx="8">
                  <c:v>18.100000000000001</c:v>
                </c:pt>
                <c:pt idx="9">
                  <c:v>18.100000000000001</c:v>
                </c:pt>
                <c:pt idx="10">
                  <c:v>18.100000000000001</c:v>
                </c:pt>
                <c:pt idx="11">
                  <c:v>18.100000000000001</c:v>
                </c:pt>
                <c:pt idx="12">
                  <c:v>18.100000000000001</c:v>
                </c:pt>
                <c:pt idx="13">
                  <c:v>18.100000000000001</c:v>
                </c:pt>
                <c:pt idx="14">
                  <c:v>18.100000000000001</c:v>
                </c:pt>
                <c:pt idx="15">
                  <c:v>18.100000000000001</c:v>
                </c:pt>
                <c:pt idx="16">
                  <c:v>18.100000000000001</c:v>
                </c:pt>
                <c:pt idx="17">
                  <c:v>18.100000000000001</c:v>
                </c:pt>
                <c:pt idx="18">
                  <c:v>18.100000000000001</c:v>
                </c:pt>
                <c:pt idx="19">
                  <c:v>18.100000000000001</c:v>
                </c:pt>
                <c:pt idx="20">
                  <c:v>18.100000000000001</c:v>
                </c:pt>
                <c:pt idx="21">
                  <c:v>18.100000000000001</c:v>
                </c:pt>
                <c:pt idx="22">
                  <c:v>18.100000000000001</c:v>
                </c:pt>
                <c:pt idx="23">
                  <c:v>18.100000000000001</c:v>
                </c:pt>
                <c:pt idx="24">
                  <c:v>18.100000000000001</c:v>
                </c:pt>
                <c:pt idx="25">
                  <c:v>18.100000000000001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33-0C4D-BA0D-3F31ED4FA986}"/>
            </c:ext>
          </c:extLst>
        </c:ser>
        <c:ser>
          <c:idx val="9"/>
          <c:order val="7"/>
          <c:tx>
            <c:strRef>
              <c:f>'IRP Plan (default)'!$G$49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'IRP Plan (default)'!$H$49:$AG$49</c:f>
              <c:numCache>
                <c:formatCode>_(* #,##0_);_(* \(#,##0\);_(* "-"??_);_(@_)</c:formatCode>
                <c:ptCount val="26"/>
                <c:pt idx="0">
                  <c:v>482.2</c:v>
                </c:pt>
                <c:pt idx="1">
                  <c:v>482.2</c:v>
                </c:pt>
                <c:pt idx="2">
                  <c:v>482.2</c:v>
                </c:pt>
                <c:pt idx="3">
                  <c:v>482.2</c:v>
                </c:pt>
                <c:pt idx="4">
                  <c:v>482.2</c:v>
                </c:pt>
                <c:pt idx="5">
                  <c:v>482.2</c:v>
                </c:pt>
                <c:pt idx="6">
                  <c:v>482.2</c:v>
                </c:pt>
                <c:pt idx="7">
                  <c:v>482.2</c:v>
                </c:pt>
                <c:pt idx="8">
                  <c:v>482.2</c:v>
                </c:pt>
                <c:pt idx="9">
                  <c:v>482.2</c:v>
                </c:pt>
                <c:pt idx="10">
                  <c:v>482.2</c:v>
                </c:pt>
                <c:pt idx="11">
                  <c:v>482.2</c:v>
                </c:pt>
                <c:pt idx="12">
                  <c:v>482.2</c:v>
                </c:pt>
                <c:pt idx="13">
                  <c:v>482.2</c:v>
                </c:pt>
                <c:pt idx="14">
                  <c:v>482.2</c:v>
                </c:pt>
                <c:pt idx="15">
                  <c:v>482.2</c:v>
                </c:pt>
                <c:pt idx="16">
                  <c:v>482.2</c:v>
                </c:pt>
                <c:pt idx="17">
                  <c:v>482.2</c:v>
                </c:pt>
                <c:pt idx="18">
                  <c:v>482.2</c:v>
                </c:pt>
                <c:pt idx="19">
                  <c:v>482.2</c:v>
                </c:pt>
                <c:pt idx="20">
                  <c:v>482.2</c:v>
                </c:pt>
                <c:pt idx="21">
                  <c:v>482.2</c:v>
                </c:pt>
                <c:pt idx="22">
                  <c:v>482.2</c:v>
                </c:pt>
                <c:pt idx="23">
                  <c:v>482.2</c:v>
                </c:pt>
                <c:pt idx="24">
                  <c:v>482.2</c:v>
                </c:pt>
                <c:pt idx="25">
                  <c:v>482.2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933-0C4D-BA0D-3F31ED4FA986}"/>
            </c:ext>
          </c:extLst>
        </c:ser>
        <c:ser>
          <c:idx val="0"/>
          <c:order val="8"/>
          <c:tx>
            <c:strRef>
              <c:f>'IRP Plan (default)'!$G$50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'IRP Plan (default)'!$H$50:$AG$50</c:f>
              <c:numCache>
                <c:formatCode>_(* #,##0_);_(* \(#,##0\);_(* "-"??_);_(@_)</c:formatCode>
                <c:ptCount val="26"/>
                <c:pt idx="0">
                  <c:v>0.09</c:v>
                </c:pt>
                <c:pt idx="1">
                  <c:v>200.09</c:v>
                </c:pt>
                <c:pt idx="2">
                  <c:v>400.09</c:v>
                </c:pt>
                <c:pt idx="3">
                  <c:v>500.09</c:v>
                </c:pt>
                <c:pt idx="4">
                  <c:v>500.09</c:v>
                </c:pt>
                <c:pt idx="5">
                  <c:v>600.09</c:v>
                </c:pt>
                <c:pt idx="6">
                  <c:v>700.09</c:v>
                </c:pt>
                <c:pt idx="7">
                  <c:v>700.09</c:v>
                </c:pt>
                <c:pt idx="8">
                  <c:v>700.09</c:v>
                </c:pt>
                <c:pt idx="9">
                  <c:v>700.09</c:v>
                </c:pt>
                <c:pt idx="10">
                  <c:v>700.09</c:v>
                </c:pt>
                <c:pt idx="11">
                  <c:v>700.09</c:v>
                </c:pt>
                <c:pt idx="12">
                  <c:v>700.09</c:v>
                </c:pt>
                <c:pt idx="13">
                  <c:v>700.09</c:v>
                </c:pt>
                <c:pt idx="14">
                  <c:v>700.09</c:v>
                </c:pt>
                <c:pt idx="15">
                  <c:v>700.09</c:v>
                </c:pt>
                <c:pt idx="16">
                  <c:v>700.09</c:v>
                </c:pt>
                <c:pt idx="17">
                  <c:v>700.09</c:v>
                </c:pt>
                <c:pt idx="18">
                  <c:v>700.09</c:v>
                </c:pt>
                <c:pt idx="19">
                  <c:v>700.09</c:v>
                </c:pt>
                <c:pt idx="20">
                  <c:v>700.09</c:v>
                </c:pt>
                <c:pt idx="21">
                  <c:v>700.09</c:v>
                </c:pt>
                <c:pt idx="22">
                  <c:v>700.09</c:v>
                </c:pt>
                <c:pt idx="23">
                  <c:v>700.09</c:v>
                </c:pt>
                <c:pt idx="24">
                  <c:v>700.09</c:v>
                </c:pt>
                <c:pt idx="25">
                  <c:v>700.09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933-0C4D-BA0D-3F31ED4FA986}"/>
            </c:ext>
          </c:extLst>
        </c:ser>
        <c:ser>
          <c:idx val="1"/>
          <c:order val="9"/>
          <c:tx>
            <c:strRef>
              <c:f>'IRP Plan (default)'!$G$51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val>
            <c:numRef>
              <c:f>'IRP Plan (default)'!$H$51:$AG$51</c:f>
              <c:numCache>
                <c:formatCode>_(* #,##0_);_(* \(#,##0\);_(* "-"??_);_(@_)</c:formatCode>
                <c:ptCount val="26"/>
                <c:pt idx="0">
                  <c:v>325.3</c:v>
                </c:pt>
                <c:pt idx="1">
                  <c:v>445.3</c:v>
                </c:pt>
                <c:pt idx="2">
                  <c:v>815.3</c:v>
                </c:pt>
                <c:pt idx="3">
                  <c:v>1365.3</c:v>
                </c:pt>
                <c:pt idx="4">
                  <c:v>1515.3</c:v>
                </c:pt>
                <c:pt idx="5">
                  <c:v>1515.3</c:v>
                </c:pt>
                <c:pt idx="6">
                  <c:v>1565.3</c:v>
                </c:pt>
                <c:pt idx="7">
                  <c:v>1565.3</c:v>
                </c:pt>
                <c:pt idx="8">
                  <c:v>1615.3</c:v>
                </c:pt>
                <c:pt idx="9">
                  <c:v>1615.3</c:v>
                </c:pt>
                <c:pt idx="10">
                  <c:v>2115.3000000000002</c:v>
                </c:pt>
                <c:pt idx="11">
                  <c:v>2165.3000000000002</c:v>
                </c:pt>
                <c:pt idx="12">
                  <c:v>2165.3000000000002</c:v>
                </c:pt>
                <c:pt idx="13">
                  <c:v>2165.3000000000002</c:v>
                </c:pt>
                <c:pt idx="14">
                  <c:v>2215.3000000000002</c:v>
                </c:pt>
                <c:pt idx="15">
                  <c:v>2215.3000000000002</c:v>
                </c:pt>
                <c:pt idx="16">
                  <c:v>2215.3000000000002</c:v>
                </c:pt>
                <c:pt idx="17">
                  <c:v>2215.3000000000002</c:v>
                </c:pt>
                <c:pt idx="18">
                  <c:v>2215.3000000000002</c:v>
                </c:pt>
                <c:pt idx="19">
                  <c:v>2215.3000000000002</c:v>
                </c:pt>
                <c:pt idx="20">
                  <c:v>2215.3000000000002</c:v>
                </c:pt>
                <c:pt idx="21">
                  <c:v>2215.3000000000002</c:v>
                </c:pt>
                <c:pt idx="22">
                  <c:v>2215.3000000000002</c:v>
                </c:pt>
                <c:pt idx="23">
                  <c:v>2215.3000000000002</c:v>
                </c:pt>
                <c:pt idx="24">
                  <c:v>2215.3000000000002</c:v>
                </c:pt>
                <c:pt idx="25">
                  <c:v>2215.3000000000002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933-0C4D-BA0D-3F31ED4FA986}"/>
            </c:ext>
          </c:extLst>
        </c:ser>
        <c:ser>
          <c:idx val="10"/>
          <c:order val="10"/>
          <c:tx>
            <c:strRef>
              <c:f>'IRP Plan (default)'!$G$52</c:f>
              <c:strCache>
                <c:ptCount val="1"/>
                <c:pt idx="0">
                  <c:v>4-hr Battery</c:v>
                </c:pt>
              </c:strCache>
            </c:strRef>
          </c:tx>
          <c:spPr>
            <a:pattFill prst="dkUpDiag">
              <a:fgClr>
                <a:srgbClr val="7030A0"/>
              </a:fgClr>
              <a:bgClr>
                <a:schemeClr val="bg1"/>
              </a:bgClr>
            </a:pattFill>
          </c:spPr>
          <c:invertIfNegative val="0"/>
          <c:val>
            <c:numRef>
              <c:f>'IRP Plan (default)'!$H$52:$AG$52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125</c:v>
                </c:pt>
                <c:pt idx="2">
                  <c:v>125</c:v>
                </c:pt>
                <c:pt idx="3">
                  <c:v>575</c:v>
                </c:pt>
                <c:pt idx="4">
                  <c:v>575</c:v>
                </c:pt>
                <c:pt idx="5">
                  <c:v>575</c:v>
                </c:pt>
                <c:pt idx="6">
                  <c:v>575</c:v>
                </c:pt>
                <c:pt idx="7">
                  <c:v>575</c:v>
                </c:pt>
                <c:pt idx="8">
                  <c:v>575</c:v>
                </c:pt>
                <c:pt idx="9">
                  <c:v>575</c:v>
                </c:pt>
                <c:pt idx="10">
                  <c:v>1125</c:v>
                </c:pt>
                <c:pt idx="11">
                  <c:v>1125</c:v>
                </c:pt>
                <c:pt idx="12">
                  <c:v>1125</c:v>
                </c:pt>
                <c:pt idx="13">
                  <c:v>1125</c:v>
                </c:pt>
                <c:pt idx="14">
                  <c:v>1125</c:v>
                </c:pt>
                <c:pt idx="15">
                  <c:v>1125</c:v>
                </c:pt>
                <c:pt idx="16">
                  <c:v>1125</c:v>
                </c:pt>
                <c:pt idx="17">
                  <c:v>1125</c:v>
                </c:pt>
                <c:pt idx="18">
                  <c:v>1125</c:v>
                </c:pt>
                <c:pt idx="19">
                  <c:v>1125</c:v>
                </c:pt>
                <c:pt idx="20">
                  <c:v>1125</c:v>
                </c:pt>
                <c:pt idx="21">
                  <c:v>1125</c:v>
                </c:pt>
                <c:pt idx="22">
                  <c:v>1125</c:v>
                </c:pt>
                <c:pt idx="23">
                  <c:v>1125</c:v>
                </c:pt>
                <c:pt idx="24">
                  <c:v>1125</c:v>
                </c:pt>
                <c:pt idx="25">
                  <c:v>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933-0C4D-BA0D-3F31ED4FA986}"/>
            </c:ext>
          </c:extLst>
        </c:ser>
        <c:ser>
          <c:idx val="11"/>
          <c:order val="11"/>
          <c:tx>
            <c:strRef>
              <c:f>'IRP Plan (default)'!$G$53</c:f>
              <c:strCache>
                <c:ptCount val="1"/>
                <c:pt idx="0">
                  <c:v>8-hr Battery</c:v>
                </c:pt>
              </c:strCache>
            </c:strRef>
          </c:tx>
          <c:spPr>
            <a:solidFill>
              <a:srgbClr val="002060"/>
            </a:solidFill>
          </c:spPr>
          <c:invertIfNegative val="0"/>
          <c:val>
            <c:numRef>
              <c:f>'IRP Plan (default)'!$H$53:$AG$53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933-0C4D-BA0D-3F31ED4FA986}"/>
            </c:ext>
          </c:extLst>
        </c:ser>
        <c:ser>
          <c:idx val="12"/>
          <c:order val="12"/>
          <c:tx>
            <c:strRef>
              <c:f>'IRP Plan (default)'!$G$54</c:f>
              <c:strCache>
                <c:ptCount val="1"/>
                <c:pt idx="0">
                  <c:v>100-hr Battery</c:v>
                </c:pt>
              </c:strCache>
            </c:strRef>
          </c:tx>
          <c:spPr>
            <a:pattFill prst="dkUpDiag">
              <a:fgClr>
                <a:srgbClr val="C00000"/>
              </a:fgClr>
              <a:bgClr>
                <a:schemeClr val="bg1"/>
              </a:bgClr>
            </a:pattFill>
          </c:spPr>
          <c:invertIfNegative val="0"/>
          <c:val>
            <c:numRef>
              <c:f>'IRP Plan (default)'!$H$54:$AG$54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933-0C4D-BA0D-3F31ED4FA986}"/>
            </c:ext>
          </c:extLst>
        </c:ser>
        <c:ser>
          <c:idx val="13"/>
          <c:order val="13"/>
          <c:tx>
            <c:strRef>
              <c:f>'IRP Plan (default)'!$G$55</c:f>
              <c:strCache>
                <c:ptCount val="1"/>
                <c:pt idx="0">
                  <c:v>Capacity Purchase</c:v>
                </c:pt>
              </c:strCache>
            </c:strRef>
          </c:tx>
          <c:invertIfNegative val="0"/>
          <c:val>
            <c:numRef>
              <c:f>'IRP Plan (default)'!$H$55:$AG$55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933-0C4D-BA0D-3F31ED4FA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416597511"/>
        <c:axId val="1020599815"/>
      </c:barChart>
      <c:catAx>
        <c:axId val="416597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20599815"/>
        <c:crosses val="autoZero"/>
        <c:auto val="1"/>
        <c:lblAlgn val="ctr"/>
        <c:lblOffset val="100"/>
        <c:noMultiLvlLbl val="0"/>
      </c:catAx>
      <c:valAx>
        <c:axId val="10205998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Total Capacity </a:t>
                </a:r>
                <a:br>
                  <a:rPr lang="en-US" sz="1200"/>
                </a:br>
                <a:r>
                  <a:rPr lang="en-US" sz="1200"/>
                  <a:t>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16597511"/>
        <c:crosses val="autoZero"/>
        <c:crossBetween val="between"/>
        <c:majorUnit val="5000"/>
      </c:valAx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chemeClr val="bg1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'IRP Plan (default)'!$DO$43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tx1"/>
            </a:solidFill>
          </c:spPr>
          <c:invertIfNegative val="0"/>
          <c:cat>
            <c:numRef>
              <c:f>'IRP Plan (default)'!$DP$42:$EO$42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(default)'!$DP$43:$EO$43</c:f>
              <c:numCache>
                <c:formatCode>0%</c:formatCode>
                <c:ptCount val="26"/>
                <c:pt idx="0">
                  <c:v>0.57612344432940754</c:v>
                </c:pt>
                <c:pt idx="1">
                  <c:v>0.56646960108816724</c:v>
                </c:pt>
                <c:pt idx="2">
                  <c:v>0.52811436162371872</c:v>
                </c:pt>
                <c:pt idx="3">
                  <c:v>0.5003039334758097</c:v>
                </c:pt>
                <c:pt idx="4">
                  <c:v>0.50221951810486876</c:v>
                </c:pt>
                <c:pt idx="5">
                  <c:v>0.52086452816304873</c:v>
                </c:pt>
                <c:pt idx="6">
                  <c:v>0.52086452816304873</c:v>
                </c:pt>
                <c:pt idx="7">
                  <c:v>0.52086452816304873</c:v>
                </c:pt>
                <c:pt idx="8">
                  <c:v>0.52086452816304873</c:v>
                </c:pt>
                <c:pt idx="9">
                  <c:v>0.52086452816304873</c:v>
                </c:pt>
                <c:pt idx="10">
                  <c:v>0.52086452816304873</c:v>
                </c:pt>
                <c:pt idx="11">
                  <c:v>0.49158368296011723</c:v>
                </c:pt>
                <c:pt idx="12">
                  <c:v>0.49158368296011723</c:v>
                </c:pt>
                <c:pt idx="13">
                  <c:v>0.49158368296011723</c:v>
                </c:pt>
                <c:pt idx="14">
                  <c:v>0.49158368296011723</c:v>
                </c:pt>
                <c:pt idx="15">
                  <c:v>0.49158368296011723</c:v>
                </c:pt>
                <c:pt idx="16">
                  <c:v>0.49158368296011723</c:v>
                </c:pt>
                <c:pt idx="17">
                  <c:v>0.49158368296011723</c:v>
                </c:pt>
                <c:pt idx="18">
                  <c:v>0.49158368296011723</c:v>
                </c:pt>
                <c:pt idx="19">
                  <c:v>0.49158368296011723</c:v>
                </c:pt>
                <c:pt idx="20">
                  <c:v>0.49158368296011723</c:v>
                </c:pt>
                <c:pt idx="21">
                  <c:v>0.49158368296011723</c:v>
                </c:pt>
                <c:pt idx="22">
                  <c:v>0.49158368296011723</c:v>
                </c:pt>
                <c:pt idx="23">
                  <c:v>0.49158368296011723</c:v>
                </c:pt>
                <c:pt idx="24">
                  <c:v>0.49158368296011723</c:v>
                </c:pt>
                <c:pt idx="25">
                  <c:v>0.49158368296011723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1-0F45-8AFB-ADD3B0989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416597511"/>
        <c:axId val="1020599815"/>
      </c:barChart>
      <c:catAx>
        <c:axId val="416597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20599815"/>
        <c:crosses val="autoZero"/>
        <c:auto val="1"/>
        <c:lblAlgn val="ctr"/>
        <c:lblOffset val="100"/>
        <c:noMultiLvlLbl val="0"/>
      </c:catAx>
      <c:valAx>
        <c:axId val="102059981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1200" b="0"/>
                </a:pPr>
                <a:r>
                  <a:rPr lang="en-US" sz="1200" b="1"/>
                  <a:t>Coal CF</a:t>
                </a:r>
              </a:p>
              <a:p>
                <a:pPr>
                  <a:defRPr sz="1200" b="0"/>
                </a:pPr>
                <a:r>
                  <a:rPr lang="en-US" sz="1200" b="0"/>
                  <a:t>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16597511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bg1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'IRP Plan (default)'!$DO$44</c:f>
              <c:strCache>
                <c:ptCount val="1"/>
                <c:pt idx="0">
                  <c:v>Gas Other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numRef>
              <c:f>'IRP Plan (default)'!$DP$42:$EO$42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(default)'!$DP$44:$EO$44</c:f>
              <c:numCache>
                <c:formatCode>0%</c:formatCode>
                <c:ptCount val="26"/>
                <c:pt idx="0">
                  <c:v>0.54700026214557007</c:v>
                </c:pt>
                <c:pt idx="1">
                  <c:v>0.54700026214557007</c:v>
                </c:pt>
                <c:pt idx="2">
                  <c:v>0.54700026214557007</c:v>
                </c:pt>
                <c:pt idx="3">
                  <c:v>0.54700026214557007</c:v>
                </c:pt>
                <c:pt idx="4">
                  <c:v>0.54700026214557007</c:v>
                </c:pt>
                <c:pt idx="5">
                  <c:v>0.55555830495948488</c:v>
                </c:pt>
                <c:pt idx="6">
                  <c:v>0.49270693113732955</c:v>
                </c:pt>
                <c:pt idx="7">
                  <c:v>0.52351400216433075</c:v>
                </c:pt>
                <c:pt idx="8">
                  <c:v>0.52103953862802543</c:v>
                </c:pt>
                <c:pt idx="9">
                  <c:v>0.50714130176577721</c:v>
                </c:pt>
                <c:pt idx="10">
                  <c:v>0.48466492464433714</c:v>
                </c:pt>
                <c:pt idx="11">
                  <c:v>0.68897313062528065</c:v>
                </c:pt>
                <c:pt idx="12">
                  <c:v>0.68897313062528065</c:v>
                </c:pt>
                <c:pt idx="13">
                  <c:v>0.68897313062528065</c:v>
                </c:pt>
                <c:pt idx="14">
                  <c:v>0.62851912166980661</c:v>
                </c:pt>
                <c:pt idx="15">
                  <c:v>0.65446349692925054</c:v>
                </c:pt>
                <c:pt idx="16">
                  <c:v>0.64175740545603577</c:v>
                </c:pt>
                <c:pt idx="17">
                  <c:v>0.7114233853418398</c:v>
                </c:pt>
                <c:pt idx="18">
                  <c:v>0.7114233853418398</c:v>
                </c:pt>
                <c:pt idx="19">
                  <c:v>0.7114233853418398</c:v>
                </c:pt>
                <c:pt idx="20">
                  <c:v>0.7114233853418398</c:v>
                </c:pt>
                <c:pt idx="21">
                  <c:v>0.7114233853418398</c:v>
                </c:pt>
                <c:pt idx="22">
                  <c:v>0.7114233853418398</c:v>
                </c:pt>
                <c:pt idx="23">
                  <c:v>0.7114233853418398</c:v>
                </c:pt>
                <c:pt idx="24">
                  <c:v>0.7114233853418398</c:v>
                </c:pt>
                <c:pt idx="25">
                  <c:v>0.7114233853418398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9-DC43-B577-2E4AAF4DD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416597511"/>
        <c:axId val="1020599815"/>
      </c:barChart>
      <c:catAx>
        <c:axId val="416597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20599815"/>
        <c:crosses val="autoZero"/>
        <c:auto val="1"/>
        <c:lblAlgn val="ctr"/>
        <c:lblOffset val="100"/>
        <c:noMultiLvlLbl val="0"/>
      </c:catAx>
      <c:valAx>
        <c:axId val="102059981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1200" b="0"/>
                </a:pPr>
                <a:r>
                  <a:rPr lang="en-US" sz="1200" b="1"/>
                  <a:t>Gas CF</a:t>
                </a:r>
                <a:endParaRPr lang="en-US" sz="1200" b="0" baseline="0"/>
              </a:p>
              <a:p>
                <a:pPr>
                  <a:defRPr sz="1200" b="0"/>
                </a:pPr>
                <a:r>
                  <a:rPr lang="en-US" sz="1200" b="0"/>
                  <a:t>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16597511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bg1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'IRP Plan (default)'!$DO$47</c:f>
              <c:strCache>
                <c:ptCount val="1"/>
                <c:pt idx="0">
                  <c:v>Biogas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'IRP Plan (default)'!$DP$42:$EO$42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(default)'!$DP$47:$EO$47</c:f>
              <c:numCache>
                <c:formatCode>0%</c:formatCode>
                <c:ptCount val="26"/>
                <c:pt idx="0">
                  <c:v>0.7000681147354878</c:v>
                </c:pt>
                <c:pt idx="1">
                  <c:v>0.7000681147354878</c:v>
                </c:pt>
                <c:pt idx="2">
                  <c:v>0.7000681147354878</c:v>
                </c:pt>
                <c:pt idx="3">
                  <c:v>0.7000681147354878</c:v>
                </c:pt>
                <c:pt idx="4">
                  <c:v>0.7000681147354878</c:v>
                </c:pt>
                <c:pt idx="5">
                  <c:v>0.7000681147354878</c:v>
                </c:pt>
                <c:pt idx="6">
                  <c:v>0.7000681147354878</c:v>
                </c:pt>
                <c:pt idx="7">
                  <c:v>0.7000681147354878</c:v>
                </c:pt>
                <c:pt idx="8">
                  <c:v>0.7000681147354878</c:v>
                </c:pt>
                <c:pt idx="9">
                  <c:v>0.7000681147354878</c:v>
                </c:pt>
                <c:pt idx="10">
                  <c:v>0.7000681147354878</c:v>
                </c:pt>
                <c:pt idx="11">
                  <c:v>0.7000681147354878</c:v>
                </c:pt>
                <c:pt idx="12">
                  <c:v>0.7000681147354878</c:v>
                </c:pt>
                <c:pt idx="13">
                  <c:v>0.7000681147354878</c:v>
                </c:pt>
                <c:pt idx="14">
                  <c:v>0.7000681147354878</c:v>
                </c:pt>
                <c:pt idx="15">
                  <c:v>0.7000681147354878</c:v>
                </c:pt>
                <c:pt idx="16">
                  <c:v>0.7000681147354878</c:v>
                </c:pt>
                <c:pt idx="17">
                  <c:v>0.7000681147354878</c:v>
                </c:pt>
                <c:pt idx="18">
                  <c:v>0.7000681147354878</c:v>
                </c:pt>
                <c:pt idx="19">
                  <c:v>0.7000681147354878</c:v>
                </c:pt>
                <c:pt idx="20">
                  <c:v>0.7000681147354878</c:v>
                </c:pt>
                <c:pt idx="21">
                  <c:v>0.7000681147354878</c:v>
                </c:pt>
                <c:pt idx="22">
                  <c:v>0.7000681147354878</c:v>
                </c:pt>
                <c:pt idx="23">
                  <c:v>0.7000681147354878</c:v>
                </c:pt>
                <c:pt idx="24">
                  <c:v>0.7000681147354878</c:v>
                </c:pt>
                <c:pt idx="25">
                  <c:v>0.7000681147354878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F-D944-A61E-99385E7D0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416597511"/>
        <c:axId val="1020599815"/>
      </c:barChart>
      <c:catAx>
        <c:axId val="416597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20599815"/>
        <c:crosses val="autoZero"/>
        <c:auto val="1"/>
        <c:lblAlgn val="ctr"/>
        <c:lblOffset val="100"/>
        <c:noMultiLvlLbl val="0"/>
      </c:catAx>
      <c:valAx>
        <c:axId val="102059981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1200" b="0"/>
                </a:pPr>
                <a:r>
                  <a:rPr lang="en-US" sz="1200" b="1"/>
                  <a:t>Biogas CF</a:t>
                </a:r>
                <a:endParaRPr lang="en-US" sz="1200" b="0" baseline="0"/>
              </a:p>
              <a:p>
                <a:pPr>
                  <a:defRPr sz="1200" b="0"/>
                </a:pPr>
                <a:r>
                  <a:rPr lang="en-US" sz="1200" b="0"/>
                  <a:t>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16597511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bg1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'IRP Plan (default)'!$DO$48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cat>
            <c:numRef>
              <c:f>'IRP Plan (default)'!$DP$42:$EO$42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(default)'!$DP$48:$EO$48</c:f>
              <c:numCache>
                <c:formatCode>0%</c:formatCode>
                <c:ptCount val="26"/>
                <c:pt idx="0">
                  <c:v>0.49999147741799854</c:v>
                </c:pt>
                <c:pt idx="1">
                  <c:v>0.49999147741799854</c:v>
                </c:pt>
                <c:pt idx="2">
                  <c:v>0.49999147741799854</c:v>
                </c:pt>
                <c:pt idx="3">
                  <c:v>0.49999147741799854</c:v>
                </c:pt>
                <c:pt idx="4">
                  <c:v>0.49999147741799854</c:v>
                </c:pt>
                <c:pt idx="5">
                  <c:v>0.49999147741799854</c:v>
                </c:pt>
                <c:pt idx="6">
                  <c:v>0.49999147741799854</c:v>
                </c:pt>
                <c:pt idx="7">
                  <c:v>0.49999147741799854</c:v>
                </c:pt>
                <c:pt idx="8">
                  <c:v>0.49999147741799854</c:v>
                </c:pt>
                <c:pt idx="9">
                  <c:v>0.49999147741799854</c:v>
                </c:pt>
                <c:pt idx="10">
                  <c:v>0.49999147741799854</c:v>
                </c:pt>
                <c:pt idx="11">
                  <c:v>0.49999147741799854</c:v>
                </c:pt>
                <c:pt idx="12">
                  <c:v>0.49999147741799854</c:v>
                </c:pt>
                <c:pt idx="13">
                  <c:v>0.49999147741799854</c:v>
                </c:pt>
                <c:pt idx="14">
                  <c:v>0.49999147741799854</c:v>
                </c:pt>
                <c:pt idx="15">
                  <c:v>0.49999147741799854</c:v>
                </c:pt>
                <c:pt idx="16">
                  <c:v>0.49999147741799854</c:v>
                </c:pt>
                <c:pt idx="17">
                  <c:v>0.49999147741799854</c:v>
                </c:pt>
                <c:pt idx="18">
                  <c:v>0.49999147741799854</c:v>
                </c:pt>
                <c:pt idx="19">
                  <c:v>0.49999147741799854</c:v>
                </c:pt>
                <c:pt idx="20">
                  <c:v>0.49999147741799854</c:v>
                </c:pt>
                <c:pt idx="21">
                  <c:v>0.49999147741799854</c:v>
                </c:pt>
                <c:pt idx="22">
                  <c:v>0.49999147741799854</c:v>
                </c:pt>
                <c:pt idx="23">
                  <c:v>0.49999147741799854</c:v>
                </c:pt>
                <c:pt idx="24">
                  <c:v>0.49999147741799854</c:v>
                </c:pt>
                <c:pt idx="25">
                  <c:v>0.49999147741799854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B-5741-9DE6-47B24D5D1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416597511"/>
        <c:axId val="1020599815"/>
      </c:barChart>
      <c:catAx>
        <c:axId val="416597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20599815"/>
        <c:crosses val="autoZero"/>
        <c:auto val="1"/>
        <c:lblAlgn val="ctr"/>
        <c:lblOffset val="100"/>
        <c:noMultiLvlLbl val="0"/>
      </c:catAx>
      <c:valAx>
        <c:axId val="102059981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1200" b="0"/>
                </a:pPr>
                <a:r>
                  <a:rPr lang="en-US" sz="1200" b="1"/>
                  <a:t>Hydro CF</a:t>
                </a:r>
              </a:p>
              <a:p>
                <a:pPr>
                  <a:defRPr sz="1200" b="0"/>
                </a:pPr>
                <a:r>
                  <a:rPr lang="en-US" sz="1200" b="0"/>
                  <a:t>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16597511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bg1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'IRP Plan (default)'!$DO$49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numRef>
              <c:f>'IRP Plan (default)'!$DP$42:$EO$42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(default)'!$DP$49:$EO$49</c:f>
              <c:numCache>
                <c:formatCode>0%</c:formatCode>
                <c:ptCount val="26"/>
                <c:pt idx="0">
                  <c:v>0</c:v>
                </c:pt>
                <c:pt idx="1">
                  <c:v>0.39422898964872199</c:v>
                </c:pt>
                <c:pt idx="2">
                  <c:v>0.39688558658776663</c:v>
                </c:pt>
                <c:pt idx="3">
                  <c:v>0.39079723640612268</c:v>
                </c:pt>
                <c:pt idx="4">
                  <c:v>0.38874281168202512</c:v>
                </c:pt>
                <c:pt idx="5">
                  <c:v>0.40005414712907217</c:v>
                </c:pt>
                <c:pt idx="6">
                  <c:v>0.38873019000622949</c:v>
                </c:pt>
                <c:pt idx="7">
                  <c:v>0.39215440728396889</c:v>
                </c:pt>
                <c:pt idx="8">
                  <c:v>0.39296969711200214</c:v>
                </c:pt>
                <c:pt idx="9">
                  <c:v>0.40438375470446691</c:v>
                </c:pt>
                <c:pt idx="10">
                  <c:v>0.3978614360802013</c:v>
                </c:pt>
                <c:pt idx="11">
                  <c:v>0.39623085642413486</c:v>
                </c:pt>
                <c:pt idx="12">
                  <c:v>0.39280663914639546</c:v>
                </c:pt>
                <c:pt idx="13">
                  <c:v>0.39378498694003533</c:v>
                </c:pt>
                <c:pt idx="14">
                  <c:v>0.40063342149551417</c:v>
                </c:pt>
                <c:pt idx="15">
                  <c:v>0.40275317504840047</c:v>
                </c:pt>
                <c:pt idx="16">
                  <c:v>0.39476333473367514</c:v>
                </c:pt>
                <c:pt idx="17">
                  <c:v>0.3884040740750162</c:v>
                </c:pt>
                <c:pt idx="18">
                  <c:v>0.39476333473367514</c:v>
                </c:pt>
                <c:pt idx="19">
                  <c:v>0.3999811896330876</c:v>
                </c:pt>
                <c:pt idx="20">
                  <c:v>0.39623085642413486</c:v>
                </c:pt>
                <c:pt idx="21">
                  <c:v>0.39248052321518218</c:v>
                </c:pt>
                <c:pt idx="22">
                  <c:v>0.39476333473367514</c:v>
                </c:pt>
                <c:pt idx="23">
                  <c:v>0.38677349441894981</c:v>
                </c:pt>
                <c:pt idx="24">
                  <c:v>0.39525250863049505</c:v>
                </c:pt>
                <c:pt idx="25">
                  <c:v>0.38563208865970333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0-214E-929F-6C9026F0A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416597511"/>
        <c:axId val="1020599815"/>
      </c:barChart>
      <c:catAx>
        <c:axId val="416597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20599815"/>
        <c:crosses val="autoZero"/>
        <c:auto val="1"/>
        <c:lblAlgn val="ctr"/>
        <c:lblOffset val="100"/>
        <c:noMultiLvlLbl val="0"/>
      </c:catAx>
      <c:valAx>
        <c:axId val="102059981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1200" b="0"/>
                </a:pPr>
                <a:r>
                  <a:rPr lang="en-US" sz="1200" b="1"/>
                  <a:t>Wind CF</a:t>
                </a:r>
              </a:p>
              <a:p>
                <a:pPr>
                  <a:defRPr sz="1200" b="0"/>
                </a:pPr>
                <a:r>
                  <a:rPr lang="en-US" sz="1200" b="0"/>
                  <a:t>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16597511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bg1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'IRP Plan (default)'!$DO$50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numRef>
              <c:f>'IRP Plan (default)'!$DP$42:$EO$42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(default)'!$DP$50:$EO$50</c:f>
              <c:numCache>
                <c:formatCode>0%</c:formatCode>
                <c:ptCount val="26"/>
                <c:pt idx="0">
                  <c:v>0.2470497903586012</c:v>
                </c:pt>
                <c:pt idx="1">
                  <c:v>0.2437943944208768</c:v>
                </c:pt>
                <c:pt idx="2">
                  <c:v>0.24880888173499183</c:v>
                </c:pt>
                <c:pt idx="3">
                  <c:v>0.25652113857927428</c:v>
                </c:pt>
                <c:pt idx="4">
                  <c:v>0.24529102997221344</c:v>
                </c:pt>
                <c:pt idx="5">
                  <c:v>0.24770175262550298</c:v>
                </c:pt>
                <c:pt idx="6">
                  <c:v>0.24460276773063766</c:v>
                </c:pt>
                <c:pt idx="7">
                  <c:v>0.24839505870320572</c:v>
                </c:pt>
                <c:pt idx="8">
                  <c:v>0.24155429233072898</c:v>
                </c:pt>
                <c:pt idx="9">
                  <c:v>0.25166027940015384</c:v>
                </c:pt>
                <c:pt idx="10">
                  <c:v>0.24597912102453381</c:v>
                </c:pt>
                <c:pt idx="11">
                  <c:v>0.24604560895840091</c:v>
                </c:pt>
                <c:pt idx="12">
                  <c:v>0.2462037698383828</c:v>
                </c:pt>
                <c:pt idx="13">
                  <c:v>0.24715273511827376</c:v>
                </c:pt>
                <c:pt idx="14">
                  <c:v>0.25306569690613656</c:v>
                </c:pt>
                <c:pt idx="15">
                  <c:v>0.25239580196421441</c:v>
                </c:pt>
                <c:pt idx="16">
                  <c:v>0.24914938801489928</c:v>
                </c:pt>
                <c:pt idx="17">
                  <c:v>0.24317186391774762</c:v>
                </c:pt>
                <c:pt idx="18">
                  <c:v>0.24559379178469698</c:v>
                </c:pt>
                <c:pt idx="19">
                  <c:v>0.2465728690075063</c:v>
                </c:pt>
                <c:pt idx="20">
                  <c:v>0.24585144368543627</c:v>
                </c:pt>
                <c:pt idx="21">
                  <c:v>0.24636674748691489</c:v>
                </c:pt>
                <c:pt idx="22">
                  <c:v>0.24775806775090709</c:v>
                </c:pt>
                <c:pt idx="23">
                  <c:v>0.24476930570233121</c:v>
                </c:pt>
                <c:pt idx="24">
                  <c:v>0.23590608031689944</c:v>
                </c:pt>
                <c:pt idx="25">
                  <c:v>0.24858255383327285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B-624B-97E9-B012C0392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416597511"/>
        <c:axId val="1020599815"/>
      </c:barChart>
      <c:catAx>
        <c:axId val="416597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20599815"/>
        <c:crosses val="autoZero"/>
        <c:auto val="1"/>
        <c:lblAlgn val="ctr"/>
        <c:lblOffset val="100"/>
        <c:noMultiLvlLbl val="0"/>
      </c:catAx>
      <c:valAx>
        <c:axId val="102059981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1200" b="0"/>
                </a:pPr>
                <a:r>
                  <a:rPr lang="en-US" sz="1200" b="1"/>
                  <a:t>Solar CF</a:t>
                </a:r>
              </a:p>
              <a:p>
                <a:pPr>
                  <a:defRPr sz="1200" b="0"/>
                </a:pPr>
                <a:r>
                  <a:rPr lang="en-US" sz="1200" b="0"/>
                  <a:t>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16597511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bg1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'IRP Plan (default)'!$G$43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numRef>
              <c:f>'IRP Plan (default)'!$BL$42:$CK$42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(default)'!$BL$43:$CK$43</c:f>
              <c:numCache>
                <c:formatCode>_(* #,##0_);_(* \(#,##0\);_(* "-"??_);_(@_)</c:formatCode>
                <c:ptCount val="26"/>
                <c:pt idx="0">
                  <c:v>39864.999999999993</c:v>
                </c:pt>
                <c:pt idx="1">
                  <c:v>39196.999999999993</c:v>
                </c:pt>
                <c:pt idx="2">
                  <c:v>36543</c:v>
                </c:pt>
                <c:pt idx="3">
                  <c:v>33317</c:v>
                </c:pt>
                <c:pt idx="4">
                  <c:v>30012.999999999996</c:v>
                </c:pt>
                <c:pt idx="5">
                  <c:v>21915</c:v>
                </c:pt>
                <c:pt idx="6">
                  <c:v>21915</c:v>
                </c:pt>
                <c:pt idx="7">
                  <c:v>21915</c:v>
                </c:pt>
                <c:pt idx="8">
                  <c:v>21915</c:v>
                </c:pt>
                <c:pt idx="9">
                  <c:v>21915</c:v>
                </c:pt>
                <c:pt idx="10">
                  <c:v>21915</c:v>
                </c:pt>
                <c:pt idx="11">
                  <c:v>15171</c:v>
                </c:pt>
                <c:pt idx="12">
                  <c:v>15171</c:v>
                </c:pt>
                <c:pt idx="13">
                  <c:v>15171</c:v>
                </c:pt>
                <c:pt idx="14">
                  <c:v>15171</c:v>
                </c:pt>
                <c:pt idx="15">
                  <c:v>15171</c:v>
                </c:pt>
                <c:pt idx="16">
                  <c:v>15171</c:v>
                </c:pt>
                <c:pt idx="17">
                  <c:v>15171</c:v>
                </c:pt>
                <c:pt idx="18">
                  <c:v>15171</c:v>
                </c:pt>
                <c:pt idx="19">
                  <c:v>15171</c:v>
                </c:pt>
                <c:pt idx="20">
                  <c:v>15171</c:v>
                </c:pt>
                <c:pt idx="21">
                  <c:v>15171</c:v>
                </c:pt>
                <c:pt idx="22">
                  <c:v>15171</c:v>
                </c:pt>
                <c:pt idx="23">
                  <c:v>15171</c:v>
                </c:pt>
                <c:pt idx="24">
                  <c:v>15171</c:v>
                </c:pt>
                <c:pt idx="25">
                  <c:v>15171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B-C747-B7B4-406A52A42C8B}"/>
            </c:ext>
          </c:extLst>
        </c:ser>
        <c:ser>
          <c:idx val="3"/>
          <c:order val="1"/>
          <c:tx>
            <c:strRef>
              <c:f>'IRP Plan (default)'!$G$44</c:f>
              <c:strCache>
                <c:ptCount val="1"/>
                <c:pt idx="0">
                  <c:v>Gas Other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'IRP Plan (default)'!$BL$42:$CK$42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(default)'!$BL$44:$CK$44</c:f>
              <c:numCache>
                <c:formatCode>_(* #,##0_);_(* \(#,##0\);_(* "-"??_);_(@_)</c:formatCode>
                <c:ptCount val="26"/>
                <c:pt idx="0">
                  <c:v>3589</c:v>
                </c:pt>
                <c:pt idx="1">
                  <c:v>3589</c:v>
                </c:pt>
                <c:pt idx="2">
                  <c:v>3589</c:v>
                </c:pt>
                <c:pt idx="3">
                  <c:v>3589</c:v>
                </c:pt>
                <c:pt idx="4">
                  <c:v>3589</c:v>
                </c:pt>
                <c:pt idx="5">
                  <c:v>13471.000000000002</c:v>
                </c:pt>
                <c:pt idx="6">
                  <c:v>11947.000000000002</c:v>
                </c:pt>
                <c:pt idx="7">
                  <c:v>12694</c:v>
                </c:pt>
                <c:pt idx="8">
                  <c:v>12634</c:v>
                </c:pt>
                <c:pt idx="9">
                  <c:v>12297</c:v>
                </c:pt>
                <c:pt idx="10">
                  <c:v>11752</c:v>
                </c:pt>
                <c:pt idx="11">
                  <c:v>16706.000000000004</c:v>
                </c:pt>
                <c:pt idx="12">
                  <c:v>16706.000000000004</c:v>
                </c:pt>
                <c:pt idx="13">
                  <c:v>16706.000000000004</c:v>
                </c:pt>
                <c:pt idx="14">
                  <c:v>18896</c:v>
                </c:pt>
                <c:pt idx="15">
                  <c:v>19676.000000000004</c:v>
                </c:pt>
                <c:pt idx="16">
                  <c:v>19294.000000000004</c:v>
                </c:pt>
                <c:pt idx="17">
                  <c:v>19550</c:v>
                </c:pt>
                <c:pt idx="18">
                  <c:v>19550</c:v>
                </c:pt>
                <c:pt idx="19">
                  <c:v>19550</c:v>
                </c:pt>
                <c:pt idx="20">
                  <c:v>19550</c:v>
                </c:pt>
                <c:pt idx="21">
                  <c:v>19550</c:v>
                </c:pt>
                <c:pt idx="22">
                  <c:v>19550</c:v>
                </c:pt>
                <c:pt idx="23">
                  <c:v>19550</c:v>
                </c:pt>
                <c:pt idx="24">
                  <c:v>19550</c:v>
                </c:pt>
                <c:pt idx="25">
                  <c:v>19550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1B-C747-B7B4-406A52A42C8B}"/>
            </c:ext>
          </c:extLst>
        </c:ser>
        <c:ser>
          <c:idx val="4"/>
          <c:order val="2"/>
          <c:tx>
            <c:strRef>
              <c:f>'IRP Plan (default)'!$G$47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rgbClr val="FF8AD8"/>
            </a:solidFill>
            <a:ln>
              <a:noFill/>
            </a:ln>
            <a:effectLst/>
          </c:spPr>
          <c:invertIfNegative val="0"/>
          <c:cat>
            <c:numRef>
              <c:f>'IRP Plan (default)'!$BL$42:$CK$42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(default)'!$BL$47:$CK$47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1B-C747-B7B4-406A52A42C8B}"/>
            </c:ext>
          </c:extLst>
        </c:ser>
        <c:ser>
          <c:idx val="5"/>
          <c:order val="3"/>
          <c:tx>
            <c:strRef>
              <c:f>'IRP Plan (default)'!$G$48</c:f>
              <c:strCache>
                <c:ptCount val="1"/>
                <c:pt idx="0">
                  <c:v>Biogas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'IRP Plan (default)'!$BL$42:$CK$42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(default)'!$BL$48:$CK$48</c:f>
              <c:numCache>
                <c:formatCode>_(* #,##0_);_(* \(#,##0\);_(* "-"??_);_(@_)</c:formatCode>
                <c:ptCount val="26"/>
                <c:pt idx="0">
                  <c:v>111</c:v>
                </c:pt>
                <c:pt idx="1">
                  <c:v>111</c:v>
                </c:pt>
                <c:pt idx="2">
                  <c:v>111</c:v>
                </c:pt>
                <c:pt idx="3">
                  <c:v>111</c:v>
                </c:pt>
                <c:pt idx="4">
                  <c:v>111</c:v>
                </c:pt>
                <c:pt idx="5">
                  <c:v>111</c:v>
                </c:pt>
                <c:pt idx="6">
                  <c:v>111</c:v>
                </c:pt>
                <c:pt idx="7">
                  <c:v>111</c:v>
                </c:pt>
                <c:pt idx="8">
                  <c:v>111</c:v>
                </c:pt>
                <c:pt idx="9">
                  <c:v>111</c:v>
                </c:pt>
                <c:pt idx="10">
                  <c:v>111</c:v>
                </c:pt>
                <c:pt idx="11">
                  <c:v>111</c:v>
                </c:pt>
                <c:pt idx="12">
                  <c:v>111</c:v>
                </c:pt>
                <c:pt idx="13">
                  <c:v>111</c:v>
                </c:pt>
                <c:pt idx="14">
                  <c:v>111</c:v>
                </c:pt>
                <c:pt idx="15">
                  <c:v>111</c:v>
                </c:pt>
                <c:pt idx="16">
                  <c:v>111</c:v>
                </c:pt>
                <c:pt idx="17">
                  <c:v>111</c:v>
                </c:pt>
                <c:pt idx="18">
                  <c:v>111</c:v>
                </c:pt>
                <c:pt idx="19">
                  <c:v>111</c:v>
                </c:pt>
                <c:pt idx="20">
                  <c:v>111</c:v>
                </c:pt>
                <c:pt idx="21">
                  <c:v>111</c:v>
                </c:pt>
                <c:pt idx="22">
                  <c:v>111</c:v>
                </c:pt>
                <c:pt idx="23">
                  <c:v>111</c:v>
                </c:pt>
                <c:pt idx="24">
                  <c:v>111</c:v>
                </c:pt>
                <c:pt idx="25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1B-C747-B7B4-406A52A42C8B}"/>
            </c:ext>
          </c:extLst>
        </c:ser>
        <c:ser>
          <c:idx val="6"/>
          <c:order val="4"/>
          <c:tx>
            <c:strRef>
              <c:f>'IRP Plan (default)'!$G$49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'IRP Plan (default)'!$BL$42:$CK$42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(default)'!$BL$49:$CK$49</c:f>
              <c:numCache>
                <c:formatCode>_(* #,##0_);_(* \(#,##0\);_(* "-"??_);_(@_)</c:formatCode>
                <c:ptCount val="26"/>
                <c:pt idx="0">
                  <c:v>2112</c:v>
                </c:pt>
                <c:pt idx="1">
                  <c:v>2112</c:v>
                </c:pt>
                <c:pt idx="2">
                  <c:v>2112</c:v>
                </c:pt>
                <c:pt idx="3">
                  <c:v>2112</c:v>
                </c:pt>
                <c:pt idx="4">
                  <c:v>2112</c:v>
                </c:pt>
                <c:pt idx="5">
                  <c:v>2112</c:v>
                </c:pt>
                <c:pt idx="6">
                  <c:v>2112</c:v>
                </c:pt>
                <c:pt idx="7">
                  <c:v>2112</c:v>
                </c:pt>
                <c:pt idx="8">
                  <c:v>2112</c:v>
                </c:pt>
                <c:pt idx="9">
                  <c:v>2112</c:v>
                </c:pt>
                <c:pt idx="10">
                  <c:v>2112</c:v>
                </c:pt>
                <c:pt idx="11">
                  <c:v>2112</c:v>
                </c:pt>
                <c:pt idx="12">
                  <c:v>2112</c:v>
                </c:pt>
                <c:pt idx="13">
                  <c:v>2112</c:v>
                </c:pt>
                <c:pt idx="14">
                  <c:v>2112</c:v>
                </c:pt>
                <c:pt idx="15">
                  <c:v>2112</c:v>
                </c:pt>
                <c:pt idx="16">
                  <c:v>2112</c:v>
                </c:pt>
                <c:pt idx="17">
                  <c:v>2112</c:v>
                </c:pt>
                <c:pt idx="18">
                  <c:v>2112</c:v>
                </c:pt>
                <c:pt idx="19">
                  <c:v>2112</c:v>
                </c:pt>
                <c:pt idx="20">
                  <c:v>2112</c:v>
                </c:pt>
                <c:pt idx="21">
                  <c:v>2112</c:v>
                </c:pt>
                <c:pt idx="22">
                  <c:v>2112</c:v>
                </c:pt>
                <c:pt idx="23">
                  <c:v>2112</c:v>
                </c:pt>
                <c:pt idx="24">
                  <c:v>2112</c:v>
                </c:pt>
                <c:pt idx="25">
                  <c:v>2112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1B-C747-B7B4-406A52A42C8B}"/>
            </c:ext>
          </c:extLst>
        </c:ser>
        <c:ser>
          <c:idx val="7"/>
          <c:order val="5"/>
          <c:tx>
            <c:strRef>
              <c:f>'IRP Plan (default)'!$G$50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'IRP Plan (default)'!$BL$42:$CK$42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(default)'!$BL$50:$CK$50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691</c:v>
                </c:pt>
                <c:pt idx="2">
                  <c:v>1391</c:v>
                </c:pt>
                <c:pt idx="3">
                  <c:v>1712</c:v>
                </c:pt>
                <c:pt idx="4">
                  <c:v>1703</c:v>
                </c:pt>
                <c:pt idx="5">
                  <c:v>2103</c:v>
                </c:pt>
                <c:pt idx="6">
                  <c:v>2384</c:v>
                </c:pt>
                <c:pt idx="7">
                  <c:v>2405</c:v>
                </c:pt>
                <c:pt idx="8">
                  <c:v>2410</c:v>
                </c:pt>
                <c:pt idx="9">
                  <c:v>2480</c:v>
                </c:pt>
                <c:pt idx="10">
                  <c:v>2440</c:v>
                </c:pt>
                <c:pt idx="11">
                  <c:v>2430</c:v>
                </c:pt>
                <c:pt idx="12">
                  <c:v>2409</c:v>
                </c:pt>
                <c:pt idx="13">
                  <c:v>2415</c:v>
                </c:pt>
                <c:pt idx="14">
                  <c:v>2457</c:v>
                </c:pt>
                <c:pt idx="15">
                  <c:v>2470</c:v>
                </c:pt>
                <c:pt idx="16">
                  <c:v>2421</c:v>
                </c:pt>
                <c:pt idx="17">
                  <c:v>2382</c:v>
                </c:pt>
                <c:pt idx="18">
                  <c:v>2421</c:v>
                </c:pt>
                <c:pt idx="19">
                  <c:v>2453</c:v>
                </c:pt>
                <c:pt idx="20">
                  <c:v>2430</c:v>
                </c:pt>
                <c:pt idx="21">
                  <c:v>2407</c:v>
                </c:pt>
                <c:pt idx="22">
                  <c:v>2421</c:v>
                </c:pt>
                <c:pt idx="23">
                  <c:v>2372</c:v>
                </c:pt>
                <c:pt idx="24">
                  <c:v>2424</c:v>
                </c:pt>
                <c:pt idx="25">
                  <c:v>2365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1B-C747-B7B4-406A52A42C8B}"/>
            </c:ext>
          </c:extLst>
        </c:ser>
        <c:ser>
          <c:idx val="8"/>
          <c:order val="6"/>
          <c:tx>
            <c:strRef>
              <c:f>'IRP Plan (default)'!$G$51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'IRP Plan (default)'!$BL$42:$CK$42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(default)'!$BL$51:$CK$51</c:f>
              <c:numCache>
                <c:formatCode>_(* #,##0_);_(* \(#,##0\);_(* "-"??_);_(@_)</c:formatCode>
                <c:ptCount val="26"/>
                <c:pt idx="0">
                  <c:v>704</c:v>
                </c:pt>
                <c:pt idx="1">
                  <c:v>951</c:v>
                </c:pt>
                <c:pt idx="2">
                  <c:v>1777</c:v>
                </c:pt>
                <c:pt idx="3">
                  <c:v>3068</c:v>
                </c:pt>
                <c:pt idx="4">
                  <c:v>3256</c:v>
                </c:pt>
                <c:pt idx="5">
                  <c:v>3288</c:v>
                </c:pt>
                <c:pt idx="6">
                  <c:v>3354</c:v>
                </c:pt>
                <c:pt idx="7">
                  <c:v>3406</c:v>
                </c:pt>
                <c:pt idx="8">
                  <c:v>3418</c:v>
                </c:pt>
                <c:pt idx="9">
                  <c:v>3561</c:v>
                </c:pt>
                <c:pt idx="10">
                  <c:v>4558</c:v>
                </c:pt>
                <c:pt idx="11">
                  <c:v>4667</c:v>
                </c:pt>
                <c:pt idx="12">
                  <c:v>4670</c:v>
                </c:pt>
                <c:pt idx="13">
                  <c:v>4688</c:v>
                </c:pt>
                <c:pt idx="14">
                  <c:v>4911</c:v>
                </c:pt>
                <c:pt idx="15">
                  <c:v>4898</c:v>
                </c:pt>
                <c:pt idx="16">
                  <c:v>4835</c:v>
                </c:pt>
                <c:pt idx="17">
                  <c:v>4719</c:v>
                </c:pt>
                <c:pt idx="18">
                  <c:v>4766</c:v>
                </c:pt>
                <c:pt idx="19">
                  <c:v>4785</c:v>
                </c:pt>
                <c:pt idx="20">
                  <c:v>4771</c:v>
                </c:pt>
                <c:pt idx="21">
                  <c:v>4781</c:v>
                </c:pt>
                <c:pt idx="22">
                  <c:v>4808</c:v>
                </c:pt>
                <c:pt idx="23">
                  <c:v>4750</c:v>
                </c:pt>
                <c:pt idx="24">
                  <c:v>4578</c:v>
                </c:pt>
                <c:pt idx="25">
                  <c:v>4824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1B-C747-B7B4-406A52A42C8B}"/>
            </c:ext>
          </c:extLst>
        </c:ser>
        <c:ser>
          <c:idx val="9"/>
          <c:order val="7"/>
          <c:tx>
            <c:strRef>
              <c:f>'IRP Plan (default)'!$G$52</c:f>
              <c:strCache>
                <c:ptCount val="1"/>
                <c:pt idx="0">
                  <c:v>4-hr Battery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'IRP Plan (default)'!$BL$42:$CK$42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(default)'!$BL$52:$CK$52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81B-C747-B7B4-406A52A42C8B}"/>
            </c:ext>
          </c:extLst>
        </c:ser>
        <c:ser>
          <c:idx val="0"/>
          <c:order val="8"/>
          <c:tx>
            <c:strRef>
              <c:f>'IRP Plan (default)'!$G$53</c:f>
              <c:strCache>
                <c:ptCount val="1"/>
                <c:pt idx="0">
                  <c:v>8-hr Battery</c:v>
                </c:pt>
              </c:strCache>
            </c:strRef>
          </c:tx>
          <c:spPr>
            <a:solidFill>
              <a:srgbClr val="942093"/>
            </a:solidFill>
          </c:spPr>
          <c:invertIfNegative val="0"/>
          <c:cat>
            <c:numRef>
              <c:f>'IRP Plan (default)'!$BL$42:$CK$42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(default)'!$BL$53:$CK$53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1B-C747-B7B4-406A52A42C8B}"/>
            </c:ext>
          </c:extLst>
        </c:ser>
        <c:ser>
          <c:idx val="1"/>
          <c:order val="9"/>
          <c:tx>
            <c:strRef>
              <c:f>'IRP Plan (default)'!$G$54</c:f>
              <c:strCache>
                <c:ptCount val="1"/>
                <c:pt idx="0">
                  <c:v>100-hr Battery</c:v>
                </c:pt>
              </c:strCache>
            </c:strRef>
          </c:tx>
          <c:spPr>
            <a:solidFill>
              <a:srgbClr val="002060"/>
            </a:solidFill>
          </c:spPr>
          <c:invertIfNegative val="0"/>
          <c:cat>
            <c:numRef>
              <c:f>'IRP Plan (default)'!$BL$42:$CK$42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(default)'!$BL$54:$CK$54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81B-C747-B7B4-406A52A42C8B}"/>
            </c:ext>
          </c:extLst>
        </c:ser>
        <c:ser>
          <c:idx val="10"/>
          <c:order val="10"/>
          <c:tx>
            <c:strRef>
              <c:f>'IRP Plan (default)'!$G$55</c:f>
              <c:strCache>
                <c:ptCount val="1"/>
                <c:pt idx="0">
                  <c:v>Capacity Purchase</c:v>
                </c:pt>
              </c:strCache>
            </c:strRef>
          </c:tx>
          <c:spPr>
            <a:pattFill prst="dkUpDiag">
              <a:fgClr>
                <a:srgbClr val="C00000"/>
              </a:fgClr>
              <a:bgClr>
                <a:schemeClr val="bg1"/>
              </a:bgClr>
            </a:pattFill>
          </c:spPr>
          <c:invertIfNegative val="0"/>
          <c:cat>
            <c:numRef>
              <c:f>'IRP Plan (default)'!$BL$42:$CK$42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(default)'!$BL$55:$CK$55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81B-C747-B7B4-406A52A42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416597511"/>
        <c:axId val="1020599815"/>
      </c:barChart>
      <c:catAx>
        <c:axId val="416597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20599815"/>
        <c:crosses val="autoZero"/>
        <c:auto val="1"/>
        <c:lblAlgn val="ctr"/>
        <c:lblOffset val="100"/>
        <c:noMultiLvlLbl val="0"/>
      </c:catAx>
      <c:valAx>
        <c:axId val="1020599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Generation</a:t>
                </a:r>
                <a:br>
                  <a:rPr lang="en-US" sz="1200"/>
                </a:br>
                <a:r>
                  <a:rPr lang="en-US" sz="1200"/>
                  <a:t>(GWh)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1659751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chemeClr val="bg1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'IRP Plan (default)'!$AI$43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numRef>
              <c:f>'IRP Plan (default)'!$AJ$42:$BI$42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(default)'!$AJ$43:$BI$43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0-8949-903A-D1EA70C0C124}"/>
            </c:ext>
          </c:extLst>
        </c:ser>
        <c:ser>
          <c:idx val="3"/>
          <c:order val="1"/>
          <c:tx>
            <c:strRef>
              <c:f>'IRP Plan (default)'!$AI$44</c:f>
              <c:strCache>
                <c:ptCount val="1"/>
                <c:pt idx="0">
                  <c:v>Gas Other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'IRP Plan (default)'!$AJ$42:$BI$42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(default)'!$AJ$44:$BI$44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</c:v>
                </c:pt>
                <c:pt idx="15">
                  <c:v>664</c:v>
                </c:pt>
                <c:pt idx="16">
                  <c:v>664</c:v>
                </c:pt>
                <c:pt idx="17">
                  <c:v>664</c:v>
                </c:pt>
                <c:pt idx="18">
                  <c:v>664</c:v>
                </c:pt>
                <c:pt idx="19">
                  <c:v>664</c:v>
                </c:pt>
                <c:pt idx="20">
                  <c:v>664</c:v>
                </c:pt>
                <c:pt idx="21">
                  <c:v>664</c:v>
                </c:pt>
                <c:pt idx="22">
                  <c:v>664</c:v>
                </c:pt>
                <c:pt idx="23">
                  <c:v>664</c:v>
                </c:pt>
                <c:pt idx="24">
                  <c:v>664</c:v>
                </c:pt>
                <c:pt idx="25">
                  <c:v>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60-8949-903A-D1EA70C0C124}"/>
            </c:ext>
          </c:extLst>
        </c:ser>
        <c:ser>
          <c:idx val="4"/>
          <c:order val="2"/>
          <c:tx>
            <c:strRef>
              <c:f>'IRP Plan (default)'!$AI$47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rgbClr val="FF8AD8"/>
            </a:solidFill>
            <a:ln>
              <a:noFill/>
            </a:ln>
            <a:effectLst/>
          </c:spPr>
          <c:invertIfNegative val="0"/>
          <c:cat>
            <c:numRef>
              <c:f>'IRP Plan (default)'!$AJ$42:$BI$42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(default)'!$AJ$47:$BI$47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60-8949-903A-D1EA70C0C124}"/>
            </c:ext>
          </c:extLst>
        </c:ser>
        <c:ser>
          <c:idx val="5"/>
          <c:order val="3"/>
          <c:tx>
            <c:strRef>
              <c:f>'IRP Plan (default)'!$AI$48</c:f>
              <c:strCache>
                <c:ptCount val="1"/>
                <c:pt idx="0">
                  <c:v>Biogas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'IRP Plan (default)'!$AJ$42:$BI$42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(default)'!$AJ$48:$BI$48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60-8949-903A-D1EA70C0C124}"/>
            </c:ext>
          </c:extLst>
        </c:ser>
        <c:ser>
          <c:idx val="6"/>
          <c:order val="4"/>
          <c:tx>
            <c:strRef>
              <c:f>'IRP Plan (default)'!$AI$49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'IRP Plan (default)'!$AJ$42:$BI$42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(default)'!$AJ$49:$BI$49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60-8949-903A-D1EA70C0C124}"/>
            </c:ext>
          </c:extLst>
        </c:ser>
        <c:ser>
          <c:idx val="7"/>
          <c:order val="5"/>
          <c:tx>
            <c:strRef>
              <c:f>'IRP Plan (default)'!$AI$50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'IRP Plan (default)'!$AJ$42:$BI$42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(default)'!$AJ$50:$BI$50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500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  <c:pt idx="10">
                  <c:v>700</c:v>
                </c:pt>
                <c:pt idx="11">
                  <c:v>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700</c:v>
                </c:pt>
                <c:pt idx="16">
                  <c:v>700</c:v>
                </c:pt>
                <c:pt idx="17">
                  <c:v>700</c:v>
                </c:pt>
                <c:pt idx="18">
                  <c:v>700</c:v>
                </c:pt>
                <c:pt idx="19">
                  <c:v>700</c:v>
                </c:pt>
                <c:pt idx="20">
                  <c:v>700</c:v>
                </c:pt>
                <c:pt idx="21">
                  <c:v>700</c:v>
                </c:pt>
                <c:pt idx="22">
                  <c:v>700</c:v>
                </c:pt>
                <c:pt idx="23">
                  <c:v>700</c:v>
                </c:pt>
                <c:pt idx="24">
                  <c:v>700</c:v>
                </c:pt>
                <c:pt idx="25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60-8949-903A-D1EA70C0C124}"/>
            </c:ext>
          </c:extLst>
        </c:ser>
        <c:ser>
          <c:idx val="8"/>
          <c:order val="6"/>
          <c:tx>
            <c:strRef>
              <c:f>'IRP Plan (default)'!$AI$51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'IRP Plan (default)'!$AJ$42:$BI$42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(default)'!$AJ$51:$BI$51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250</c:v>
                </c:pt>
                <c:pt idx="3">
                  <c:v>800</c:v>
                </c:pt>
                <c:pt idx="4">
                  <c:v>950</c:v>
                </c:pt>
                <c:pt idx="5">
                  <c:v>950</c:v>
                </c:pt>
                <c:pt idx="6">
                  <c:v>1000</c:v>
                </c:pt>
                <c:pt idx="7">
                  <c:v>1000</c:v>
                </c:pt>
                <c:pt idx="8">
                  <c:v>1050</c:v>
                </c:pt>
                <c:pt idx="9">
                  <c:v>1050</c:v>
                </c:pt>
                <c:pt idx="10">
                  <c:v>1550</c:v>
                </c:pt>
                <c:pt idx="11">
                  <c:v>1600</c:v>
                </c:pt>
                <c:pt idx="12">
                  <c:v>1600</c:v>
                </c:pt>
                <c:pt idx="13">
                  <c:v>1600</c:v>
                </c:pt>
                <c:pt idx="14">
                  <c:v>1650</c:v>
                </c:pt>
                <c:pt idx="15">
                  <c:v>1650</c:v>
                </c:pt>
                <c:pt idx="16">
                  <c:v>1650</c:v>
                </c:pt>
                <c:pt idx="17">
                  <c:v>1650</c:v>
                </c:pt>
                <c:pt idx="18">
                  <c:v>1650</c:v>
                </c:pt>
                <c:pt idx="19">
                  <c:v>1650</c:v>
                </c:pt>
                <c:pt idx="20">
                  <c:v>1650</c:v>
                </c:pt>
                <c:pt idx="21">
                  <c:v>1650</c:v>
                </c:pt>
                <c:pt idx="22">
                  <c:v>1650</c:v>
                </c:pt>
                <c:pt idx="23">
                  <c:v>1650</c:v>
                </c:pt>
                <c:pt idx="24">
                  <c:v>1650</c:v>
                </c:pt>
                <c:pt idx="25">
                  <c:v>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60-8949-903A-D1EA70C0C124}"/>
            </c:ext>
          </c:extLst>
        </c:ser>
        <c:ser>
          <c:idx val="9"/>
          <c:order val="7"/>
          <c:tx>
            <c:strRef>
              <c:f>'IRP Plan (default)'!$AI$52</c:f>
              <c:strCache>
                <c:ptCount val="1"/>
                <c:pt idx="0">
                  <c:v>4-hr Battery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'IRP Plan (default)'!$AJ$42:$BI$42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(default)'!$AJ$52:$BI$52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450</c:v>
                </c:pt>
                <c:pt idx="4">
                  <c:v>450</c:v>
                </c:pt>
                <c:pt idx="5">
                  <c:v>450</c:v>
                </c:pt>
                <c:pt idx="6">
                  <c:v>450</c:v>
                </c:pt>
                <c:pt idx="7">
                  <c:v>450</c:v>
                </c:pt>
                <c:pt idx="8">
                  <c:v>450</c:v>
                </c:pt>
                <c:pt idx="9">
                  <c:v>450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060-8949-903A-D1EA70C0C124}"/>
            </c:ext>
          </c:extLst>
        </c:ser>
        <c:ser>
          <c:idx val="0"/>
          <c:order val="8"/>
          <c:tx>
            <c:strRef>
              <c:f>'IRP Plan (default)'!$AI$53</c:f>
              <c:strCache>
                <c:ptCount val="1"/>
                <c:pt idx="0">
                  <c:v>8-hr Battery</c:v>
                </c:pt>
              </c:strCache>
            </c:strRef>
          </c:tx>
          <c:spPr>
            <a:pattFill prst="dkUpDiag">
              <a:fgClr>
                <a:srgbClr val="7030A0"/>
              </a:fgClr>
              <a:bgClr>
                <a:schemeClr val="bg1"/>
              </a:bgClr>
            </a:pattFill>
          </c:spPr>
          <c:invertIfNegative val="0"/>
          <c:cat>
            <c:numRef>
              <c:f>'IRP Plan (default)'!$AJ$42:$BI$42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(default)'!$AJ$53:$BI$53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60-8949-903A-D1EA70C0C124}"/>
            </c:ext>
          </c:extLst>
        </c:ser>
        <c:ser>
          <c:idx val="1"/>
          <c:order val="9"/>
          <c:tx>
            <c:strRef>
              <c:f>'IRP Plan (default)'!$AI$54</c:f>
              <c:strCache>
                <c:ptCount val="1"/>
                <c:pt idx="0">
                  <c:v>100-hr Battery</c:v>
                </c:pt>
              </c:strCache>
            </c:strRef>
          </c:tx>
          <c:spPr>
            <a:solidFill>
              <a:srgbClr val="002060"/>
            </a:solidFill>
          </c:spPr>
          <c:invertIfNegative val="0"/>
          <c:cat>
            <c:numRef>
              <c:f>'IRP Plan (default)'!$AJ$42:$BI$42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(default)'!$AJ$54:$BI$54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060-8949-903A-D1EA70C0C124}"/>
            </c:ext>
          </c:extLst>
        </c:ser>
        <c:ser>
          <c:idx val="10"/>
          <c:order val="10"/>
          <c:tx>
            <c:strRef>
              <c:f>'IRP Plan (default)'!$AI$55</c:f>
              <c:strCache>
                <c:ptCount val="1"/>
                <c:pt idx="0">
                  <c:v>Capacity Purchase</c:v>
                </c:pt>
              </c:strCache>
            </c:strRef>
          </c:tx>
          <c:spPr>
            <a:pattFill prst="dkUpDiag">
              <a:fgClr>
                <a:srgbClr val="C00000"/>
              </a:fgClr>
              <a:bgClr>
                <a:schemeClr val="bg1"/>
              </a:bgClr>
            </a:pattFill>
          </c:spPr>
          <c:invertIfNegative val="0"/>
          <c:cat>
            <c:numRef>
              <c:f>'IRP Plan (default)'!$AJ$42:$BI$42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(default)'!$AJ$55:$BI$55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60-8949-903A-D1EA70C0C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416597511"/>
        <c:axId val="1020599815"/>
      </c:barChart>
      <c:catAx>
        <c:axId val="416597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20599815"/>
        <c:crosses val="autoZero"/>
        <c:auto val="1"/>
        <c:lblAlgn val="ctr"/>
        <c:lblOffset val="100"/>
        <c:noMultiLvlLbl val="0"/>
      </c:catAx>
      <c:valAx>
        <c:axId val="1020599815"/>
        <c:scaling>
          <c:orientation val="minMax"/>
          <c:min val="-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New Capacity </a:t>
                </a:r>
                <a:br>
                  <a:rPr lang="en-US" sz="1200"/>
                </a:br>
                <a:r>
                  <a:rPr lang="en-US" sz="1200"/>
                  <a:t>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1659751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chemeClr val="bg1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'IRP Plan (default)'!$EU$43</c:f>
              <c:strCache>
                <c:ptCount val="1"/>
                <c:pt idx="0">
                  <c:v>New Investment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'IRP Plan (default)'!$EV$42:$FU$42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(default)'!$EV$43:$FU$43</c:f>
              <c:numCache>
                <c:formatCode>_(* #,##0_);_(* \(#,##0\);_(* "-"??_);_(@_)</c:formatCode>
                <c:ptCount val="26"/>
                <c:pt idx="0">
                  <c:v>0</c:v>
                </c:pt>
                <c:pt idx="1">
                  <c:v>11.327484897195907</c:v>
                </c:pt>
                <c:pt idx="2">
                  <c:v>34.799356955179576</c:v>
                </c:pt>
                <c:pt idx="3">
                  <c:v>209.6922020193349</c:v>
                </c:pt>
                <c:pt idx="4">
                  <c:v>336.04223392997051</c:v>
                </c:pt>
                <c:pt idx="5">
                  <c:v>435.30235757795907</c:v>
                </c:pt>
                <c:pt idx="6">
                  <c:v>524.56395521540708</c:v>
                </c:pt>
                <c:pt idx="7">
                  <c:v>519.40949838814083</c:v>
                </c:pt>
                <c:pt idx="8">
                  <c:v>515.75652083401576</c:v>
                </c:pt>
                <c:pt idx="9">
                  <c:v>510.42085566781651</c:v>
                </c:pt>
                <c:pt idx="10">
                  <c:v>551.45792089954693</c:v>
                </c:pt>
                <c:pt idx="11">
                  <c:v>548.55842105925524</c:v>
                </c:pt>
                <c:pt idx="12">
                  <c:v>544.52008057348291</c:v>
                </c:pt>
                <c:pt idx="13">
                  <c:v>540.48181842865904</c:v>
                </c:pt>
                <c:pt idx="14">
                  <c:v>598.82720894520128</c:v>
                </c:pt>
                <c:pt idx="15">
                  <c:v>594.74475599400762</c:v>
                </c:pt>
                <c:pt idx="16">
                  <c:v>590.66239161440978</c:v>
                </c:pt>
                <c:pt idx="17">
                  <c:v>586.58011975126294</c:v>
                </c:pt>
                <c:pt idx="18">
                  <c:v>582.49794496057018</c:v>
                </c:pt>
                <c:pt idx="19">
                  <c:v>578.41587144024083</c:v>
                </c:pt>
                <c:pt idx="20">
                  <c:v>574.33390393209936</c:v>
                </c:pt>
                <c:pt idx="21">
                  <c:v>570.25204683174945</c:v>
                </c:pt>
                <c:pt idx="22">
                  <c:v>566.17030607453876</c:v>
                </c:pt>
                <c:pt idx="23">
                  <c:v>562.08868700273172</c:v>
                </c:pt>
                <c:pt idx="24">
                  <c:v>558.00719593351562</c:v>
                </c:pt>
                <c:pt idx="25">
                  <c:v>553.92583856557314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E-1F44-87BA-F1E77417EE1F}"/>
            </c:ext>
          </c:extLst>
        </c:ser>
        <c:ser>
          <c:idx val="1"/>
          <c:order val="1"/>
          <c:tx>
            <c:strRef>
              <c:f>'IRP Plan (default)'!$EU$44</c:f>
              <c:strCache>
                <c:ptCount val="1"/>
                <c:pt idx="0">
                  <c:v>Fixed O&amp;M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cat>
            <c:numRef>
              <c:f>'IRP Plan (default)'!$EV$42:$FU$42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(default)'!$EV$44:$FU$44</c:f>
              <c:numCache>
                <c:formatCode>_(* #,##0_);_(* \(#,##0\);_(* "-"??_);_(@_)</c:formatCode>
                <c:ptCount val="26"/>
                <c:pt idx="0">
                  <c:v>754.99733779999997</c:v>
                </c:pt>
                <c:pt idx="1">
                  <c:v>766.78963279999982</c:v>
                </c:pt>
                <c:pt idx="2">
                  <c:v>805.96500279999987</c:v>
                </c:pt>
                <c:pt idx="3">
                  <c:v>847.95410279999987</c:v>
                </c:pt>
                <c:pt idx="4">
                  <c:v>832.24025279999989</c:v>
                </c:pt>
                <c:pt idx="5">
                  <c:v>864.42025279999996</c:v>
                </c:pt>
                <c:pt idx="6">
                  <c:v>893.75030279999999</c:v>
                </c:pt>
                <c:pt idx="7">
                  <c:v>892.07980280000004</c:v>
                </c:pt>
                <c:pt idx="8">
                  <c:v>893.12985279999998</c:v>
                </c:pt>
                <c:pt idx="9">
                  <c:v>893.12985279999998</c:v>
                </c:pt>
                <c:pt idx="10">
                  <c:v>924.95660280000004</c:v>
                </c:pt>
                <c:pt idx="11">
                  <c:v>836.40665280000007</c:v>
                </c:pt>
                <c:pt idx="12">
                  <c:v>836.40665280000007</c:v>
                </c:pt>
                <c:pt idx="13">
                  <c:v>836.40665280000007</c:v>
                </c:pt>
                <c:pt idx="14">
                  <c:v>864.34470279999994</c:v>
                </c:pt>
                <c:pt idx="15">
                  <c:v>864.34470279999994</c:v>
                </c:pt>
                <c:pt idx="16">
                  <c:v>864.34470279999994</c:v>
                </c:pt>
                <c:pt idx="17">
                  <c:v>843.69470279999996</c:v>
                </c:pt>
                <c:pt idx="18">
                  <c:v>843.69470279999996</c:v>
                </c:pt>
                <c:pt idx="19">
                  <c:v>843.69470279999996</c:v>
                </c:pt>
                <c:pt idx="20">
                  <c:v>843.69470279999996</c:v>
                </c:pt>
                <c:pt idx="21">
                  <c:v>843.69470279999996</c:v>
                </c:pt>
                <c:pt idx="22">
                  <c:v>843.69470279999996</c:v>
                </c:pt>
                <c:pt idx="23">
                  <c:v>843.69470279999996</c:v>
                </c:pt>
                <c:pt idx="24">
                  <c:v>843.69470279999996</c:v>
                </c:pt>
                <c:pt idx="25">
                  <c:v>843.69470279999996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E-1F44-87BA-F1E77417EE1F}"/>
            </c:ext>
          </c:extLst>
        </c:ser>
        <c:ser>
          <c:idx val="0"/>
          <c:order val="2"/>
          <c:tx>
            <c:strRef>
              <c:f>'IRP Plan (default)'!$EU$45</c:f>
              <c:strCache>
                <c:ptCount val="1"/>
                <c:pt idx="0">
                  <c:v>Variable O&amp;M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numRef>
              <c:f>'IRP Plan (default)'!$EV$42:$FU$42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(default)'!$EV$45:$FU$45</c:f>
              <c:numCache>
                <c:formatCode>_(* #,##0_);_(* \(#,##0\);_(* "-"??_);_(@_)</c:formatCode>
                <c:ptCount val="26"/>
                <c:pt idx="0">
                  <c:v>585.54399999999998</c:v>
                </c:pt>
                <c:pt idx="1">
                  <c:v>576.88099999999997</c:v>
                </c:pt>
                <c:pt idx="2">
                  <c:v>550.68499999999995</c:v>
                </c:pt>
                <c:pt idx="3">
                  <c:v>520.24400000000003</c:v>
                </c:pt>
                <c:pt idx="4">
                  <c:v>497.39600000000002</c:v>
                </c:pt>
                <c:pt idx="5">
                  <c:v>519.97400000000005</c:v>
                </c:pt>
                <c:pt idx="6">
                  <c:v>515.24699999999996</c:v>
                </c:pt>
                <c:pt idx="7">
                  <c:v>524.16300000000001</c:v>
                </c:pt>
                <c:pt idx="8">
                  <c:v>523.44799999999998</c:v>
                </c:pt>
                <c:pt idx="9">
                  <c:v>519.404</c:v>
                </c:pt>
                <c:pt idx="10">
                  <c:v>512.87300000000005</c:v>
                </c:pt>
                <c:pt idx="11">
                  <c:v>497.18200000000002</c:v>
                </c:pt>
                <c:pt idx="12">
                  <c:v>498.98700000000002</c:v>
                </c:pt>
                <c:pt idx="13">
                  <c:v>498.8</c:v>
                </c:pt>
                <c:pt idx="14">
                  <c:v>491.08</c:v>
                </c:pt>
                <c:pt idx="15">
                  <c:v>500.45100000000002</c:v>
                </c:pt>
                <c:pt idx="16">
                  <c:v>495.87099999999998</c:v>
                </c:pt>
                <c:pt idx="17">
                  <c:v>501.23099999999999</c:v>
                </c:pt>
                <c:pt idx="18">
                  <c:v>499.20400000000001</c:v>
                </c:pt>
                <c:pt idx="19">
                  <c:v>501.15300000000002</c:v>
                </c:pt>
                <c:pt idx="20">
                  <c:v>501.59</c:v>
                </c:pt>
                <c:pt idx="21">
                  <c:v>504.20800000000003</c:v>
                </c:pt>
                <c:pt idx="22">
                  <c:v>500.99400000000003</c:v>
                </c:pt>
                <c:pt idx="23">
                  <c:v>504.38299999999998</c:v>
                </c:pt>
                <c:pt idx="24">
                  <c:v>505.63099999999997</c:v>
                </c:pt>
                <c:pt idx="25">
                  <c:v>505.18799999999999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CE-1F44-87BA-F1E77417EE1F}"/>
            </c:ext>
          </c:extLst>
        </c:ser>
        <c:ser>
          <c:idx val="3"/>
          <c:order val="3"/>
          <c:tx>
            <c:strRef>
              <c:f>'IRP Plan (default)'!$EU$46</c:f>
              <c:strCache>
                <c:ptCount val="1"/>
                <c:pt idx="0">
                  <c:v>Fuel</c:v>
                </c:pt>
              </c:strCache>
            </c:strRef>
          </c:tx>
          <c:invertIfNegative val="0"/>
          <c:cat>
            <c:numRef>
              <c:f>'IRP Plan (default)'!$EV$42:$FU$42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(default)'!$EV$46:$FU$46</c:f>
              <c:numCache>
                <c:formatCode>_(* #,##0_);_(* \(#,##0\);_(* "-"??_);_(@_)</c:formatCode>
                <c:ptCount val="26"/>
                <c:pt idx="0">
                  <c:v>3584.02</c:v>
                </c:pt>
                <c:pt idx="1">
                  <c:v>3481.9459999999999</c:v>
                </c:pt>
                <c:pt idx="2">
                  <c:v>3245.0169999999998</c:v>
                </c:pt>
                <c:pt idx="3">
                  <c:v>3148.6529999999998</c:v>
                </c:pt>
                <c:pt idx="4">
                  <c:v>3125.3910000000001</c:v>
                </c:pt>
                <c:pt idx="5">
                  <c:v>2568.942</c:v>
                </c:pt>
                <c:pt idx="6">
                  <c:v>2617.645</c:v>
                </c:pt>
                <c:pt idx="7">
                  <c:v>2754.0340000000001</c:v>
                </c:pt>
                <c:pt idx="8">
                  <c:v>2836.846</c:v>
                </c:pt>
                <c:pt idx="9">
                  <c:v>2870.3029999999999</c:v>
                </c:pt>
                <c:pt idx="10">
                  <c:v>2861.4</c:v>
                </c:pt>
                <c:pt idx="11">
                  <c:v>3004.7950000000001</c:v>
                </c:pt>
                <c:pt idx="12">
                  <c:v>2991.875</c:v>
                </c:pt>
                <c:pt idx="13">
                  <c:v>2964.3879999999999</c:v>
                </c:pt>
                <c:pt idx="14">
                  <c:v>2896.4459999999999</c:v>
                </c:pt>
                <c:pt idx="15">
                  <c:v>2938.982</c:v>
                </c:pt>
                <c:pt idx="16">
                  <c:v>2955.136</c:v>
                </c:pt>
                <c:pt idx="17">
                  <c:v>3032.9789999999998</c:v>
                </c:pt>
                <c:pt idx="18">
                  <c:v>3037.6210000000001</c:v>
                </c:pt>
                <c:pt idx="19">
                  <c:v>3070.2849999999999</c:v>
                </c:pt>
                <c:pt idx="20">
                  <c:v>3074.8339999999998</c:v>
                </c:pt>
                <c:pt idx="21">
                  <c:v>3100.9319999999998</c:v>
                </c:pt>
                <c:pt idx="22">
                  <c:v>3122.6619999999998</c:v>
                </c:pt>
                <c:pt idx="23">
                  <c:v>3154.4290000000001</c:v>
                </c:pt>
                <c:pt idx="24">
                  <c:v>3146.7829999999999</c:v>
                </c:pt>
                <c:pt idx="25">
                  <c:v>3117.4160000000002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CE-1F44-87BA-F1E77417E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416597511"/>
        <c:axId val="1020599815"/>
      </c:barChart>
      <c:catAx>
        <c:axId val="416597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20599815"/>
        <c:crosses val="autoZero"/>
        <c:auto val="1"/>
        <c:lblAlgn val="ctr"/>
        <c:lblOffset val="100"/>
        <c:noMultiLvlLbl val="0"/>
      </c:catAx>
      <c:valAx>
        <c:axId val="10205998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TRC</a:t>
                </a:r>
                <a:br>
                  <a:rPr lang="en-US" sz="1200"/>
                </a:br>
                <a:r>
                  <a:rPr lang="en-US" sz="1200"/>
                  <a:t>($MM)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1659751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chemeClr val="bg1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'IRP Plan (default)'!$DO$43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tx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'IRP Plan (default)'!$DP$42:$EO$42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(default)'!$DP$43:$EO$43</c:f>
              <c:numCache>
                <c:formatCode>0%</c:formatCode>
                <c:ptCount val="26"/>
                <c:pt idx="0">
                  <c:v>0.57612344432940754</c:v>
                </c:pt>
                <c:pt idx="1">
                  <c:v>0.56646960108816724</c:v>
                </c:pt>
                <c:pt idx="2">
                  <c:v>0.52811436162371872</c:v>
                </c:pt>
                <c:pt idx="3">
                  <c:v>0.5003039334758097</c:v>
                </c:pt>
                <c:pt idx="4">
                  <c:v>0.50221951810486876</c:v>
                </c:pt>
                <c:pt idx="5">
                  <c:v>0.52086452816304873</c:v>
                </c:pt>
                <c:pt idx="6">
                  <c:v>0.52086452816304873</c:v>
                </c:pt>
                <c:pt idx="7">
                  <c:v>0.52086452816304873</c:v>
                </c:pt>
                <c:pt idx="8">
                  <c:v>0.52086452816304873</c:v>
                </c:pt>
                <c:pt idx="9">
                  <c:v>0.52086452816304873</c:v>
                </c:pt>
                <c:pt idx="10">
                  <c:v>0.52086452816304873</c:v>
                </c:pt>
                <c:pt idx="11">
                  <c:v>0.49158368296011723</c:v>
                </c:pt>
                <c:pt idx="12">
                  <c:v>0.49158368296011723</c:v>
                </c:pt>
                <c:pt idx="13">
                  <c:v>0.49158368296011723</c:v>
                </c:pt>
                <c:pt idx="14">
                  <c:v>0.49158368296011723</c:v>
                </c:pt>
                <c:pt idx="15">
                  <c:v>0.49158368296011723</c:v>
                </c:pt>
                <c:pt idx="16">
                  <c:v>0.49158368296011723</c:v>
                </c:pt>
                <c:pt idx="17">
                  <c:v>0.49158368296011723</c:v>
                </c:pt>
                <c:pt idx="18">
                  <c:v>0.49158368296011723</c:v>
                </c:pt>
                <c:pt idx="19">
                  <c:v>0.49158368296011723</c:v>
                </c:pt>
                <c:pt idx="20">
                  <c:v>0.49158368296011723</c:v>
                </c:pt>
                <c:pt idx="21">
                  <c:v>0.49158368296011723</c:v>
                </c:pt>
                <c:pt idx="22">
                  <c:v>0.49158368296011723</c:v>
                </c:pt>
                <c:pt idx="23">
                  <c:v>0.49158368296011723</c:v>
                </c:pt>
                <c:pt idx="24">
                  <c:v>0.49158368296011723</c:v>
                </c:pt>
                <c:pt idx="25">
                  <c:v>0.49158368296011723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3-3E4E-94AB-81CBFC86B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416597511"/>
        <c:axId val="1020599815"/>
      </c:barChart>
      <c:catAx>
        <c:axId val="416597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20599815"/>
        <c:crosses val="autoZero"/>
        <c:auto val="1"/>
        <c:lblAlgn val="ctr"/>
        <c:lblOffset val="100"/>
        <c:noMultiLvlLbl val="0"/>
      </c:catAx>
      <c:valAx>
        <c:axId val="102059981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Coal CF</a:t>
                </a:r>
              </a:p>
              <a:p>
                <a:pPr>
                  <a:defRPr sz="1200"/>
                </a:pPr>
                <a:r>
                  <a:rPr lang="en-US" sz="1200"/>
                  <a:t>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16597511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chemeClr val="bg1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'IRP Plan (default)'!$DO$44</c:f>
              <c:strCache>
                <c:ptCount val="1"/>
                <c:pt idx="0">
                  <c:v>Gas Other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'IRP Plan (default)'!$DP$42:$EO$42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'IRP Plan (default)'!$DP$44:$EO$44</c:f>
              <c:numCache>
                <c:formatCode>0%</c:formatCode>
                <c:ptCount val="26"/>
                <c:pt idx="0">
                  <c:v>0.54700026214557007</c:v>
                </c:pt>
                <c:pt idx="1">
                  <c:v>0.54700026214557007</c:v>
                </c:pt>
                <c:pt idx="2">
                  <c:v>0.54700026214557007</c:v>
                </c:pt>
                <c:pt idx="3">
                  <c:v>0.54700026214557007</c:v>
                </c:pt>
                <c:pt idx="4">
                  <c:v>0.54700026214557007</c:v>
                </c:pt>
                <c:pt idx="5">
                  <c:v>0.55555830495948488</c:v>
                </c:pt>
                <c:pt idx="6">
                  <c:v>0.49270693113732955</c:v>
                </c:pt>
                <c:pt idx="7">
                  <c:v>0.52351400216433075</c:v>
                </c:pt>
                <c:pt idx="8">
                  <c:v>0.52103953862802543</c:v>
                </c:pt>
                <c:pt idx="9">
                  <c:v>0.50714130176577721</c:v>
                </c:pt>
                <c:pt idx="10">
                  <c:v>0.48466492464433714</c:v>
                </c:pt>
                <c:pt idx="11">
                  <c:v>0.68897313062528065</c:v>
                </c:pt>
                <c:pt idx="12">
                  <c:v>0.68897313062528065</c:v>
                </c:pt>
                <c:pt idx="13">
                  <c:v>0.68897313062528065</c:v>
                </c:pt>
                <c:pt idx="14">
                  <c:v>0.62851912166980661</c:v>
                </c:pt>
                <c:pt idx="15">
                  <c:v>0.65446349692925054</c:v>
                </c:pt>
                <c:pt idx="16">
                  <c:v>0.64175740545603577</c:v>
                </c:pt>
                <c:pt idx="17">
                  <c:v>0.7114233853418398</c:v>
                </c:pt>
                <c:pt idx="18">
                  <c:v>0.7114233853418398</c:v>
                </c:pt>
                <c:pt idx="19">
                  <c:v>0.7114233853418398</c:v>
                </c:pt>
                <c:pt idx="20">
                  <c:v>0.7114233853418398</c:v>
                </c:pt>
                <c:pt idx="21">
                  <c:v>0.7114233853418398</c:v>
                </c:pt>
                <c:pt idx="22">
                  <c:v>0.7114233853418398</c:v>
                </c:pt>
                <c:pt idx="23">
                  <c:v>0.7114233853418398</c:v>
                </c:pt>
                <c:pt idx="24">
                  <c:v>0.7114233853418398</c:v>
                </c:pt>
                <c:pt idx="25">
                  <c:v>0.7114233853418398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7-884D-90CF-4B0D34230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416597511"/>
        <c:axId val="1020599815"/>
      </c:barChart>
      <c:catAx>
        <c:axId val="416597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20599815"/>
        <c:crosses val="autoZero"/>
        <c:auto val="1"/>
        <c:lblAlgn val="ctr"/>
        <c:lblOffset val="100"/>
        <c:noMultiLvlLbl val="0"/>
      </c:catAx>
      <c:valAx>
        <c:axId val="102059981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Gas CF</a:t>
                </a:r>
              </a:p>
              <a:p>
                <a:pPr>
                  <a:defRPr sz="1200"/>
                </a:pPr>
                <a:r>
                  <a:rPr lang="en-US" sz="1200"/>
                  <a:t>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16597511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chemeClr val="bg1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363</xdr:colOff>
      <xdr:row>0</xdr:row>
      <xdr:rowOff>0</xdr:rowOff>
    </xdr:from>
    <xdr:to>
      <xdr:col>22</xdr:col>
      <xdr:colOff>518992</xdr:colOff>
      <xdr:row>17</xdr:row>
      <xdr:rowOff>192538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4CB12E-68E7-4E4F-BE3C-8DA02EE35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21</xdr:row>
      <xdr:rowOff>0</xdr:rowOff>
    </xdr:from>
    <xdr:to>
      <xdr:col>22</xdr:col>
      <xdr:colOff>518629</xdr:colOff>
      <xdr:row>29</xdr:row>
      <xdr:rowOff>195260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4D03BCF-8B35-7E40-BD62-0A9D4D837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11425</xdr:rowOff>
    </xdr:from>
    <xdr:to>
      <xdr:col>14</xdr:col>
      <xdr:colOff>304800</xdr:colOff>
      <xdr:row>16</xdr:row>
      <xdr:rowOff>163825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1EBA56-E08C-3E47-AFBA-75F809743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118</xdr:col>
      <xdr:colOff>0</xdr:colOff>
      <xdr:row>1</xdr:row>
      <xdr:rowOff>0</xdr:rowOff>
    </xdr:from>
    <xdr:to>
      <xdr:col>129</xdr:col>
      <xdr:colOff>512536</xdr:colOff>
      <xdr:row>32</xdr:row>
      <xdr:rowOff>90713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4FFA384-7B94-6143-8C94-54CA2E407982}"/>
            </a:ext>
          </a:extLst>
        </xdr:cNvPr>
        <xdr:cNvGrpSpPr/>
      </xdr:nvGrpSpPr>
      <xdr:grpSpPr>
        <a:xfrm>
          <a:off x="88455500" y="177800"/>
          <a:ext cx="9085036" cy="5602513"/>
          <a:chOff x="64698652" y="171235"/>
          <a:chExt cx="9169516" cy="535214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F51DB278-BE56-DC2C-CDEF-C5878F721B1D}"/>
              </a:ext>
            </a:extLst>
          </xdr:cNvPr>
          <xdr:cNvGraphicFramePr>
            <a:graphicFrameLocks/>
          </xdr:cNvGraphicFramePr>
        </xdr:nvGraphicFramePr>
        <xdr:xfrm>
          <a:off x="64698652" y="171235"/>
          <a:ext cx="9169514" cy="10667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8EED5031-D9C7-F052-05F9-4B357074BFB4}"/>
              </a:ext>
            </a:extLst>
          </xdr:cNvPr>
          <xdr:cNvGraphicFramePr>
            <a:graphicFrameLocks/>
          </xdr:cNvGraphicFramePr>
        </xdr:nvGraphicFramePr>
        <xdr:xfrm>
          <a:off x="64698652" y="1027415"/>
          <a:ext cx="9169514" cy="107123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B8A3875E-6FAE-C881-839E-D92BBEFA9DA7}"/>
              </a:ext>
            </a:extLst>
          </xdr:cNvPr>
          <xdr:cNvGraphicFramePr>
            <a:graphicFrameLocks/>
          </xdr:cNvGraphicFramePr>
        </xdr:nvGraphicFramePr>
        <xdr:xfrm>
          <a:off x="64698652" y="1887935"/>
          <a:ext cx="9169514" cy="10668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EDB84BEE-AE76-26F1-8FFF-A648D61EA7E9}"/>
              </a:ext>
            </a:extLst>
          </xdr:cNvPr>
          <xdr:cNvGraphicFramePr>
            <a:graphicFrameLocks/>
          </xdr:cNvGraphicFramePr>
        </xdr:nvGraphicFramePr>
        <xdr:xfrm>
          <a:off x="64698652" y="2739775"/>
          <a:ext cx="9169514" cy="10712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41040163-0E39-0A9E-A19B-8737413F3840}"/>
              </a:ext>
            </a:extLst>
          </xdr:cNvPr>
          <xdr:cNvGraphicFramePr>
            <a:graphicFrameLocks/>
          </xdr:cNvGraphicFramePr>
        </xdr:nvGraphicFramePr>
        <xdr:xfrm>
          <a:off x="64698654" y="3595955"/>
          <a:ext cx="9169514" cy="10712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1007BF37-B195-683C-CD2A-87A76A88C15C}"/>
              </a:ext>
            </a:extLst>
          </xdr:cNvPr>
          <xdr:cNvGraphicFramePr>
            <a:graphicFrameLocks/>
          </xdr:cNvGraphicFramePr>
        </xdr:nvGraphicFramePr>
        <xdr:xfrm>
          <a:off x="64698652" y="4452135"/>
          <a:ext cx="9167742" cy="10712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 editAs="oneCell">
    <xdr:from>
      <xdr:col>15</xdr:col>
      <xdr:colOff>0</xdr:colOff>
      <xdr:row>4</xdr:row>
      <xdr:rowOff>0</xdr:rowOff>
    </xdr:from>
    <xdr:to>
      <xdr:col>24</xdr:col>
      <xdr:colOff>444500</xdr:colOff>
      <xdr:row>16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75E3110-D118-EB4C-85D2-06126EB70A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6</xdr:col>
      <xdr:colOff>0</xdr:colOff>
      <xdr:row>15</xdr:row>
      <xdr:rowOff>0</xdr:rowOff>
    </xdr:from>
    <xdr:to>
      <xdr:col>14</xdr:col>
      <xdr:colOff>304800</xdr:colOff>
      <xdr:row>22</xdr:row>
      <xdr:rowOff>127000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493480B-D2F6-A241-9E66-C8D65B5C9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</xdr:col>
      <xdr:colOff>0</xdr:colOff>
      <xdr:row>23</xdr:row>
      <xdr:rowOff>0</xdr:rowOff>
    </xdr:from>
    <xdr:to>
      <xdr:col>14</xdr:col>
      <xdr:colOff>304800</xdr:colOff>
      <xdr:row>33</xdr:row>
      <xdr:rowOff>50800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E851C83-CD43-404B-AF9F-41C5E0ABEE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15</xdr:col>
      <xdr:colOff>0</xdr:colOff>
      <xdr:row>18</xdr:row>
      <xdr:rowOff>0</xdr:rowOff>
    </xdr:from>
    <xdr:to>
      <xdr:col>24</xdr:col>
      <xdr:colOff>444500</xdr:colOff>
      <xdr:row>23</xdr:row>
      <xdr:rowOff>25400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03E5BF7-0007-6C45-9F39-10EBE7BAF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15</xdr:col>
      <xdr:colOff>0</xdr:colOff>
      <xdr:row>23</xdr:row>
      <xdr:rowOff>0</xdr:rowOff>
    </xdr:from>
    <xdr:to>
      <xdr:col>24</xdr:col>
      <xdr:colOff>444500</xdr:colOff>
      <xdr:row>28</xdr:row>
      <xdr:rowOff>25400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1843DC1-99E8-834F-8BDF-1A3837DF4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oderick/PycharmProjects/resilient-transition/GenX.jl/Kentucky%20Load%20Resource%20Model.xlsb" TargetMode="External"/><Relationship Id="rId1" Type="http://schemas.openxmlformats.org/officeDocument/2006/relationships/externalLinkPath" Target="Kentucky%20Load%20Resource%20Model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silienttransition.sharepoint.com/sites/5.001KentuckyResourceCouncil/Shared%20Documents/Data/Kentucky%20Load%20Resource%20Model.xlsb" TargetMode="External"/><Relationship Id="rId1" Type="http://schemas.openxmlformats.org/officeDocument/2006/relationships/externalLinkPath" Target="https://resilienttransition.sharepoint.com/sites/5.001KentuckyResourceCouncil/Shared%20Documents/Data/Kentucky%20Load%20Resource%20Mode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&amp;R Table and Plot"/>
      <sheetName val="Load Forecasts"/>
      <sheetName val="Load Profiles"/>
      <sheetName val="Resources"/>
      <sheetName val="Resource Profiles"/>
      <sheetName val="PRM &amp; ELCCs"/>
      <sheetName val="EIA 923"/>
      <sheetName val="out_eia923__monthly_fuel_receip"/>
      <sheetName val="GenX Formatted →"/>
      <sheetName val="Batch Cases"/>
      <sheetName val="GenX Settings"/>
      <sheetName val="GenX System"/>
      <sheetName val="GenX Fuels"/>
      <sheetName val="GenX Loads"/>
      <sheetName val="GenX Resources"/>
      <sheetName val="GenX Policies"/>
      <sheetName val="GenX Results"/>
      <sheetName val="PCM Settings"/>
      <sheetName val="IRP Plan"/>
      <sheetName val="External Data →"/>
      <sheetName val="Technology Defaults"/>
      <sheetName val="EIA 860"/>
      <sheetName val="EIA 923 Yearly Fuel Receipts"/>
      <sheetName val="EIA Yearly CFs"/>
      <sheetName val="EPA CEMS"/>
      <sheetName val="CEG Additions &amp; Retirements"/>
      <sheetName val="NREL ReEDS BA Limits"/>
      <sheetName val="Misc. →"/>
      <sheetName val="Data Summary"/>
      <sheetName val="Lists"/>
      <sheetName val="xlwings.conf"/>
    </sheetNames>
    <sheetDataSet>
      <sheetData sheetId="0"/>
      <sheetData sheetId="1"/>
      <sheetData sheetId="2"/>
      <sheetData sheetId="3"/>
      <sheetData sheetId="4">
        <row r="5">
          <cell r="C5" t="str">
            <v>Time_Index</v>
          </cell>
          <cell r="D5" t="str">
            <v>Wind:0</v>
          </cell>
          <cell r="E5" t="str">
            <v>Solar:0</v>
          </cell>
          <cell r="F5" t="str">
            <v>Wind - New Generic:0</v>
          </cell>
          <cell r="G5" t="str">
            <v>Wind - New Generic:1</v>
          </cell>
          <cell r="H5" t="str">
            <v>Wind - New Generic:2</v>
          </cell>
          <cell r="I5" t="str">
            <v>Wind - New Generic:3</v>
          </cell>
          <cell r="J5" t="str">
            <v>Solar - New Generic:0</v>
          </cell>
          <cell r="K5" t="str">
            <v>Solar - New Generic:1</v>
          </cell>
          <cell r="L5" t="str">
            <v>Solar - New Generic:2</v>
          </cell>
          <cell r="M5" t="str">
            <v>Solar - New Generic:3</v>
          </cell>
          <cell r="N5" t="str">
            <v>EKPC Biogas - Existing:0</v>
          </cell>
        </row>
      </sheetData>
      <sheetData sheetId="5">
        <row r="9">
          <cell r="C9">
            <v>2025</v>
          </cell>
          <cell r="D9">
            <v>2026</v>
          </cell>
          <cell r="E9">
            <v>2027</v>
          </cell>
          <cell r="F9">
            <v>2028</v>
          </cell>
          <cell r="G9">
            <v>2029</v>
          </cell>
          <cell r="H9">
            <v>2030</v>
          </cell>
          <cell r="I9">
            <v>2031</v>
          </cell>
          <cell r="J9">
            <v>2032</v>
          </cell>
          <cell r="K9">
            <v>2033</v>
          </cell>
          <cell r="L9">
            <v>2034</v>
          </cell>
        </row>
        <row r="10">
          <cell r="A10" t="str">
            <v>Wind</v>
          </cell>
          <cell r="C10">
            <v>0.35</v>
          </cell>
          <cell r="D10">
            <v>0.41</v>
          </cell>
          <cell r="E10">
            <v>0.33</v>
          </cell>
          <cell r="F10">
            <v>0.28000000000000003</v>
          </cell>
          <cell r="G10">
            <v>0.25</v>
          </cell>
          <cell r="H10">
            <v>0.23</v>
          </cell>
          <cell r="I10">
            <v>0.21</v>
          </cell>
          <cell r="J10">
            <v>0.19</v>
          </cell>
          <cell r="K10">
            <v>0.17</v>
          </cell>
          <cell r="L10">
            <v>0.15</v>
          </cell>
        </row>
        <row r="11">
          <cell r="C11">
            <v>0.6</v>
          </cell>
          <cell r="D11">
            <v>0.69</v>
          </cell>
          <cell r="E11">
            <v>0.56000000000000005</v>
          </cell>
          <cell r="F11">
            <v>0.47</v>
          </cell>
          <cell r="G11">
            <v>0.44</v>
          </cell>
          <cell r="H11">
            <v>0.38</v>
          </cell>
          <cell r="I11">
            <v>0.37</v>
          </cell>
          <cell r="J11">
            <v>0.33</v>
          </cell>
          <cell r="K11">
            <v>0.27</v>
          </cell>
          <cell r="L11">
            <v>0.2</v>
          </cell>
        </row>
        <row r="12">
          <cell r="C12">
            <v>0.09</v>
          </cell>
          <cell r="D12">
            <v>0.08</v>
          </cell>
          <cell r="E12">
            <v>0.06</v>
          </cell>
          <cell r="F12">
            <v>0.05</v>
          </cell>
          <cell r="G12">
            <v>0.05</v>
          </cell>
          <cell r="H12">
            <v>0.04</v>
          </cell>
          <cell r="I12">
            <v>0.04</v>
          </cell>
          <cell r="J12">
            <v>0.04</v>
          </cell>
          <cell r="K12">
            <v>0.04</v>
          </cell>
          <cell r="L12">
            <v>0.03</v>
          </cell>
        </row>
        <row r="13">
          <cell r="A13" t="str">
            <v>Solar</v>
          </cell>
          <cell r="C13">
            <v>0.14000000000000001</v>
          </cell>
          <cell r="D13">
            <v>0.11</v>
          </cell>
          <cell r="E13">
            <v>0.08</v>
          </cell>
          <cell r="F13">
            <v>7.0000000000000007E-2</v>
          </cell>
          <cell r="G13">
            <v>7.0000000000000007E-2</v>
          </cell>
          <cell r="H13">
            <v>0.06</v>
          </cell>
          <cell r="I13">
            <v>0.05</v>
          </cell>
          <cell r="J13">
            <v>0.05</v>
          </cell>
          <cell r="K13">
            <v>0.05</v>
          </cell>
          <cell r="L13">
            <v>0.04</v>
          </cell>
        </row>
        <row r="14">
          <cell r="A14" t="str">
            <v>Biogas</v>
          </cell>
          <cell r="C14">
            <v>0.54</v>
          </cell>
          <cell r="D14">
            <v>0.5</v>
          </cell>
          <cell r="E14">
            <v>0.55000000000000004</v>
          </cell>
          <cell r="F14">
            <v>0.55000000000000004</v>
          </cell>
          <cell r="G14">
            <v>0.56000000000000005</v>
          </cell>
          <cell r="H14">
            <v>0.56000000000000005</v>
          </cell>
          <cell r="I14">
            <v>0.56000000000000005</v>
          </cell>
          <cell r="J14">
            <v>0.56000000000000005</v>
          </cell>
          <cell r="K14">
            <v>0.56000000000000005</v>
          </cell>
          <cell r="L14">
            <v>0.54</v>
          </cell>
        </row>
        <row r="15">
          <cell r="A15" t="str">
            <v>Hydro</v>
          </cell>
          <cell r="C15">
            <v>0.37</v>
          </cell>
          <cell r="D15">
            <v>0.38</v>
          </cell>
          <cell r="E15">
            <v>0.4</v>
          </cell>
          <cell r="F15">
            <v>0.37</v>
          </cell>
          <cell r="G15">
            <v>0.37</v>
          </cell>
          <cell r="H15">
            <v>0.37</v>
          </cell>
          <cell r="I15">
            <v>0.37</v>
          </cell>
          <cell r="J15">
            <v>0.39</v>
          </cell>
          <cell r="K15">
            <v>0.38</v>
          </cell>
          <cell r="L15">
            <v>0.38</v>
          </cell>
        </row>
        <row r="16">
          <cell r="A16" t="str">
            <v>4-hr Battery</v>
          </cell>
          <cell r="C16">
            <v>0.59</v>
          </cell>
          <cell r="D16">
            <v>0.5</v>
          </cell>
          <cell r="E16">
            <v>0.52</v>
          </cell>
          <cell r="F16">
            <v>0.55000000000000004</v>
          </cell>
          <cell r="G16">
            <v>0.51</v>
          </cell>
          <cell r="H16">
            <v>0.49</v>
          </cell>
          <cell r="I16">
            <v>0.42</v>
          </cell>
          <cell r="J16">
            <v>0.42</v>
          </cell>
          <cell r="K16">
            <v>0.4</v>
          </cell>
          <cell r="L16">
            <v>0.38</v>
          </cell>
        </row>
        <row r="17">
          <cell r="C17">
            <v>0.67</v>
          </cell>
          <cell r="D17">
            <v>0.57999999999999996</v>
          </cell>
          <cell r="E17">
            <v>0.61</v>
          </cell>
          <cell r="F17">
            <v>0.65</v>
          </cell>
          <cell r="G17">
            <v>0.61</v>
          </cell>
          <cell r="H17">
            <v>0.61</v>
          </cell>
          <cell r="I17">
            <v>0.54</v>
          </cell>
          <cell r="J17">
            <v>0.54</v>
          </cell>
          <cell r="K17">
            <v>0.53</v>
          </cell>
          <cell r="L17">
            <v>0.52</v>
          </cell>
        </row>
        <row r="18">
          <cell r="A18" t="str">
            <v>8-hr Battery</v>
          </cell>
          <cell r="C18">
            <v>0.68</v>
          </cell>
          <cell r="D18">
            <v>0.62</v>
          </cell>
          <cell r="E18">
            <v>0.64</v>
          </cell>
          <cell r="F18">
            <v>0.67</v>
          </cell>
          <cell r="G18">
            <v>0.64</v>
          </cell>
          <cell r="H18">
            <v>0.65</v>
          </cell>
          <cell r="I18">
            <v>0.6</v>
          </cell>
          <cell r="J18">
            <v>0.6</v>
          </cell>
          <cell r="K18">
            <v>0.6</v>
          </cell>
          <cell r="L18">
            <v>0.6</v>
          </cell>
        </row>
        <row r="19">
          <cell r="C19">
            <v>0.78</v>
          </cell>
          <cell r="D19">
            <v>0.72</v>
          </cell>
          <cell r="E19">
            <v>0.73</v>
          </cell>
          <cell r="F19">
            <v>0.75</v>
          </cell>
          <cell r="G19">
            <v>0.72</v>
          </cell>
          <cell r="H19">
            <v>0.73</v>
          </cell>
          <cell r="I19">
            <v>0.68</v>
          </cell>
          <cell r="J19">
            <v>0.69</v>
          </cell>
          <cell r="K19">
            <v>0.7</v>
          </cell>
          <cell r="L19">
            <v>0.7</v>
          </cell>
        </row>
        <row r="20">
          <cell r="A20" t="str">
            <v>DR</v>
          </cell>
          <cell r="C20">
            <v>0.76</v>
          </cell>
          <cell r="D20">
            <v>0.69</v>
          </cell>
          <cell r="E20">
            <v>0.66</v>
          </cell>
          <cell r="F20">
            <v>0.65</v>
          </cell>
          <cell r="G20">
            <v>0.63</v>
          </cell>
          <cell r="H20">
            <v>0.6</v>
          </cell>
          <cell r="I20">
            <v>0.56000000000000005</v>
          </cell>
          <cell r="J20">
            <v>0.55000000000000004</v>
          </cell>
          <cell r="K20">
            <v>0.53</v>
          </cell>
          <cell r="L20">
            <v>0.51</v>
          </cell>
        </row>
        <row r="21">
          <cell r="A21" t="str">
            <v>Nuclear</v>
          </cell>
          <cell r="C21">
            <v>0.95</v>
          </cell>
          <cell r="D21">
            <v>0.95</v>
          </cell>
          <cell r="E21">
            <v>0.95</v>
          </cell>
          <cell r="F21">
            <v>0.95</v>
          </cell>
          <cell r="G21">
            <v>0.96</v>
          </cell>
          <cell r="H21">
            <v>0.95</v>
          </cell>
          <cell r="I21">
            <v>0.96</v>
          </cell>
          <cell r="J21">
            <v>0.96</v>
          </cell>
          <cell r="K21">
            <v>0.94</v>
          </cell>
          <cell r="L21">
            <v>0.93</v>
          </cell>
        </row>
        <row r="22">
          <cell r="A22" t="str">
            <v>Coal</v>
          </cell>
          <cell r="C22">
            <v>0.84</v>
          </cell>
          <cell r="D22">
            <v>0.83</v>
          </cell>
          <cell r="E22">
            <v>0.84</v>
          </cell>
          <cell r="F22">
            <v>0.84</v>
          </cell>
          <cell r="G22">
            <v>0.85</v>
          </cell>
          <cell r="H22">
            <v>0.85</v>
          </cell>
          <cell r="I22">
            <v>0.86</v>
          </cell>
          <cell r="J22">
            <v>0.86</v>
          </cell>
          <cell r="K22">
            <v>0.83</v>
          </cell>
          <cell r="L22">
            <v>0.79</v>
          </cell>
        </row>
        <row r="23">
          <cell r="A23" t="str">
            <v>Gas CCGT</v>
          </cell>
          <cell r="C23">
            <v>0.79</v>
          </cell>
          <cell r="D23">
            <v>0.74</v>
          </cell>
          <cell r="E23">
            <v>0.8</v>
          </cell>
          <cell r="F23">
            <v>0.81</v>
          </cell>
          <cell r="G23">
            <v>0.83</v>
          </cell>
          <cell r="H23">
            <v>0.83</v>
          </cell>
          <cell r="I23">
            <v>0.85</v>
          </cell>
          <cell r="J23">
            <v>0.85</v>
          </cell>
          <cell r="K23">
            <v>0.84</v>
          </cell>
          <cell r="L23">
            <v>0.82</v>
          </cell>
        </row>
        <row r="24">
          <cell r="A24" t="str">
            <v>Gas CT</v>
          </cell>
          <cell r="C24">
            <v>0.62</v>
          </cell>
          <cell r="D24">
            <v>0.6</v>
          </cell>
          <cell r="E24">
            <v>0.63</v>
          </cell>
          <cell r="F24">
            <v>0.66</v>
          </cell>
          <cell r="G24">
            <v>0.68</v>
          </cell>
          <cell r="H24">
            <v>0.7</v>
          </cell>
          <cell r="I24">
            <v>0.71</v>
          </cell>
          <cell r="J24">
            <v>0.74</v>
          </cell>
          <cell r="K24">
            <v>0.76</v>
          </cell>
          <cell r="L24">
            <v>0.78</v>
          </cell>
        </row>
        <row r="25">
          <cell r="C25">
            <v>0.79</v>
          </cell>
          <cell r="D25">
            <v>0.78</v>
          </cell>
          <cell r="E25">
            <v>0.79</v>
          </cell>
          <cell r="F25">
            <v>0.8</v>
          </cell>
          <cell r="G25">
            <v>0.8</v>
          </cell>
          <cell r="H25">
            <v>0.81</v>
          </cell>
          <cell r="I25">
            <v>0.82</v>
          </cell>
          <cell r="J25">
            <v>0.83</v>
          </cell>
          <cell r="K25">
            <v>0.83</v>
          </cell>
          <cell r="L25">
            <v>0.83</v>
          </cell>
        </row>
        <row r="26">
          <cell r="C26">
            <v>0.92</v>
          </cell>
          <cell r="D26">
            <v>0.91</v>
          </cell>
          <cell r="E26">
            <v>0.92</v>
          </cell>
          <cell r="F26">
            <v>0.92</v>
          </cell>
          <cell r="G26">
            <v>0.92</v>
          </cell>
          <cell r="H26">
            <v>0.92</v>
          </cell>
          <cell r="I26">
            <v>0.93</v>
          </cell>
          <cell r="J26">
            <v>0.93</v>
          </cell>
          <cell r="K26">
            <v>0.93</v>
          </cell>
          <cell r="L26">
            <v>0.92</v>
          </cell>
        </row>
        <row r="27">
          <cell r="A27" t="str">
            <v>Gas Other</v>
          </cell>
          <cell r="C27">
            <v>0.75</v>
          </cell>
          <cell r="D27">
            <v>0.73</v>
          </cell>
          <cell r="E27">
            <v>0.73</v>
          </cell>
          <cell r="F27">
            <v>0.74</v>
          </cell>
          <cell r="G27">
            <v>0.75</v>
          </cell>
          <cell r="H27">
            <v>0.74</v>
          </cell>
          <cell r="I27">
            <v>0.75</v>
          </cell>
          <cell r="J27">
            <v>0.76</v>
          </cell>
          <cell r="K27">
            <v>0.74</v>
          </cell>
          <cell r="L27">
            <v>0.73</v>
          </cell>
        </row>
        <row r="28">
          <cell r="A28" t="str">
            <v>100-hr Battery</v>
          </cell>
          <cell r="C28">
            <v>0.7</v>
          </cell>
          <cell r="D28">
            <v>0.7</v>
          </cell>
          <cell r="E28">
            <v>0.7</v>
          </cell>
          <cell r="F28">
            <v>0.7</v>
          </cell>
          <cell r="G28">
            <v>0.7</v>
          </cell>
          <cell r="H28">
            <v>0.7</v>
          </cell>
          <cell r="I28">
            <v>0.7</v>
          </cell>
          <cell r="J28">
            <v>0.7</v>
          </cell>
          <cell r="K28">
            <v>0.7</v>
          </cell>
          <cell r="L28">
            <v>0.7</v>
          </cell>
        </row>
      </sheetData>
      <sheetData sheetId="6"/>
      <sheetData sheetId="7"/>
      <sheetData sheetId="8"/>
      <sheetData sheetId="9"/>
      <sheetData sheetId="10">
        <row r="5">
          <cell r="C5" t="str">
            <v>Unconstrained IRA, No PRM</v>
          </cell>
        </row>
        <row r="9">
          <cell r="C9" t="b">
            <v>1</v>
          </cell>
        </row>
        <row r="10">
          <cell r="C10" t="b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-1600</v>
          </cell>
        </row>
        <row r="14">
          <cell r="C14" t="b">
            <v>0</v>
          </cell>
        </row>
        <row r="15">
          <cell r="C15">
            <v>0</v>
          </cell>
        </row>
        <row r="16">
          <cell r="C16" t="str">
            <v>AEO 2025 Reference</v>
          </cell>
        </row>
        <row r="18">
          <cell r="C18" t="b">
            <v>1</v>
          </cell>
        </row>
        <row r="19">
          <cell r="C19" t="str">
            <v>High</v>
          </cell>
        </row>
        <row r="20">
          <cell r="C20">
            <v>0</v>
          </cell>
        </row>
        <row r="21">
          <cell r="C21" t="b">
            <v>1</v>
          </cell>
        </row>
        <row r="22">
          <cell r="C22">
            <v>2028</v>
          </cell>
        </row>
        <row r="23">
          <cell r="C23">
            <v>2050</v>
          </cell>
        </row>
        <row r="24">
          <cell r="C24">
            <v>0</v>
          </cell>
        </row>
        <row r="26">
          <cell r="C26">
            <v>5000</v>
          </cell>
        </row>
        <row r="27">
          <cell r="C27">
            <v>0</v>
          </cell>
        </row>
      </sheetData>
      <sheetData sheetId="11">
        <row r="17">
          <cell r="C17" t="str">
            <v>z1</v>
          </cell>
        </row>
        <row r="18">
          <cell r="C18" t="str">
            <v>z2</v>
          </cell>
        </row>
        <row r="19">
          <cell r="C19" t="str">
            <v>z3</v>
          </cell>
        </row>
        <row r="20">
          <cell r="C20" t="str">
            <v>z4</v>
          </cell>
        </row>
      </sheetData>
      <sheetData sheetId="12">
        <row r="6">
          <cell r="AR6" t="str">
            <v>Time_Index</v>
          </cell>
          <cell r="AS6" t="str">
            <v>Natural Gas</v>
          </cell>
          <cell r="AT6" t="str">
            <v>Steam Coal</v>
          </cell>
          <cell r="AU6" t="str">
            <v>Uranium</v>
          </cell>
          <cell r="AV6" t="str">
            <v>Steam Coal - Big Rivers Wilson</v>
          </cell>
          <cell r="AW6" t="str">
            <v>Steam Coal - Duke East Bend</v>
          </cell>
          <cell r="AX6" t="str">
            <v>Steam Coal - EKPC Cooper 1-2</v>
          </cell>
          <cell r="AY6" t="str">
            <v>Steam Coal - EKPC Spurlock</v>
          </cell>
          <cell r="AZ6" t="str">
            <v>Steam Coal - LGE Brown 3</v>
          </cell>
          <cell r="BA6" t="str">
            <v>Steam Coal - LGE Ghent 1-4</v>
          </cell>
          <cell r="BB6" t="str">
            <v>Steam Coal - LGE Mill Creek 1-4</v>
          </cell>
          <cell r="BC6" t="str">
            <v>Steam Coal - LGE Trimble 1-2</v>
          </cell>
          <cell r="BD6" t="str">
            <v>Natural Gas - Big Rivers Green 1-2</v>
          </cell>
          <cell r="BE6" t="str">
            <v>Natural Gas - Big Rivers Reid</v>
          </cell>
          <cell r="BF6" t="str">
            <v>Natural Gas - Duke Woodsdale 1-6</v>
          </cell>
          <cell r="BG6" t="str">
            <v>Natural Gas - EKPC Bluegrass 1-3</v>
          </cell>
          <cell r="BH6" t="str">
            <v>Natural Gas - EKPC Smith 1-10</v>
          </cell>
          <cell r="BI6" t="str">
            <v>Natural Gas - LGE Cane Run 7</v>
          </cell>
          <cell r="BJ6" t="str">
            <v>Natural Gas - LGE Haefling 1-2</v>
          </cell>
          <cell r="BK6" t="str">
            <v>Natural Gas - LGE Paddys Run 12-13</v>
          </cell>
        </row>
      </sheetData>
      <sheetData sheetId="13">
        <row r="10">
          <cell r="I10" t="str">
            <v>Time_Index</v>
          </cell>
          <cell r="J10" t="str">
            <v>Demand_MW_z1</v>
          </cell>
          <cell r="K10" t="str">
            <v>Demand_MW_z2</v>
          </cell>
          <cell r="L10" t="str">
            <v>Demand_MW_z3</v>
          </cell>
          <cell r="M10" t="str">
            <v>Demand_MW_z4</v>
          </cell>
        </row>
      </sheetData>
      <sheetData sheetId="14">
        <row r="3">
          <cell r="B3">
            <v>2025</v>
          </cell>
        </row>
        <row r="6">
          <cell r="B6" t="str">
            <v>Thermal.csv</v>
          </cell>
        </row>
        <row r="7">
          <cell r="B7" t="str">
            <v>Resource Name</v>
          </cell>
          <cell r="L7" t="str">
            <v>Can Build New</v>
          </cell>
          <cell r="M7" t="str">
            <v>Investment Cost</v>
          </cell>
          <cell r="AD7" t="str">
            <v>Fixed O&amp;M Cost</v>
          </cell>
        </row>
        <row r="8">
          <cell r="B8" t="str">
            <v>-</v>
          </cell>
          <cell r="L8" t="str">
            <v>-</v>
          </cell>
          <cell r="M8" t="str">
            <v>$/MW-year</v>
          </cell>
          <cell r="AD8" t="str">
            <v>$/MW-year</v>
          </cell>
        </row>
        <row r="9">
          <cell r="B9" t="str">
            <v>resource</v>
          </cell>
          <cell r="L9" t="str">
            <v>new_build</v>
          </cell>
          <cell r="M9" t="str">
            <v>inv_cost_per_mwyr</v>
          </cell>
          <cell r="AD9" t="str">
            <v>fixed_om_cost_per_mwyr</v>
          </cell>
        </row>
        <row r="10">
          <cell r="A10" t="str">
            <v>Gas Other</v>
          </cell>
          <cell r="B10" t="str">
            <v>Big Rivers Green 1-2:0</v>
          </cell>
          <cell r="L10" t="b">
            <v>0</v>
          </cell>
          <cell r="M10">
            <v>0</v>
          </cell>
          <cell r="AD10">
            <v>70000</v>
          </cell>
          <cell r="AP10">
            <v>0.49</v>
          </cell>
        </row>
        <row r="11">
          <cell r="A11" t="str">
            <v>Gas CT</v>
          </cell>
          <cell r="B11" t="str">
            <v>Big Rivers Reid:0</v>
          </cell>
          <cell r="L11" t="b">
            <v>0</v>
          </cell>
          <cell r="M11">
            <v>0</v>
          </cell>
          <cell r="AD11">
            <v>25700</v>
          </cell>
          <cell r="AP11">
            <v>0.02</v>
          </cell>
        </row>
        <row r="12">
          <cell r="A12" t="str">
            <v>Coal</v>
          </cell>
          <cell r="B12" t="str">
            <v>Big Rivers Wilson:0</v>
          </cell>
          <cell r="L12" t="b">
            <v>0</v>
          </cell>
          <cell r="M12">
            <v>0</v>
          </cell>
          <cell r="AD12">
            <v>70000</v>
          </cell>
          <cell r="AP12">
            <v>0.63</v>
          </cell>
        </row>
        <row r="13">
          <cell r="A13" t="str">
            <v>Gas CCGT</v>
          </cell>
          <cell r="B13" t="str">
            <v>CCGT - Planned:0</v>
          </cell>
          <cell r="L13" t="b">
            <v>0</v>
          </cell>
          <cell r="M13">
            <v>0</v>
          </cell>
          <cell r="AD13">
            <v>0</v>
          </cell>
          <cell r="AP13">
            <v>0.35</v>
          </cell>
        </row>
        <row r="14">
          <cell r="A14" t="str">
            <v>Gas CT</v>
          </cell>
          <cell r="B14" t="str">
            <v>CT - Planned:0</v>
          </cell>
          <cell r="L14" t="b">
            <v>0</v>
          </cell>
          <cell r="M14">
            <v>0</v>
          </cell>
          <cell r="AD14">
            <v>0</v>
          </cell>
          <cell r="AP14">
            <v>0.1</v>
          </cell>
        </row>
        <row r="15">
          <cell r="A15" t="str">
            <v>Gas Other</v>
          </cell>
          <cell r="B15" t="str">
            <v>Duke East Bend CC:0</v>
          </cell>
          <cell r="L15" t="b">
            <v>0</v>
          </cell>
          <cell r="M15">
            <v>0</v>
          </cell>
          <cell r="AD15">
            <v>0</v>
          </cell>
          <cell r="AP15">
            <v>0.35</v>
          </cell>
        </row>
        <row r="16">
          <cell r="A16" t="str">
            <v>Coal</v>
          </cell>
          <cell r="B16" t="str">
            <v>Duke East Bend:0</v>
          </cell>
          <cell r="L16" t="b">
            <v>0</v>
          </cell>
          <cell r="M16">
            <v>0</v>
          </cell>
          <cell r="AD16">
            <v>70000</v>
          </cell>
          <cell r="AP16">
            <v>0.5</v>
          </cell>
        </row>
        <row r="17">
          <cell r="A17" t="str">
            <v>Gas CT</v>
          </cell>
          <cell r="B17" t="str">
            <v>Duke Woodsdale 1-6:0</v>
          </cell>
          <cell r="L17" t="b">
            <v>0</v>
          </cell>
          <cell r="M17">
            <v>0</v>
          </cell>
          <cell r="AD17">
            <v>25700</v>
          </cell>
          <cell r="AP17">
            <v>0.01</v>
          </cell>
        </row>
        <row r="18">
          <cell r="A18" t="str">
            <v>Gas CT</v>
          </cell>
          <cell r="B18" t="str">
            <v>EKPC Bluegrass 1-3:0</v>
          </cell>
          <cell r="L18" t="b">
            <v>0</v>
          </cell>
          <cell r="M18">
            <v>0</v>
          </cell>
          <cell r="AD18">
            <v>25700</v>
          </cell>
          <cell r="AP18">
            <v>0.02</v>
          </cell>
        </row>
        <row r="19">
          <cell r="A19" t="str">
            <v>Gas Other</v>
          </cell>
          <cell r="B19" t="str">
            <v>EKPC Cooper 1-2 - Gas:0</v>
          </cell>
          <cell r="L19" t="b">
            <v>0</v>
          </cell>
          <cell r="M19">
            <v>0</v>
          </cell>
          <cell r="AD19">
            <v>0</v>
          </cell>
          <cell r="AP19">
            <v>0</v>
          </cell>
        </row>
        <row r="20">
          <cell r="A20" t="str">
            <v>Coal</v>
          </cell>
          <cell r="B20" t="str">
            <v>EKPC Cooper 1-2:0</v>
          </cell>
          <cell r="L20" t="b">
            <v>0</v>
          </cell>
          <cell r="M20">
            <v>0</v>
          </cell>
          <cell r="AD20">
            <v>70000</v>
          </cell>
          <cell r="AP20">
            <v>0.43</v>
          </cell>
        </row>
        <row r="21">
          <cell r="A21" t="str">
            <v>Gas CT</v>
          </cell>
          <cell r="B21" t="str">
            <v>EKPC Smith 1-10:0</v>
          </cell>
          <cell r="L21" t="b">
            <v>0</v>
          </cell>
          <cell r="M21">
            <v>0</v>
          </cell>
          <cell r="AD21">
            <v>25700</v>
          </cell>
          <cell r="AP21">
            <v>0.04</v>
          </cell>
        </row>
        <row r="22">
          <cell r="A22" t="str">
            <v>Gas CT</v>
          </cell>
          <cell r="B22" t="str">
            <v>EKPC Smith 1-10:1</v>
          </cell>
          <cell r="L22" t="b">
            <v>0</v>
          </cell>
          <cell r="M22">
            <v>0</v>
          </cell>
          <cell r="AD22">
            <v>25700</v>
          </cell>
          <cell r="AP22">
            <v>0.04</v>
          </cell>
        </row>
        <row r="23">
          <cell r="A23" t="str">
            <v>Gas Other</v>
          </cell>
          <cell r="B23" t="str">
            <v>EKPC Spurlock - Gas:0</v>
          </cell>
          <cell r="L23" t="b">
            <v>0</v>
          </cell>
          <cell r="M23">
            <v>0</v>
          </cell>
          <cell r="AD23">
            <v>0</v>
          </cell>
          <cell r="AP23">
            <v>0</v>
          </cell>
        </row>
        <row r="24">
          <cell r="A24" t="str">
            <v>Gas Other</v>
          </cell>
          <cell r="B24" t="str">
            <v>EKPC Spurlock - Gas:1</v>
          </cell>
          <cell r="L24" t="b">
            <v>0</v>
          </cell>
          <cell r="M24">
            <v>0</v>
          </cell>
          <cell r="AD24">
            <v>0</v>
          </cell>
          <cell r="AP24">
            <v>0</v>
          </cell>
        </row>
        <row r="25">
          <cell r="A25" t="str">
            <v>Coal</v>
          </cell>
          <cell r="B25" t="str">
            <v>EKPC Spurlock:0</v>
          </cell>
          <cell r="L25" t="b">
            <v>0</v>
          </cell>
          <cell r="M25">
            <v>0</v>
          </cell>
          <cell r="AD25">
            <v>70000</v>
          </cell>
          <cell r="AP25">
            <v>0.59</v>
          </cell>
        </row>
        <row r="26">
          <cell r="A26" t="str">
            <v>Coal</v>
          </cell>
          <cell r="B26" t="str">
            <v>EKPC Spurlock:1</v>
          </cell>
          <cell r="L26" t="b">
            <v>0</v>
          </cell>
          <cell r="M26">
            <v>0</v>
          </cell>
          <cell r="AD26">
            <v>70000</v>
          </cell>
          <cell r="AP26">
            <v>0</v>
          </cell>
        </row>
        <row r="27">
          <cell r="A27" t="str">
            <v>Coal</v>
          </cell>
          <cell r="B27" t="str">
            <v>EKPC Spurlock:3</v>
          </cell>
          <cell r="L27" t="b">
            <v>0</v>
          </cell>
          <cell r="M27">
            <v>0</v>
          </cell>
          <cell r="AD27">
            <v>70000</v>
          </cell>
          <cell r="AP27">
            <v>0.5</v>
          </cell>
        </row>
        <row r="28">
          <cell r="A28" t="str">
            <v>Hydro</v>
          </cell>
          <cell r="B28" t="str">
            <v>Hydro - Existing:0</v>
          </cell>
          <cell r="L28" t="b">
            <v>0</v>
          </cell>
          <cell r="M28">
            <v>0</v>
          </cell>
          <cell r="AD28">
            <v>42000</v>
          </cell>
          <cell r="AP28">
            <v>0</v>
          </cell>
        </row>
        <row r="29">
          <cell r="A29" t="str">
            <v>Gas Other</v>
          </cell>
          <cell r="B29" t="str">
            <v>KPCO Big Sandy:0</v>
          </cell>
          <cell r="L29" t="b">
            <v>0</v>
          </cell>
          <cell r="M29">
            <v>0</v>
          </cell>
          <cell r="AD29">
            <v>70000</v>
          </cell>
          <cell r="AP29">
            <v>0</v>
          </cell>
        </row>
        <row r="30">
          <cell r="A30" t="str">
            <v>Coal</v>
          </cell>
          <cell r="B30" t="str">
            <v>KPCO Mitchell 1-2:0</v>
          </cell>
          <cell r="L30" t="b">
            <v>0</v>
          </cell>
          <cell r="M30">
            <v>0</v>
          </cell>
          <cell r="AD30">
            <v>70000</v>
          </cell>
          <cell r="AP30">
            <v>0</v>
          </cell>
        </row>
        <row r="31">
          <cell r="A31" t="str">
            <v>Gas CCGT</v>
          </cell>
          <cell r="B31" t="str">
            <v>LGE Brown 12:0</v>
          </cell>
          <cell r="L31" t="b">
            <v>0</v>
          </cell>
          <cell r="M31">
            <v>0</v>
          </cell>
          <cell r="AD31">
            <v>0</v>
          </cell>
          <cell r="AP31">
            <v>0</v>
          </cell>
        </row>
        <row r="32">
          <cell r="A32" t="str">
            <v>Coal</v>
          </cell>
          <cell r="B32" t="str">
            <v>LGE Brown 3:0</v>
          </cell>
          <cell r="L32" t="b">
            <v>0</v>
          </cell>
          <cell r="M32">
            <v>0</v>
          </cell>
          <cell r="AD32">
            <v>70000</v>
          </cell>
          <cell r="AP32">
            <v>0.12</v>
          </cell>
        </row>
        <row r="33">
          <cell r="A33" t="str">
            <v>Gas CT</v>
          </cell>
          <cell r="B33" t="str">
            <v>LGE Brown 5-11:0</v>
          </cell>
          <cell r="L33" t="b">
            <v>0</v>
          </cell>
          <cell r="M33">
            <v>0</v>
          </cell>
          <cell r="AD33">
            <v>25700</v>
          </cell>
          <cell r="AP33">
            <v>0.12</v>
          </cell>
        </row>
        <row r="34">
          <cell r="A34" t="str">
            <v>Gas CT</v>
          </cell>
          <cell r="B34" t="str">
            <v>LGE Brown 5-11:1</v>
          </cell>
          <cell r="L34" t="b">
            <v>0</v>
          </cell>
          <cell r="M34">
            <v>0</v>
          </cell>
          <cell r="AD34">
            <v>25700</v>
          </cell>
          <cell r="AP34">
            <v>0.12</v>
          </cell>
        </row>
        <row r="35">
          <cell r="A35" t="str">
            <v>Gas CT</v>
          </cell>
          <cell r="B35" t="str">
            <v>LGE Cane Run 7:0</v>
          </cell>
          <cell r="L35" t="b">
            <v>0</v>
          </cell>
          <cell r="M35">
            <v>0</v>
          </cell>
          <cell r="AD35">
            <v>25700</v>
          </cell>
          <cell r="AP35">
            <v>0.43</v>
          </cell>
        </row>
        <row r="36">
          <cell r="A36" t="str">
            <v>Coal</v>
          </cell>
          <cell r="B36" t="str">
            <v>LGE Ghent 1-4:0</v>
          </cell>
          <cell r="L36" t="b">
            <v>0</v>
          </cell>
          <cell r="M36">
            <v>0</v>
          </cell>
          <cell r="AD36">
            <v>70000</v>
          </cell>
          <cell r="AP36">
            <v>0.6</v>
          </cell>
        </row>
        <row r="37">
          <cell r="A37" t="str">
            <v>Gas CT</v>
          </cell>
          <cell r="B37" t="str">
            <v>LGE Haefling 1-2:0</v>
          </cell>
          <cell r="L37" t="b">
            <v>0</v>
          </cell>
          <cell r="M37">
            <v>0</v>
          </cell>
          <cell r="AD37">
            <v>25700</v>
          </cell>
          <cell r="AP37">
            <v>0</v>
          </cell>
        </row>
        <row r="38">
          <cell r="A38" t="str">
            <v>Coal</v>
          </cell>
          <cell r="B38" t="str">
            <v>LGE Mill Creek 1-4:0</v>
          </cell>
          <cell r="L38" t="b">
            <v>0</v>
          </cell>
          <cell r="M38">
            <v>0</v>
          </cell>
          <cell r="AD38">
            <v>70000</v>
          </cell>
          <cell r="AP38">
            <v>0.57999999999999996</v>
          </cell>
        </row>
        <row r="39">
          <cell r="A39" t="str">
            <v>Gas CCGT</v>
          </cell>
          <cell r="B39" t="str">
            <v>LGE Mill Creek 5:0</v>
          </cell>
          <cell r="L39" t="b">
            <v>0</v>
          </cell>
          <cell r="M39">
            <v>0</v>
          </cell>
          <cell r="AD39">
            <v>0</v>
          </cell>
          <cell r="AP39">
            <v>0</v>
          </cell>
        </row>
        <row r="40">
          <cell r="A40" t="str">
            <v>Gas CT</v>
          </cell>
          <cell r="B40" t="str">
            <v>LGE Paddys Run 12-13:0</v>
          </cell>
          <cell r="L40" t="b">
            <v>0</v>
          </cell>
          <cell r="M40">
            <v>0</v>
          </cell>
          <cell r="AD40">
            <v>25700</v>
          </cell>
          <cell r="AP40">
            <v>0.03</v>
          </cell>
        </row>
        <row r="41">
          <cell r="A41" t="str">
            <v>Coal</v>
          </cell>
          <cell r="B41" t="str">
            <v>LGE Trimble 1-2:0</v>
          </cell>
          <cell r="L41" t="b">
            <v>0</v>
          </cell>
          <cell r="M41">
            <v>0</v>
          </cell>
          <cell r="AD41">
            <v>70000</v>
          </cell>
          <cell r="AP41">
            <v>0.2</v>
          </cell>
        </row>
        <row r="42">
          <cell r="A42" t="str">
            <v>Gas CT</v>
          </cell>
          <cell r="B42" t="str">
            <v>LGE Trimble County 5-10:0</v>
          </cell>
          <cell r="L42" t="b">
            <v>0</v>
          </cell>
          <cell r="M42">
            <v>0</v>
          </cell>
          <cell r="AD42">
            <v>25700</v>
          </cell>
          <cell r="AP42">
            <v>0.2</v>
          </cell>
        </row>
        <row r="43">
          <cell r="A43" t="str">
            <v>Nuclear</v>
          </cell>
          <cell r="B43" t="str">
            <v>Nuclear - Planned:0</v>
          </cell>
          <cell r="L43" t="b">
            <v>0</v>
          </cell>
          <cell r="M43">
            <v>999000</v>
          </cell>
          <cell r="AD43">
            <v>128000</v>
          </cell>
          <cell r="AP43">
            <v>0.9</v>
          </cell>
        </row>
        <row r="44">
          <cell r="A44" t="str">
            <v>Gas CCGT</v>
          </cell>
          <cell r="B44" t="str">
            <v>CCGT - New Generic</v>
          </cell>
          <cell r="L44" t="b">
            <v>0</v>
          </cell>
          <cell r="M44">
            <v>135671.27300342487</v>
          </cell>
          <cell r="AD44">
            <v>39000</v>
          </cell>
          <cell r="AP44">
            <v>0.35</v>
          </cell>
        </row>
        <row r="45">
          <cell r="A45" t="str">
            <v>Gas CT</v>
          </cell>
          <cell r="B45" t="str">
            <v>CT - New Generic</v>
          </cell>
          <cell r="L45" t="b">
            <v>0</v>
          </cell>
          <cell r="M45">
            <v>92503.140684153317</v>
          </cell>
          <cell r="AD45">
            <v>25700</v>
          </cell>
          <cell r="AP45">
            <v>0.1</v>
          </cell>
        </row>
        <row r="46">
          <cell r="A46" t="str">
            <v>Capacity Purchase</v>
          </cell>
          <cell r="B46" t="str">
            <v>Firm Capacity Purchase</v>
          </cell>
          <cell r="L46" t="b">
            <v>1</v>
          </cell>
          <cell r="M46">
            <v>98676.279186610249</v>
          </cell>
          <cell r="AD46">
            <v>0</v>
          </cell>
          <cell r="AP46">
            <v>0</v>
          </cell>
        </row>
        <row r="48">
          <cell r="B48" t="str">
            <v>VRE.csv</v>
          </cell>
        </row>
        <row r="49">
          <cell r="B49" t="str">
            <v>Resource Name</v>
          </cell>
          <cell r="L49" t="str">
            <v>Can Build New</v>
          </cell>
          <cell r="M49" t="str">
            <v>Investment Cost</v>
          </cell>
          <cell r="AD49" t="str">
            <v>Fixed O&amp;M Cost</v>
          </cell>
        </row>
        <row r="50">
          <cell r="B50" t="str">
            <v>-</v>
          </cell>
          <cell r="L50" t="str">
            <v>-</v>
          </cell>
          <cell r="M50" t="str">
            <v>$/MW-year</v>
          </cell>
          <cell r="AD50" t="str">
            <v>$/MW-year</v>
          </cell>
        </row>
        <row r="51">
          <cell r="B51" t="str">
            <v>resource</v>
          </cell>
          <cell r="L51" t="str">
            <v>new_build</v>
          </cell>
          <cell r="M51" t="str">
            <v>inv_cost_per_mwyr</v>
          </cell>
          <cell r="AD51" t="str">
            <v>fixed_om_cost_per_mwyr</v>
          </cell>
        </row>
        <row r="52">
          <cell r="A52" t="str">
            <v>Solar</v>
          </cell>
          <cell r="B52" t="str">
            <v>Solar:0</v>
          </cell>
          <cell r="L52" t="b">
            <v>0</v>
          </cell>
          <cell r="M52">
            <v>11806.35</v>
          </cell>
          <cell r="AD52">
            <v>21001</v>
          </cell>
        </row>
        <row r="53">
          <cell r="A53" t="str">
            <v>Wind</v>
          </cell>
          <cell r="B53" t="str">
            <v>Wind:0</v>
          </cell>
          <cell r="L53" t="b">
            <v>0</v>
          </cell>
          <cell r="M53">
            <v>0</v>
          </cell>
          <cell r="AD53">
            <v>31250</v>
          </cell>
        </row>
        <row r="54">
          <cell r="A54" t="str">
            <v>Wind</v>
          </cell>
          <cell r="B54" t="str">
            <v>Wind - New Generic:0</v>
          </cell>
          <cell r="L54" t="b">
            <v>0</v>
          </cell>
          <cell r="M54">
            <v>58639.633326728173</v>
          </cell>
          <cell r="AD54">
            <v>31250</v>
          </cell>
        </row>
        <row r="55">
          <cell r="A55" t="str">
            <v>Wind</v>
          </cell>
          <cell r="B55" t="str">
            <v>Wind - New Generic:1</v>
          </cell>
          <cell r="L55" t="b">
            <v>0</v>
          </cell>
          <cell r="M55">
            <v>41779.955062091933</v>
          </cell>
          <cell r="AD55">
            <v>31250</v>
          </cell>
        </row>
        <row r="56">
          <cell r="A56" t="str">
            <v>Wind</v>
          </cell>
          <cell r="B56" t="str">
            <v>Wind - New Generic:2</v>
          </cell>
          <cell r="L56" t="b">
            <v>0</v>
          </cell>
          <cell r="M56">
            <v>36789.488322311998</v>
          </cell>
          <cell r="AD56">
            <v>31250</v>
          </cell>
        </row>
        <row r="57">
          <cell r="A57" t="str">
            <v>Wind</v>
          </cell>
          <cell r="B57" t="str">
            <v>Wind - New Generic:3</v>
          </cell>
          <cell r="L57" t="b">
            <v>0</v>
          </cell>
          <cell r="M57">
            <v>27284.647197848317</v>
          </cell>
          <cell r="AD57">
            <v>31250</v>
          </cell>
        </row>
        <row r="58">
          <cell r="A58" t="str">
            <v>Solar</v>
          </cell>
          <cell r="B58" t="str">
            <v>Solar - New Generic:0</v>
          </cell>
          <cell r="L58" t="b">
            <v>0</v>
          </cell>
          <cell r="M58">
            <v>59031.774600479548</v>
          </cell>
          <cell r="AD58">
            <v>21001</v>
          </cell>
        </row>
        <row r="59">
          <cell r="A59" t="str">
            <v>Solar</v>
          </cell>
          <cell r="B59" t="str">
            <v>Solar - New Generic:1</v>
          </cell>
          <cell r="L59" t="b">
            <v>0</v>
          </cell>
          <cell r="M59">
            <v>67990.695175410248</v>
          </cell>
          <cell r="AD59">
            <v>21001</v>
          </cell>
        </row>
        <row r="60">
          <cell r="A60" t="str">
            <v>Solar</v>
          </cell>
          <cell r="B60" t="str">
            <v>Solar - New Generic:2</v>
          </cell>
          <cell r="L60" t="b">
            <v>0</v>
          </cell>
          <cell r="M60">
            <v>74792.108873373305</v>
          </cell>
          <cell r="AD60">
            <v>21001</v>
          </cell>
        </row>
        <row r="61">
          <cell r="A61" t="str">
            <v>Solar</v>
          </cell>
          <cell r="B61" t="str">
            <v>Solar - New Generic:3</v>
          </cell>
          <cell r="L61" t="b">
            <v>0</v>
          </cell>
          <cell r="M61">
            <v>80213.848214488622</v>
          </cell>
          <cell r="AD61">
            <v>21001</v>
          </cell>
        </row>
        <row r="63">
          <cell r="B63" t="str">
            <v>Storage.csv</v>
          </cell>
        </row>
        <row r="64">
          <cell r="B64" t="str">
            <v>Resource Name</v>
          </cell>
          <cell r="L64" t="str">
            <v>Can Build New</v>
          </cell>
          <cell r="M64" t="str">
            <v>Investment Cost</v>
          </cell>
          <cell r="AD64" t="str">
            <v>Fixed O&amp;M Cost</v>
          </cell>
        </row>
        <row r="65">
          <cell r="B65" t="str">
            <v>-</v>
          </cell>
          <cell r="L65" t="str">
            <v>-</v>
          </cell>
          <cell r="M65" t="str">
            <v>$/MW-year</v>
          </cell>
          <cell r="AD65" t="str">
            <v>$/MW-year</v>
          </cell>
        </row>
        <row r="66">
          <cell r="B66" t="str">
            <v>resource</v>
          </cell>
          <cell r="L66" t="str">
            <v>new_build</v>
          </cell>
          <cell r="M66" t="str">
            <v>inv_cost_per_mwyr</v>
          </cell>
          <cell r="AD66" t="str">
            <v>fixed_om_cost_per_mwyr</v>
          </cell>
        </row>
        <row r="67">
          <cell r="A67" t="str">
            <v>4-hr Battery</v>
          </cell>
          <cell r="B67" t="str">
            <v>Battery - Planned:0</v>
          </cell>
          <cell r="L67" t="b">
            <v>0</v>
          </cell>
          <cell r="M67">
            <v>0</v>
          </cell>
          <cell r="AD67">
            <v>0</v>
          </cell>
        </row>
        <row r="68">
          <cell r="A68" t="str">
            <v>4-hr Battery</v>
          </cell>
          <cell r="B68" t="str">
            <v>4-hr Battery - New Generic</v>
          </cell>
          <cell r="L68" t="b">
            <v>0</v>
          </cell>
          <cell r="M68">
            <v>98319.034976507741</v>
          </cell>
          <cell r="AD68">
            <v>38775</v>
          </cell>
        </row>
        <row r="69">
          <cell r="A69" t="str">
            <v>8-hr Battery</v>
          </cell>
          <cell r="B69" t="str">
            <v>8-hr Battery - New Generic</v>
          </cell>
          <cell r="L69" t="b">
            <v>0</v>
          </cell>
          <cell r="M69">
            <v>176861.0769976679</v>
          </cell>
          <cell r="AD69">
            <v>69767</v>
          </cell>
        </row>
        <row r="70">
          <cell r="A70" t="str">
            <v>100-hr Battery</v>
          </cell>
          <cell r="B70" t="str">
            <v>100-hr Storage - New Generic</v>
          </cell>
          <cell r="L70" t="b">
            <v>0</v>
          </cell>
          <cell r="M70">
            <v>195029.32057975198</v>
          </cell>
          <cell r="AD70">
            <v>33756.929308975377</v>
          </cell>
        </row>
        <row r="72">
          <cell r="B72" t="str">
            <v>Must_run.csv</v>
          </cell>
        </row>
        <row r="73">
          <cell r="B73" t="str">
            <v>Resource Name</v>
          </cell>
          <cell r="L73" t="str">
            <v>Can Build New</v>
          </cell>
          <cell r="M73" t="str">
            <v>Investment Cost</v>
          </cell>
          <cell r="AD73" t="str">
            <v>Fixed O&amp;M Cost</v>
          </cell>
        </row>
        <row r="74">
          <cell r="B74" t="str">
            <v>-</v>
          </cell>
          <cell r="L74" t="str">
            <v>-</v>
          </cell>
          <cell r="M74" t="str">
            <v>$/MW-year</v>
          </cell>
          <cell r="AD74" t="str">
            <v>$/MW-year</v>
          </cell>
        </row>
        <row r="75">
          <cell r="B75" t="str">
            <v>resource</v>
          </cell>
          <cell r="L75" t="str">
            <v>new_build</v>
          </cell>
          <cell r="M75" t="str">
            <v>inv_cost_per_mwyr</v>
          </cell>
          <cell r="AD75" t="str">
            <v>fixed_om_cost_per_mwyr</v>
          </cell>
        </row>
        <row r="76">
          <cell r="A76" t="str">
            <v>Biogas</v>
          </cell>
          <cell r="B76" t="str">
            <v>EKPC Biogas - Existing:0</v>
          </cell>
          <cell r="L76" t="b">
            <v>0</v>
          </cell>
          <cell r="M76">
            <v>0</v>
          </cell>
          <cell r="AD76">
            <v>164000</v>
          </cell>
        </row>
      </sheetData>
      <sheetData sheetId="15"/>
      <sheetData sheetId="16"/>
      <sheetData sheetId="17"/>
      <sheetData sheetId="18"/>
      <sheetData sheetId="19"/>
      <sheetData sheetId="20">
        <row r="17">
          <cell r="B17">
            <v>2025</v>
          </cell>
          <cell r="C17">
            <v>2026</v>
          </cell>
          <cell r="D17">
            <v>2027</v>
          </cell>
          <cell r="E17">
            <v>2028</v>
          </cell>
          <cell r="F17">
            <v>2029</v>
          </cell>
          <cell r="G17">
            <v>2030</v>
          </cell>
          <cell r="H17">
            <v>2031</v>
          </cell>
          <cell r="I17">
            <v>2032</v>
          </cell>
          <cell r="J17">
            <v>2033</v>
          </cell>
          <cell r="K17">
            <v>2034</v>
          </cell>
          <cell r="L17">
            <v>2035</v>
          </cell>
          <cell r="M17">
            <v>2036</v>
          </cell>
          <cell r="N17">
            <v>2037</v>
          </cell>
          <cell r="O17">
            <v>2038</v>
          </cell>
          <cell r="P17">
            <v>2039</v>
          </cell>
          <cell r="Q17">
            <v>2040</v>
          </cell>
          <cell r="R17">
            <v>2041</v>
          </cell>
          <cell r="S17">
            <v>2042</v>
          </cell>
          <cell r="T17">
            <v>2043</v>
          </cell>
          <cell r="U17">
            <v>2044</v>
          </cell>
          <cell r="V17">
            <v>2045</v>
          </cell>
          <cell r="W17">
            <v>2046</v>
          </cell>
          <cell r="X17">
            <v>2047</v>
          </cell>
          <cell r="Y17">
            <v>2048</v>
          </cell>
          <cell r="Z17">
            <v>2049</v>
          </cell>
          <cell r="AA17">
            <v>2050</v>
          </cell>
        </row>
        <row r="18">
          <cell r="A18" t="str">
            <v>4-hr Battery - New Generic</v>
          </cell>
          <cell r="B18">
            <v>98319.034976507741</v>
          </cell>
          <cell r="C18">
            <v>93359.339407093386</v>
          </cell>
          <cell r="D18">
            <v>88399.279981183441</v>
          </cell>
          <cell r="E18">
            <v>83438.813206015431</v>
          </cell>
          <cell r="F18">
            <v>78477.886791427518</v>
          </cell>
          <cell r="G18">
            <v>73516.441033718656</v>
          </cell>
          <cell r="H18">
            <v>71534.312163931085</v>
          </cell>
          <cell r="I18">
            <v>69552.245271329884</v>
          </cell>
          <cell r="J18">
            <v>67570.242530553078</v>
          </cell>
          <cell r="K18">
            <v>65588.306412780337</v>
          </cell>
          <cell r="L18">
            <v>63606.439389191422</v>
          </cell>
          <cell r="M18">
            <v>61624.644721743411</v>
          </cell>
          <cell r="N18">
            <v>59642.9250793104</v>
          </cell>
          <cell r="O18">
            <v>57661.283921543967</v>
          </cell>
          <cell r="P18">
            <v>55679.724115012476</v>
          </cell>
          <cell r="Q18">
            <v>53698.249613603468</v>
          </cell>
          <cell r="R18">
            <v>51716.8635804269</v>
          </cell>
          <cell r="S18">
            <v>49735.570167064609</v>
          </cell>
          <cell r="T18">
            <v>47754.373722792894</v>
          </cell>
          <cell r="U18">
            <v>45773.278695735098</v>
          </cell>
          <cell r="V18">
            <v>43792.289534014686</v>
          </cell>
          <cell r="W18">
            <v>41811.410883449411</v>
          </cell>
          <cell r="X18">
            <v>39830.648576023363</v>
          </cell>
          <cell r="Y18">
            <v>37850.007850637441</v>
          </cell>
          <cell r="Z18">
            <v>35869.495231205947</v>
          </cell>
          <cell r="AA18">
            <v>33889.116253171422</v>
          </cell>
        </row>
        <row r="19">
          <cell r="A19" t="str">
            <v>8-hr Battery - New Generic</v>
          </cell>
          <cell r="B19">
            <v>176861.0769976679</v>
          </cell>
          <cell r="C19">
            <v>166843.76625375586</v>
          </cell>
          <cell r="D19">
            <v>156816.36627630499</v>
          </cell>
          <cell r="E19">
            <v>146777.65847719292</v>
          </cell>
          <cell r="F19">
            <v>136726.21659035713</v>
          </cell>
          <cell r="G19">
            <v>126660.36772600345</v>
          </cell>
          <cell r="H19">
            <v>122909.1470255934</v>
          </cell>
          <cell r="I19">
            <v>119159.63905039408</v>
          </cell>
          <cell r="J19">
            <v>115411.91002802079</v>
          </cell>
          <cell r="K19">
            <v>111666.03004112904</v>
          </cell>
          <cell r="L19">
            <v>107922.07273087345</v>
          </cell>
          <cell r="M19">
            <v>104180.11687846189</v>
          </cell>
          <cell r="N19">
            <v>100440.24423051823</v>
          </cell>
          <cell r="O19">
            <v>96702.54206910872</v>
          </cell>
          <cell r="P19">
            <v>92967.101432492505</v>
          </cell>
          <cell r="Q19">
            <v>89234.019981690464</v>
          </cell>
          <cell r="R19">
            <v>85503.399331611014</v>
          </cell>
          <cell r="S19">
            <v>81775.348411854196</v>
          </cell>
          <cell r="T19">
            <v>78049.982675934647</v>
          </cell>
          <cell r="U19">
            <v>74327.424397822761</v>
          </cell>
          <cell r="V19">
            <v>70607.802573097637</v>
          </cell>
          <cell r="W19">
            <v>66891.254302807793</v>
          </cell>
          <cell r="X19">
            <v>63177.926968109176</v>
          </cell>
          <cell r="Y19">
            <v>59467.975660238379</v>
          </cell>
          <cell r="Z19">
            <v>55761.567430941512</v>
          </cell>
          <cell r="AA19">
            <v>52058.877832822873</v>
          </cell>
        </row>
        <row r="20">
          <cell r="A20" t="str">
            <v>100-hr Storage - New Generic</v>
          </cell>
          <cell r="B20">
            <v>195029.32057975198</v>
          </cell>
          <cell r="C20">
            <v>185774.25845278823</v>
          </cell>
          <cell r="D20">
            <v>176520.18479769537</v>
          </cell>
          <cell r="E20">
            <v>167167.26395551546</v>
          </cell>
          <cell r="F20">
            <v>157913.19030042258</v>
          </cell>
          <cell r="G20">
            <v>148658.1281734588</v>
          </cell>
          <cell r="H20">
            <v>141617.24303724576</v>
          </cell>
          <cell r="I20">
            <v>134476.52224207475</v>
          </cell>
          <cell r="J20">
            <v>127435.63710586175</v>
          </cell>
          <cell r="K20">
            <v>120394.75196964864</v>
          </cell>
          <cell r="L20">
            <v>113352.87836156477</v>
          </cell>
          <cell r="M20">
            <v>112817.12660755272</v>
          </cell>
          <cell r="N20">
            <v>112280.3863816699</v>
          </cell>
          <cell r="O20">
            <v>111743.64615578702</v>
          </cell>
          <cell r="P20">
            <v>111206.90592990414</v>
          </cell>
          <cell r="Q20">
            <v>110670.16570402129</v>
          </cell>
          <cell r="R20">
            <v>110670.16570402129</v>
          </cell>
          <cell r="S20">
            <v>110670.16570402129</v>
          </cell>
          <cell r="T20">
            <v>110670.16570402129</v>
          </cell>
          <cell r="U20">
            <v>110670.16570402129</v>
          </cell>
          <cell r="V20">
            <v>110670.16570402129</v>
          </cell>
          <cell r="W20">
            <v>110670.16570402129</v>
          </cell>
          <cell r="X20">
            <v>110670.16570402129</v>
          </cell>
          <cell r="Y20">
            <v>110670.16570402129</v>
          </cell>
          <cell r="Z20">
            <v>110670.16570402129</v>
          </cell>
          <cell r="AA20">
            <v>110670.16570402129</v>
          </cell>
        </row>
        <row r="21">
          <cell r="A21" t="str">
            <v>Nuclear - Planned:0</v>
          </cell>
          <cell r="B21">
            <v>999000</v>
          </cell>
          <cell r="C21">
            <v>999000</v>
          </cell>
          <cell r="D21">
            <v>999000</v>
          </cell>
          <cell r="E21">
            <v>999000</v>
          </cell>
          <cell r="F21">
            <v>999000</v>
          </cell>
          <cell r="G21">
            <v>999000</v>
          </cell>
          <cell r="H21">
            <v>999000</v>
          </cell>
          <cell r="I21">
            <v>999000</v>
          </cell>
          <cell r="J21">
            <v>999000</v>
          </cell>
          <cell r="K21">
            <v>999000</v>
          </cell>
          <cell r="L21">
            <v>273761.21188365849</v>
          </cell>
          <cell r="M21">
            <v>269848.32903271867</v>
          </cell>
          <cell r="N21">
            <v>265968.74731242529</v>
          </cell>
          <cell r="O21">
            <v>262420.3268357811</v>
          </cell>
          <cell r="P21">
            <v>258265.70244385357</v>
          </cell>
          <cell r="Q21">
            <v>254663.01345800809</v>
          </cell>
          <cell r="R21">
            <v>251440.20403657225</v>
          </cell>
          <cell r="S21">
            <v>247628.45795278065</v>
          </cell>
          <cell r="T21">
            <v>244263.81038229557</v>
          </cell>
          <cell r="U21">
            <v>240621.6533897582</v>
          </cell>
          <cell r="V21">
            <v>236740.83829425569</v>
          </cell>
          <cell r="W21">
            <v>232940.19258734607</v>
          </cell>
          <cell r="X21">
            <v>229338.73697670974</v>
          </cell>
          <cell r="Y21">
            <v>225642.31147497101</v>
          </cell>
          <cell r="Z21">
            <v>221593.75735102789</v>
          </cell>
          <cell r="AA21">
            <v>215495.33362952393</v>
          </cell>
        </row>
        <row r="22">
          <cell r="A22" t="str">
            <v>CCGT - New Generic</v>
          </cell>
          <cell r="B22">
            <v>135671.27300342487</v>
          </cell>
          <cell r="C22">
            <v>135671.27300342487</v>
          </cell>
          <cell r="D22">
            <v>135671.27300342487</v>
          </cell>
          <cell r="E22">
            <v>135671.27300342487</v>
          </cell>
          <cell r="F22">
            <v>135671.27300342487</v>
          </cell>
          <cell r="G22">
            <v>135671.27300342487</v>
          </cell>
          <cell r="H22">
            <v>135671.27300342487</v>
          </cell>
          <cell r="I22">
            <v>135671.27300342487</v>
          </cell>
          <cell r="J22">
            <v>135671.27300342487</v>
          </cell>
          <cell r="K22">
            <v>135671.27300342487</v>
          </cell>
          <cell r="L22">
            <v>135671.27300342487</v>
          </cell>
          <cell r="M22">
            <v>135671.27300342487</v>
          </cell>
          <cell r="N22">
            <v>135671.27300342487</v>
          </cell>
          <cell r="O22">
            <v>135671.27300342487</v>
          </cell>
          <cell r="P22">
            <v>135671.27300342487</v>
          </cell>
          <cell r="Q22">
            <v>135671.27300342487</v>
          </cell>
          <cell r="R22">
            <v>135671.27300342487</v>
          </cell>
          <cell r="S22">
            <v>135671.27300342487</v>
          </cell>
          <cell r="T22">
            <v>135671.27300342487</v>
          </cell>
          <cell r="U22">
            <v>135671.27300342487</v>
          </cell>
          <cell r="V22">
            <v>135671.27300342487</v>
          </cell>
          <cell r="W22">
            <v>135671.27300342487</v>
          </cell>
          <cell r="X22">
            <v>135671.27300342487</v>
          </cell>
          <cell r="Y22">
            <v>135671.27300342487</v>
          </cell>
          <cell r="Z22">
            <v>135671.27300342487</v>
          </cell>
          <cell r="AA22">
            <v>135671.27300342487</v>
          </cell>
        </row>
        <row r="23">
          <cell r="A23" t="str">
            <v>CT - New Generic</v>
          </cell>
          <cell r="B23">
            <v>92503.140684153317</v>
          </cell>
          <cell r="C23">
            <v>92503.140684153317</v>
          </cell>
          <cell r="D23">
            <v>92503.140684153317</v>
          </cell>
          <cell r="E23">
            <v>92503.140684153317</v>
          </cell>
          <cell r="F23">
            <v>92503.140684153317</v>
          </cell>
          <cell r="G23">
            <v>92503.140684153317</v>
          </cell>
          <cell r="H23">
            <v>92503.140684153317</v>
          </cell>
          <cell r="I23">
            <v>92503.140684153317</v>
          </cell>
          <cell r="J23">
            <v>92503.140684153317</v>
          </cell>
          <cell r="K23">
            <v>92503.140684153317</v>
          </cell>
          <cell r="L23">
            <v>92503.140684153317</v>
          </cell>
          <cell r="M23">
            <v>92503.140684153317</v>
          </cell>
          <cell r="N23">
            <v>92503.140684153317</v>
          </cell>
          <cell r="O23">
            <v>92503.140684153317</v>
          </cell>
          <cell r="P23">
            <v>92503.140684153317</v>
          </cell>
          <cell r="Q23">
            <v>92503.140684153317</v>
          </cell>
          <cell r="R23">
            <v>92503.140684153317</v>
          </cell>
          <cell r="S23">
            <v>92503.140684153317</v>
          </cell>
          <cell r="T23">
            <v>92503.140684153317</v>
          </cell>
          <cell r="U23">
            <v>92503.140684153317</v>
          </cell>
          <cell r="V23">
            <v>92503.140684153317</v>
          </cell>
          <cell r="W23">
            <v>92503.140684153317</v>
          </cell>
          <cell r="X23">
            <v>92503.140684153317</v>
          </cell>
          <cell r="Y23">
            <v>92503.140684153317</v>
          </cell>
          <cell r="Z23">
            <v>92503.140684153317</v>
          </cell>
          <cell r="AA23">
            <v>92503.140684153317</v>
          </cell>
        </row>
        <row r="24">
          <cell r="A24" t="str">
            <v>Wind - New Generic:0</v>
          </cell>
          <cell r="B24">
            <v>58639.633326728173</v>
          </cell>
          <cell r="C24">
            <v>56637.424485979536</v>
          </cell>
          <cell r="D24">
            <v>54635.215645230928</v>
          </cell>
          <cell r="E24">
            <v>52633.00680448232</v>
          </cell>
          <cell r="F24">
            <v>50630.797963733683</v>
          </cell>
          <cell r="G24">
            <v>48628.589122985075</v>
          </cell>
          <cell r="H24">
            <v>47718.330916240448</v>
          </cell>
          <cell r="I24">
            <v>46808.072647371671</v>
          </cell>
          <cell r="J24">
            <v>45897.814440627073</v>
          </cell>
          <cell r="K24">
            <v>44987.556233882417</v>
          </cell>
          <cell r="L24">
            <v>44077.298027137811</v>
          </cell>
          <cell r="M24">
            <v>43167.039820393184</v>
          </cell>
          <cell r="N24">
            <v>42256.781613648556</v>
          </cell>
          <cell r="O24">
            <v>41346.52334477978</v>
          </cell>
          <cell r="P24">
            <v>40436.265138035182</v>
          </cell>
          <cell r="Q24">
            <v>39526.006931290525</v>
          </cell>
          <cell r="R24">
            <v>38615.748724545898</v>
          </cell>
          <cell r="S24">
            <v>37705.490517801292</v>
          </cell>
          <cell r="T24">
            <v>36795.232311056665</v>
          </cell>
          <cell r="U24">
            <v>35884.974042187889</v>
          </cell>
          <cell r="V24">
            <v>34974.71583544329</v>
          </cell>
          <cell r="W24">
            <v>34064.457628698663</v>
          </cell>
          <cell r="X24">
            <v>33154.199421954007</v>
          </cell>
          <cell r="Y24">
            <v>32243.941215209405</v>
          </cell>
          <cell r="Z24">
            <v>31333.683008464759</v>
          </cell>
          <cell r="AA24">
            <v>30423.424739596001</v>
          </cell>
        </row>
        <row r="25">
          <cell r="A25" t="str">
            <v>Wind - New Generic:1</v>
          </cell>
          <cell r="B25">
            <v>41779.955062091933</v>
          </cell>
          <cell r="C25">
            <v>39777.74622134331</v>
          </cell>
          <cell r="D25">
            <v>37775.537380594702</v>
          </cell>
          <cell r="E25">
            <v>35773.328539846079</v>
          </cell>
          <cell r="F25">
            <v>33771.119699097457</v>
          </cell>
          <cell r="G25">
            <v>31768.910858348831</v>
          </cell>
          <cell r="H25">
            <v>30858.652651604203</v>
          </cell>
          <cell r="I25">
            <v>29948.394382735445</v>
          </cell>
          <cell r="J25">
            <v>29038.136175990829</v>
          </cell>
          <cell r="K25">
            <v>28127.877969246187</v>
          </cell>
          <cell r="L25">
            <v>27217.61976250157</v>
          </cell>
          <cell r="M25">
            <v>26307.361555756954</v>
          </cell>
          <cell r="N25">
            <v>25397.103349012312</v>
          </cell>
          <cell r="O25">
            <v>24486.845080143554</v>
          </cell>
          <cell r="P25">
            <v>23576.586873398937</v>
          </cell>
          <cell r="Q25">
            <v>22666.328666654295</v>
          </cell>
          <cell r="R25">
            <v>21756.070459909664</v>
          </cell>
          <cell r="S25">
            <v>20845.812253165066</v>
          </cell>
          <cell r="T25">
            <v>19935.55404642042</v>
          </cell>
          <cell r="U25">
            <v>19025.295777551662</v>
          </cell>
          <cell r="V25">
            <v>18115.037570807046</v>
          </cell>
          <cell r="W25">
            <v>17204.779364062419</v>
          </cell>
          <cell r="X25">
            <v>16294.521157317775</v>
          </cell>
          <cell r="Y25">
            <v>15384.26295057316</v>
          </cell>
          <cell r="Z25">
            <v>14474.004743828516</v>
          </cell>
          <cell r="AA25">
            <v>13563.746474959771</v>
          </cell>
        </row>
        <row r="26">
          <cell r="A26" t="str">
            <v>Wind - New Generic:2</v>
          </cell>
          <cell r="B26">
            <v>36789.488322311998</v>
          </cell>
          <cell r="C26">
            <v>34787.279481563361</v>
          </cell>
          <cell r="D26">
            <v>32785.070640814753</v>
          </cell>
          <cell r="E26">
            <v>30782.861800066144</v>
          </cell>
          <cell r="F26">
            <v>28780.652959317507</v>
          </cell>
          <cell r="G26">
            <v>26778.444118568899</v>
          </cell>
          <cell r="H26">
            <v>25868.185911824268</v>
          </cell>
          <cell r="I26">
            <v>24957.927642955496</v>
          </cell>
          <cell r="J26">
            <v>24047.669436210897</v>
          </cell>
          <cell r="K26">
            <v>23137.411229466237</v>
          </cell>
          <cell r="L26">
            <v>22227.153022721639</v>
          </cell>
          <cell r="M26">
            <v>21316.894815977008</v>
          </cell>
          <cell r="N26">
            <v>20406.636609232381</v>
          </cell>
          <cell r="O26">
            <v>19496.378340363604</v>
          </cell>
          <cell r="P26">
            <v>18586.120133619006</v>
          </cell>
          <cell r="Q26">
            <v>17675.861926874346</v>
          </cell>
          <cell r="R26">
            <v>16765.603720129719</v>
          </cell>
          <cell r="S26">
            <v>15855.345513385117</v>
          </cell>
          <cell r="T26">
            <v>14945.087306640487</v>
          </cell>
          <cell r="U26">
            <v>14034.829037771715</v>
          </cell>
          <cell r="V26">
            <v>13124.570831027115</v>
          </cell>
          <cell r="W26">
            <v>12214.312624282486</v>
          </cell>
          <cell r="X26">
            <v>11304.054417537827</v>
          </cell>
          <cell r="Y26">
            <v>10393.796210793227</v>
          </cell>
          <cell r="Z26">
            <v>9483.5380040485834</v>
          </cell>
          <cell r="AA26">
            <v>8573.2797351798235</v>
          </cell>
        </row>
        <row r="27">
          <cell r="A27" t="str">
            <v>Wind - New Generic:3</v>
          </cell>
          <cell r="B27">
            <v>27284.647197848317</v>
          </cell>
          <cell r="C27">
            <v>25282.438357099694</v>
          </cell>
          <cell r="D27">
            <v>23280.229516351086</v>
          </cell>
          <cell r="E27">
            <v>21278.020675602464</v>
          </cell>
          <cell r="F27">
            <v>19275.811834853841</v>
          </cell>
          <cell r="G27">
            <v>17273.602994105218</v>
          </cell>
          <cell r="H27">
            <v>16363.344787360589</v>
          </cell>
          <cell r="I27">
            <v>15453.086518491829</v>
          </cell>
          <cell r="J27">
            <v>14542.828311747215</v>
          </cell>
          <cell r="K27">
            <v>13632.570105002571</v>
          </cell>
          <cell r="L27">
            <v>12722.311898257956</v>
          </cell>
          <cell r="M27">
            <v>11812.053691513342</v>
          </cell>
          <cell r="N27">
            <v>10901.795484768698</v>
          </cell>
          <cell r="O27">
            <v>9991.537215899938</v>
          </cell>
          <cell r="P27">
            <v>9081.2790091553234</v>
          </cell>
          <cell r="Q27">
            <v>8171.0208024106805</v>
          </cell>
          <cell r="R27">
            <v>7260.7625956660513</v>
          </cell>
          <cell r="S27">
            <v>6350.5043889214503</v>
          </cell>
          <cell r="T27">
            <v>5440.2461821768075</v>
          </cell>
          <cell r="U27">
            <v>4529.9879133080485</v>
          </cell>
          <cell r="V27">
            <v>3619.729706563433</v>
          </cell>
          <cell r="W27">
            <v>2709.4714998188037</v>
          </cell>
          <cell r="X27">
            <v>1799.2132930741604</v>
          </cell>
          <cell r="Y27">
            <v>888.95508632954545</v>
          </cell>
          <cell r="Z27">
            <v>-21.303120415097965</v>
          </cell>
          <cell r="AA27">
            <v>-931.5613892838428</v>
          </cell>
        </row>
        <row r="28">
          <cell r="A28" t="str">
            <v>Solar - New Generic:0</v>
          </cell>
          <cell r="B28">
            <v>59031.774600479548</v>
          </cell>
          <cell r="C28">
            <v>55406.428663091931</v>
          </cell>
          <cell r="D28">
            <v>51781.082788348838</v>
          </cell>
          <cell r="E28">
            <v>48155.736850961192</v>
          </cell>
          <cell r="F28">
            <v>44530.390913573581</v>
          </cell>
          <cell r="G28">
            <v>40905.044976185949</v>
          </cell>
          <cell r="H28">
            <v>37279.699101442842</v>
          </cell>
          <cell r="I28">
            <v>33654.353164055225</v>
          </cell>
          <cell r="J28">
            <v>30029.007226667589</v>
          </cell>
          <cell r="K28">
            <v>26403.661351924489</v>
          </cell>
          <cell r="L28">
            <v>22778.31541453685</v>
          </cell>
          <cell r="M28">
            <v>21891.165290256027</v>
          </cell>
          <cell r="N28">
            <v>21004.015228619737</v>
          </cell>
          <cell r="O28">
            <v>20116.8651043389</v>
          </cell>
          <cell r="P28">
            <v>19229.71504270261</v>
          </cell>
          <cell r="Q28">
            <v>18342.564918421795</v>
          </cell>
          <cell r="R28">
            <v>17455.414856785494</v>
          </cell>
          <cell r="S28">
            <v>16568.264732504675</v>
          </cell>
          <cell r="T28">
            <v>15681.114670868383</v>
          </cell>
          <cell r="U28">
            <v>14793.964546587553</v>
          </cell>
          <cell r="V28">
            <v>13906.814484951263</v>
          </cell>
          <cell r="W28">
            <v>13019.66436067044</v>
          </cell>
          <cell r="X28">
            <v>12132.51423638961</v>
          </cell>
          <cell r="Y28">
            <v>11245.364174753327</v>
          </cell>
          <cell r="Z28">
            <v>10358.214050472498</v>
          </cell>
          <cell r="AA28">
            <v>9471.0639888362002</v>
          </cell>
        </row>
        <row r="29">
          <cell r="A29" t="str">
            <v>Solar - New Generic:1</v>
          </cell>
          <cell r="B29">
            <v>67990.695175410248</v>
          </cell>
          <cell r="C29">
            <v>64365.349238022645</v>
          </cell>
          <cell r="D29">
            <v>60740.003363279546</v>
          </cell>
          <cell r="E29">
            <v>57114.657425891884</v>
          </cell>
          <cell r="F29">
            <v>53489.311488504274</v>
          </cell>
          <cell r="G29">
            <v>49863.965551116642</v>
          </cell>
          <cell r="H29">
            <v>46238.61967637355</v>
          </cell>
          <cell r="I29">
            <v>42613.273738985918</v>
          </cell>
          <cell r="J29">
            <v>38987.927801598285</v>
          </cell>
          <cell r="K29">
            <v>35362.581926855193</v>
          </cell>
          <cell r="L29">
            <v>31737.235989467557</v>
          </cell>
          <cell r="M29">
            <v>30850.085865186735</v>
          </cell>
          <cell r="N29">
            <v>29962.935803550437</v>
          </cell>
          <cell r="O29">
            <v>29075.7856792696</v>
          </cell>
          <cell r="P29">
            <v>28188.63561763331</v>
          </cell>
          <cell r="Q29">
            <v>27301.485493352495</v>
          </cell>
          <cell r="R29">
            <v>26414.335431716197</v>
          </cell>
          <cell r="S29">
            <v>25527.185307435375</v>
          </cell>
          <cell r="T29">
            <v>24640.035245799085</v>
          </cell>
          <cell r="U29">
            <v>23752.885121518255</v>
          </cell>
          <cell r="V29">
            <v>22865.735059881965</v>
          </cell>
          <cell r="W29">
            <v>21978.584935601142</v>
          </cell>
          <cell r="X29">
            <v>21091.434811320312</v>
          </cell>
          <cell r="Y29">
            <v>20204.28474968403</v>
          </cell>
          <cell r="Z29">
            <v>19317.1346254032</v>
          </cell>
          <cell r="AA29">
            <v>18429.984563766902</v>
          </cell>
        </row>
        <row r="30">
          <cell r="A30" t="str">
            <v>Solar - New Generic:2</v>
          </cell>
          <cell r="B30">
            <v>74792.108873373305</v>
          </cell>
          <cell r="C30">
            <v>71166.762935985695</v>
          </cell>
          <cell r="D30">
            <v>67541.417061242595</v>
          </cell>
          <cell r="E30">
            <v>63916.071123854948</v>
          </cell>
          <cell r="F30">
            <v>60290.725186467338</v>
          </cell>
          <cell r="G30">
            <v>56665.379249079706</v>
          </cell>
          <cell r="H30">
            <v>53040.033374336599</v>
          </cell>
          <cell r="I30">
            <v>49414.687436948967</v>
          </cell>
          <cell r="J30">
            <v>45789.341499561335</v>
          </cell>
          <cell r="K30">
            <v>42163.995624818243</v>
          </cell>
          <cell r="L30">
            <v>38538.649687430603</v>
          </cell>
          <cell r="M30">
            <v>37651.49956314978</v>
          </cell>
          <cell r="N30">
            <v>36764.34950151349</v>
          </cell>
          <cell r="O30">
            <v>35877.199377232653</v>
          </cell>
          <cell r="P30">
            <v>34990.049315596363</v>
          </cell>
          <cell r="Q30">
            <v>34102.899191315541</v>
          </cell>
          <cell r="R30">
            <v>33215.74912967925</v>
          </cell>
          <cell r="S30">
            <v>32328.599005398431</v>
          </cell>
          <cell r="T30">
            <v>31441.448943762141</v>
          </cell>
          <cell r="U30">
            <v>30554.298819481304</v>
          </cell>
          <cell r="V30">
            <v>29667.148757845014</v>
          </cell>
          <cell r="W30">
            <v>28779.998633564192</v>
          </cell>
          <cell r="X30">
            <v>27892.848509283369</v>
          </cell>
          <cell r="Y30">
            <v>27005.698447647079</v>
          </cell>
          <cell r="Z30">
            <v>26118.548323366256</v>
          </cell>
          <cell r="AA30">
            <v>25231.398261729952</v>
          </cell>
        </row>
        <row r="31">
          <cell r="A31" t="str">
            <v>Solar - New Generic:3</v>
          </cell>
          <cell r="B31">
            <v>80213.848214488622</v>
          </cell>
          <cell r="C31">
            <v>76588.502277101012</v>
          </cell>
          <cell r="D31">
            <v>72963.156402357927</v>
          </cell>
          <cell r="E31">
            <v>69337.810464970258</v>
          </cell>
          <cell r="F31">
            <v>65712.464527582648</v>
          </cell>
          <cell r="G31">
            <v>62087.118590195023</v>
          </cell>
          <cell r="H31">
            <v>58461.772715451923</v>
          </cell>
          <cell r="I31">
            <v>54836.426778064284</v>
          </cell>
          <cell r="J31">
            <v>51211.080840676652</v>
          </cell>
          <cell r="K31">
            <v>47585.73496593356</v>
          </cell>
          <cell r="L31">
            <v>43960.389028545927</v>
          </cell>
          <cell r="M31">
            <v>43073.238904265105</v>
          </cell>
          <cell r="N31">
            <v>42186.088842628815</v>
          </cell>
          <cell r="O31">
            <v>41298.938718347978</v>
          </cell>
          <cell r="P31">
            <v>40411.788656711688</v>
          </cell>
          <cell r="Q31">
            <v>39524.638532430879</v>
          </cell>
          <cell r="R31">
            <v>38637.488470794575</v>
          </cell>
          <cell r="S31">
            <v>37750.338346513752</v>
          </cell>
          <cell r="T31">
            <v>36863.188284877462</v>
          </cell>
          <cell r="U31">
            <v>35976.038160596625</v>
          </cell>
          <cell r="V31">
            <v>35088.888098960349</v>
          </cell>
          <cell r="W31">
            <v>34201.737974679527</v>
          </cell>
          <cell r="X31">
            <v>33314.58785039869</v>
          </cell>
          <cell r="Y31">
            <v>32427.437788762396</v>
          </cell>
          <cell r="Z31">
            <v>31540.287664481573</v>
          </cell>
          <cell r="AA31">
            <v>30653.137602845276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2">
          <cell r="H2" t="str">
            <v>Coal</v>
          </cell>
        </row>
        <row r="3">
          <cell r="H3" t="str">
            <v>Gas Other</v>
          </cell>
        </row>
        <row r="4">
          <cell r="H4" t="str">
            <v>Gas CCGT</v>
          </cell>
        </row>
        <row r="5">
          <cell r="H5" t="str">
            <v>Gas CT</v>
          </cell>
        </row>
        <row r="6">
          <cell r="H6" t="str">
            <v>Nuclear</v>
          </cell>
        </row>
        <row r="7">
          <cell r="H7" t="str">
            <v>Biogas</v>
          </cell>
        </row>
        <row r="8">
          <cell r="H8" t="str">
            <v>Hydro</v>
          </cell>
        </row>
        <row r="9">
          <cell r="H9" t="str">
            <v>Wind</v>
          </cell>
        </row>
        <row r="10">
          <cell r="H10" t="str">
            <v>Solar</v>
          </cell>
        </row>
        <row r="11">
          <cell r="H11" t="str">
            <v>4-hr Battery</v>
          </cell>
        </row>
        <row r="12">
          <cell r="H12" t="str">
            <v>8-hr Battery</v>
          </cell>
        </row>
        <row r="13">
          <cell r="H13" t="str">
            <v>100-hr Battery</v>
          </cell>
        </row>
        <row r="14">
          <cell r="H14" t="str">
            <v>Capacity Purchase</v>
          </cell>
        </row>
      </sheetData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&amp;R Table and Plot"/>
      <sheetName val="Load Forecasts"/>
      <sheetName val="Load Profiles"/>
      <sheetName val="Resources"/>
      <sheetName val="Sheet2"/>
      <sheetName val="Resource Profiles"/>
      <sheetName val="PRM &amp; ELCCs"/>
      <sheetName val="EIA 923"/>
      <sheetName val="out_eia923__monthly_fuel_receip"/>
      <sheetName val="GenX Formatted →"/>
      <sheetName val="GenX Settings"/>
      <sheetName val="GenX System"/>
      <sheetName val="GenX Fuels"/>
      <sheetName val="GenX Loads"/>
      <sheetName val="GenX Resources"/>
      <sheetName val="GenX Policies"/>
      <sheetName val="Sheet1"/>
      <sheetName val="GenX Results"/>
      <sheetName val="IRP Plan"/>
      <sheetName val="External Data →"/>
      <sheetName val="Technology Defaults"/>
      <sheetName val="EIA 860"/>
      <sheetName val="EIA 923 Yearly Fuel Receipts"/>
      <sheetName val="EIA Yearly CFs"/>
      <sheetName val="EPA CEMS"/>
      <sheetName val="CEG Additions &amp; Retirements"/>
      <sheetName val="NREL ReEDS BA Limits"/>
      <sheetName val="Misc. →"/>
      <sheetName val="Data Summary"/>
      <sheetName val="Lists"/>
      <sheetName val="xlwings.conf"/>
    </sheetNames>
    <sheetDataSet>
      <sheetData sheetId="0">
        <row r="74">
          <cell r="M74">
            <v>12126.596785999998</v>
          </cell>
        </row>
      </sheetData>
      <sheetData sheetId="1"/>
      <sheetData sheetId="2"/>
      <sheetData sheetId="3"/>
      <sheetData sheetId="4"/>
      <sheetData sheetId="5">
        <row r="5">
          <cell r="C5" t="str">
            <v>Time_Index</v>
          </cell>
          <cell r="D5" t="str">
            <v>Wind:0</v>
          </cell>
          <cell r="E5" t="str">
            <v>Solar:0</v>
          </cell>
          <cell r="F5" t="str">
            <v>Wind - New Generic:0</v>
          </cell>
          <cell r="G5" t="str">
            <v>Wind - New Generic:1</v>
          </cell>
          <cell r="H5" t="str">
            <v>Wind - New Generic:2</v>
          </cell>
          <cell r="I5" t="str">
            <v>Wind - New Generic:3</v>
          </cell>
          <cell r="J5" t="str">
            <v>Solar - New Generic:0</v>
          </cell>
          <cell r="K5" t="str">
            <v>Solar - New Generic:1</v>
          </cell>
          <cell r="L5" t="str">
            <v>Solar - New Generic:2</v>
          </cell>
          <cell r="M5" t="str">
            <v>Solar - New Generic:3</v>
          </cell>
          <cell r="N5" t="str">
            <v>EKPC Biogas - Existing:0</v>
          </cell>
        </row>
      </sheetData>
      <sheetData sheetId="6">
        <row r="9">
          <cell r="C9">
            <v>2025</v>
          </cell>
        </row>
      </sheetData>
      <sheetData sheetId="7"/>
      <sheetData sheetId="8"/>
      <sheetData sheetId="9"/>
      <sheetData sheetId="10">
        <row r="9">
          <cell r="C9" t="b">
            <v>0</v>
          </cell>
        </row>
        <row r="10">
          <cell r="C10" t="b">
            <v>1</v>
          </cell>
        </row>
        <row r="11">
          <cell r="C11" t="b">
            <v>1</v>
          </cell>
        </row>
        <row r="12">
          <cell r="C12" t="b">
            <v>1</v>
          </cell>
        </row>
        <row r="13">
          <cell r="C13" t="str">
            <v>IRA</v>
          </cell>
        </row>
        <row r="14">
          <cell r="C14" t="str">
            <v>High</v>
          </cell>
        </row>
        <row r="15">
          <cell r="C15" t="b">
            <v>1</v>
          </cell>
        </row>
        <row r="16">
          <cell r="C16" t="b">
            <v>1</v>
          </cell>
        </row>
        <row r="18">
          <cell r="C18">
            <v>2028</v>
          </cell>
        </row>
        <row r="19">
          <cell r="C19">
            <v>2050</v>
          </cell>
        </row>
        <row r="20">
          <cell r="C20">
            <v>10000</v>
          </cell>
        </row>
        <row r="21">
          <cell r="C21">
            <v>0</v>
          </cell>
        </row>
        <row r="22">
          <cell r="C22" t="b">
            <v>0</v>
          </cell>
        </row>
        <row r="23">
          <cell r="C23">
            <v>25000</v>
          </cell>
        </row>
        <row r="24">
          <cell r="C24">
            <v>2025</v>
          </cell>
        </row>
        <row r="26">
          <cell r="C26">
            <v>0</v>
          </cell>
        </row>
        <row r="27">
          <cell r="C27" t="b">
            <v>0</v>
          </cell>
        </row>
        <row r="33">
          <cell r="H33">
            <v>2050</v>
          </cell>
        </row>
        <row r="34">
          <cell r="C34" t="b">
            <v>0</v>
          </cell>
        </row>
        <row r="35">
          <cell r="C35">
            <v>35064</v>
          </cell>
        </row>
        <row r="42">
          <cell r="H42">
            <v>0.05</v>
          </cell>
        </row>
      </sheetData>
      <sheetData sheetId="11">
        <row r="17">
          <cell r="C17" t="str">
            <v>z1</v>
          </cell>
        </row>
        <row r="18">
          <cell r="C18" t="str">
            <v>z2</v>
          </cell>
        </row>
        <row r="19">
          <cell r="C19" t="str">
            <v>z3</v>
          </cell>
        </row>
        <row r="20">
          <cell r="C20" t="str">
            <v>z4</v>
          </cell>
        </row>
      </sheetData>
      <sheetData sheetId="12">
        <row r="6">
          <cell r="AR6" t="str">
            <v>Time_Index</v>
          </cell>
          <cell r="AS6" t="str">
            <v>Natural Gas</v>
          </cell>
          <cell r="AT6" t="str">
            <v>Steam Coal</v>
          </cell>
          <cell r="AU6" t="str">
            <v>Uranium</v>
          </cell>
          <cell r="AV6" t="str">
            <v>Steam Coal - Big Rivers Wilson</v>
          </cell>
          <cell r="AW6" t="str">
            <v>Steam Coal - Duke East Bend</v>
          </cell>
          <cell r="AX6" t="str">
            <v>Steam Coal - EKPC Cooper 1-2</v>
          </cell>
          <cell r="AY6" t="str">
            <v>Steam Coal - EKPC Spurlock</v>
          </cell>
          <cell r="AZ6" t="str">
            <v>Steam Coal - LGE Brown 3</v>
          </cell>
          <cell r="BA6" t="str">
            <v>Steam Coal - LGE Ghent 1-4</v>
          </cell>
          <cell r="BB6" t="str">
            <v>Steam Coal - LGE Mill Creek 1-4</v>
          </cell>
          <cell r="BC6" t="str">
            <v>Steam Coal - LGE Trimble 1-2</v>
          </cell>
          <cell r="BD6" t="str">
            <v>Natural Gas - Big Rivers Green 1-2</v>
          </cell>
          <cell r="BE6" t="str">
            <v>Natural Gas - Big Rivers Reid</v>
          </cell>
          <cell r="BF6" t="str">
            <v>Natural Gas - Duke Woodsdale 1-6</v>
          </cell>
          <cell r="BG6" t="str">
            <v>Natural Gas - EKPC Bluegrass 1-3</v>
          </cell>
          <cell r="BH6" t="str">
            <v>Natural Gas - EKPC Smith 1-10</v>
          </cell>
          <cell r="BI6" t="str">
            <v>Natural Gas - LGE Cane Run 7</v>
          </cell>
          <cell r="BJ6" t="str">
            <v>Natural Gas - LGE Haefling 1-2</v>
          </cell>
          <cell r="BK6" t="str">
            <v>Natural Gas - LGE Paddys Run 12-13</v>
          </cell>
        </row>
      </sheetData>
      <sheetData sheetId="13">
        <row r="10">
          <cell r="I10" t="str">
            <v>Time_Index</v>
          </cell>
          <cell r="J10" t="str">
            <v>Demand_MW_z1</v>
          </cell>
          <cell r="K10" t="str">
            <v>Demand_MW_z2</v>
          </cell>
          <cell r="L10" t="str">
            <v>Demand_MW_z3</v>
          </cell>
          <cell r="M10" t="str">
            <v>Demand_MW_z4</v>
          </cell>
        </row>
      </sheetData>
      <sheetData sheetId="14">
        <row r="3">
          <cell r="B3">
            <v>2050</v>
          </cell>
        </row>
      </sheetData>
      <sheetData sheetId="15"/>
      <sheetData sheetId="16" refreshError="1"/>
      <sheetData sheetId="17">
        <row r="42">
          <cell r="H42">
            <v>2025</v>
          </cell>
        </row>
      </sheetData>
      <sheetData sheetId="18">
        <row r="42">
          <cell r="E42">
            <v>2025</v>
          </cell>
        </row>
      </sheetData>
      <sheetData sheetId="19"/>
      <sheetData sheetId="20">
        <row r="17">
          <cell r="B17">
            <v>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2">
          <cell r="H2" t="str">
            <v>Coal</v>
          </cell>
        </row>
        <row r="3">
          <cell r="H3" t="str">
            <v>Gas Other</v>
          </cell>
        </row>
        <row r="4">
          <cell r="H4" t="str">
            <v>Gas CCGT</v>
          </cell>
        </row>
        <row r="5">
          <cell r="H5" t="str">
            <v>Gas CT</v>
          </cell>
        </row>
        <row r="6">
          <cell r="H6" t="str">
            <v>Nuclear</v>
          </cell>
        </row>
        <row r="7">
          <cell r="H7" t="str">
            <v>Biogas</v>
          </cell>
        </row>
        <row r="8">
          <cell r="H8" t="str">
            <v>Hydro</v>
          </cell>
        </row>
        <row r="9">
          <cell r="H9" t="str">
            <v>Wind</v>
          </cell>
        </row>
        <row r="10">
          <cell r="H10" t="str">
            <v>Solar</v>
          </cell>
        </row>
        <row r="11">
          <cell r="H11" t="str">
            <v>4-hr Battery</v>
          </cell>
        </row>
        <row r="12">
          <cell r="H12" t="str">
            <v>8-hr Battery</v>
          </cell>
        </row>
        <row r="13">
          <cell r="H13" t="str">
            <v>100-hr Battery</v>
          </cell>
        </row>
        <row r="14">
          <cell r="H14" t="str">
            <v>Capacity Purchase</v>
          </cell>
        </row>
      </sheetData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Resilient Transition">
      <a:dk1>
        <a:srgbClr val="000000"/>
      </a:dk1>
      <a:lt1>
        <a:srgbClr val="FFFFFF"/>
      </a:lt1>
      <a:dk2>
        <a:srgbClr val="595959"/>
      </a:dk2>
      <a:lt2>
        <a:srgbClr val="EEEEEE"/>
      </a:lt2>
      <a:accent1>
        <a:srgbClr val="00544F"/>
      </a:accent1>
      <a:accent2>
        <a:srgbClr val="D8F3DC"/>
      </a:accent2>
      <a:accent3>
        <a:srgbClr val="EEEEEE"/>
      </a:accent3>
      <a:accent4>
        <a:srgbClr val="E69138"/>
      </a:accent4>
      <a:accent5>
        <a:srgbClr val="0097A7"/>
      </a:accent5>
      <a:accent6>
        <a:srgbClr val="EEFF41"/>
      </a:accent6>
      <a:hlink>
        <a:srgbClr val="0097A7"/>
      </a:hlink>
      <a:folHlink>
        <a:srgbClr val="D783F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137C9-12B6-604B-A81C-42EAA0521FAB}">
  <sheetPr codeName="Sheet1"/>
  <dimension ref="A1:AE232"/>
  <sheetViews>
    <sheetView zoomScaleNormal="136" workbookViewId="0">
      <selection activeCell="B25" sqref="B25"/>
    </sheetView>
  </sheetViews>
  <sheetFormatPr baseColWidth="10" defaultRowHeight="16" x14ac:dyDescent="0.2"/>
  <cols>
    <col min="1" max="1" width="33.83203125" customWidth="1"/>
    <col min="2" max="2" width="31" bestFit="1" customWidth="1"/>
    <col min="3" max="3" width="31" customWidth="1"/>
    <col min="4" max="4" width="6" bestFit="1" customWidth="1"/>
  </cols>
  <sheetData>
    <row r="1" spans="1:1" s="1" customFormat="1" x14ac:dyDescent="0.2">
      <c r="A1" s="1" t="s">
        <v>109</v>
      </c>
    </row>
    <row r="2" spans="1:1" s="1" customFormat="1" x14ac:dyDescent="0.2">
      <c r="A2" s="29" t="str">
        <f>SUBSTITUTE(A1,"summary","")</f>
        <v>TotalBuild</v>
      </c>
    </row>
    <row r="3" spans="1:1" s="1" customFormat="1" x14ac:dyDescent="0.2"/>
    <row r="4" spans="1:1" s="1" customFormat="1" x14ac:dyDescent="0.2"/>
    <row r="5" spans="1:1" s="1" customFormat="1" x14ac:dyDescent="0.2"/>
    <row r="6" spans="1:1" s="1" customFormat="1" x14ac:dyDescent="0.2"/>
    <row r="7" spans="1:1" s="1" customFormat="1" x14ac:dyDescent="0.2"/>
    <row r="8" spans="1:1" s="1" customFormat="1" x14ac:dyDescent="0.2"/>
    <row r="9" spans="1:1" s="1" customFormat="1" x14ac:dyDescent="0.2"/>
    <row r="10" spans="1:1" s="1" customFormat="1" x14ac:dyDescent="0.2"/>
    <row r="11" spans="1:1" s="1" customFormat="1" x14ac:dyDescent="0.2"/>
    <row r="12" spans="1:1" s="1" customFormat="1" x14ac:dyDescent="0.2"/>
    <row r="13" spans="1:1" s="1" customFormat="1" x14ac:dyDescent="0.2"/>
    <row r="14" spans="1:1" s="1" customFormat="1" x14ac:dyDescent="0.2"/>
    <row r="15" spans="1:1" s="1" customFormat="1" x14ac:dyDescent="0.2"/>
    <row r="16" spans="1:1" s="1" customFormat="1" x14ac:dyDescent="0.2"/>
    <row r="17" spans="1:31" s="1" customFormat="1" x14ac:dyDescent="0.2"/>
    <row r="18" spans="1:31" s="1" customFormat="1" x14ac:dyDescent="0.2"/>
    <row r="19" spans="1:31" s="1" customFormat="1" x14ac:dyDescent="0.2"/>
    <row r="20" spans="1:31" s="1" customFormat="1" x14ac:dyDescent="0.2"/>
    <row r="21" spans="1:31" s="1" customFormat="1" x14ac:dyDescent="0.2"/>
    <row r="22" spans="1:31" s="1" customFormat="1" x14ac:dyDescent="0.2"/>
    <row r="23" spans="1:31" s="1" customFormat="1" x14ac:dyDescent="0.2"/>
    <row r="24" spans="1:31" s="1" customFormat="1" x14ac:dyDescent="0.2"/>
    <row r="25" spans="1:31" s="1" customFormat="1" x14ac:dyDescent="0.2"/>
    <row r="26" spans="1:31" s="1" customFormat="1" x14ac:dyDescent="0.2"/>
    <row r="27" spans="1:31" s="1" customFormat="1" x14ac:dyDescent="0.2"/>
    <row r="28" spans="1:31" s="1" customFormat="1" x14ac:dyDescent="0.2"/>
    <row r="29" spans="1:31" s="1" customFormat="1" x14ac:dyDescent="0.2"/>
    <row r="30" spans="1:31" x14ac:dyDescent="0.2">
      <c r="A30" s="30" t="s">
        <v>107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31" s="1" customFormat="1" x14ac:dyDescent="0.2">
      <c r="A31" s="1" t="str" cm="1">
        <f t="array" aca="1" ref="A31" ca="1">IFERROR(INDEX(MID(SheetNames,FIND("]",SheetNames)+1,255),ROWS(A$31:A31)),"")</f>
        <v>Summary</v>
      </c>
      <c r="E31" s="1" t="s">
        <v>0</v>
      </c>
      <c r="F31" s="1" t="s">
        <v>1</v>
      </c>
      <c r="G31" s="1" t="s">
        <v>2</v>
      </c>
      <c r="H31" s="1" t="s">
        <v>3</v>
      </c>
      <c r="I31" s="1" t="s">
        <v>4</v>
      </c>
      <c r="J31" s="1" t="s">
        <v>5</v>
      </c>
      <c r="K31" s="1" t="s">
        <v>6</v>
      </c>
      <c r="L31" s="1" t="s">
        <v>7</v>
      </c>
      <c r="M31" s="1" t="s">
        <v>8</v>
      </c>
      <c r="N31" s="1" t="s">
        <v>9</v>
      </c>
      <c r="O31" s="1" t="s">
        <v>10</v>
      </c>
      <c r="P31" s="1" t="s">
        <v>11</v>
      </c>
      <c r="Q31" s="1" t="s">
        <v>12</v>
      </c>
      <c r="R31" s="1" t="str">
        <f>" "</f>
        <v xml:space="preserve"> </v>
      </c>
      <c r="U31" s="1" t="s">
        <v>16</v>
      </c>
      <c r="V31" s="1" t="s">
        <v>17</v>
      </c>
      <c r="W31" s="1" t="s">
        <v>19</v>
      </c>
      <c r="X31" s="1" t="s">
        <v>21</v>
      </c>
      <c r="Y31" s="1" t="s">
        <v>115</v>
      </c>
      <c r="AA31" s="1" t="s">
        <v>108</v>
      </c>
      <c r="AC31" s="1" t="s">
        <v>116</v>
      </c>
      <c r="AD31" s="1" t="s">
        <v>117</v>
      </c>
      <c r="AE31" s="1" t="s">
        <v>118</v>
      </c>
    </row>
    <row r="32" spans="1:31" s="1" customFormat="1" x14ac:dyDescent="0.2">
      <c r="A32" s="29" t="str" cm="1">
        <f t="array" aca="1" ref="A32" ca="1">IFERROR(INDEX(MID(SheetNames,FIND("]",SheetNames)+1,255),ROWS(A$31:A32)),"")</f>
        <v>IRP Plan (default)</v>
      </c>
      <c r="B32" s="1" t="s">
        <v>114</v>
      </c>
      <c r="D32" s="29">
        <v>2025</v>
      </c>
      <c r="E32" s="32" t="e">
        <f t="shared" ref="E32:Q41" ca="1" si="0">INDEX(INDIRECT("'"&amp;$B32&amp;"'!"&amp;$A$1),MATCH(E$31,INDIRECT("'"&amp;$B32&amp;"'!G43:G55"),0),MATCH($D32,INDIRECT("'"&amp;$B32&amp;"'!H42:AG42")))</f>
        <v>#REF!</v>
      </c>
      <c r="F32" s="32" t="e">
        <f t="shared" ca="1" si="0"/>
        <v>#REF!</v>
      </c>
      <c r="G32" s="32" t="e">
        <f t="shared" ca="1" si="0"/>
        <v>#REF!</v>
      </c>
      <c r="H32" s="32" t="e">
        <f t="shared" ca="1" si="0"/>
        <v>#REF!</v>
      </c>
      <c r="I32" s="32" t="e">
        <f t="shared" ca="1" si="0"/>
        <v>#REF!</v>
      </c>
      <c r="J32" s="32" t="e">
        <f t="shared" ca="1" si="0"/>
        <v>#REF!</v>
      </c>
      <c r="K32" s="32" t="e">
        <f t="shared" ca="1" si="0"/>
        <v>#REF!</v>
      </c>
      <c r="L32" s="32" t="e">
        <f t="shared" ca="1" si="0"/>
        <v>#REF!</v>
      </c>
      <c r="M32" s="32" t="e">
        <f t="shared" ca="1" si="0"/>
        <v>#REF!</v>
      </c>
      <c r="N32" s="32" t="e">
        <f t="shared" ca="1" si="0"/>
        <v>#REF!</v>
      </c>
      <c r="O32" s="32" t="e">
        <f t="shared" ca="1" si="0"/>
        <v>#REF!</v>
      </c>
      <c r="P32" s="32" t="e">
        <f t="shared" ca="1" si="0"/>
        <v>#REF!</v>
      </c>
      <c r="Q32" s="32" t="e">
        <f t="shared" ca="1" si="0"/>
        <v>#REF!</v>
      </c>
      <c r="R32" s="1">
        <v>0</v>
      </c>
      <c r="S32" s="29">
        <f t="shared" ref="S32:S37" si="1">C32</f>
        <v>0</v>
      </c>
      <c r="T32" s="29">
        <f t="shared" ref="T32:T37" si="2">D32</f>
        <v>2025</v>
      </c>
      <c r="U32" s="32" t="e">
        <f ca="1">INDEX(INDIRECT("'"&amp;$B32&amp;"'!summaryCosts"),MATCH(U$31,INDIRECT("'"&amp;$B32&amp;"'!EU43:EU46"),0),MATCH($D32,INDIRECT("'"&amp;$B32&amp;"'!EV42:FU42"),0))</f>
        <v>#REF!</v>
      </c>
      <c r="V32" s="32" t="e">
        <f t="shared" ref="V32:X41" ca="1" si="3">INDEX(INDIRECT("'"&amp;$B32&amp;"'!summaryCosts"),MATCH(V$31,INDIRECT("'"&amp;$B32&amp;"'!EU43:EU46"),0),MATCH($D32,INDIRECT("'"&amp;$B32&amp;"'!EV42:FU42"),0))</f>
        <v>#REF!</v>
      </c>
      <c r="W32" s="32" t="e">
        <f t="shared" ca="1" si="3"/>
        <v>#REF!</v>
      </c>
      <c r="X32" s="32" t="e">
        <f t="shared" ca="1" si="3"/>
        <v>#REF!</v>
      </c>
      <c r="Y32" s="1">
        <f>IF(T38=2025,0,(U38-#REF!)/5)</f>
        <v>0</v>
      </c>
      <c r="AA32" s="31" t="e">
        <f t="shared" ref="AA32:AA57" ca="1" si="4">INDEX(INDIRECT("'"&amp;$B32&amp;"'!BL58:CK58"),MATCH($D32,INDIRECT("'"&amp;$B32&amp;"'!BL42:CK42")))</f>
        <v>#REF!</v>
      </c>
      <c r="AC32" s="34" t="e">
        <f ca="1">SUM(E32:H32)</f>
        <v>#REF!</v>
      </c>
      <c r="AD32" s="34" t="e">
        <f t="shared" ref="AD32:AD62" ca="1" si="5">SUM(N32:P32)-125</f>
        <v>#REF!</v>
      </c>
      <c r="AE32" s="34" t="e">
        <f t="shared" ref="AE32:AE95" ca="1" si="6">SUM(L32:M32)</f>
        <v>#REF!</v>
      </c>
    </row>
    <row r="33" spans="1:31" x14ac:dyDescent="0.2">
      <c r="A33" s="29" t="str" cm="1">
        <f t="array" aca="1" ref="A33" ca="1">IFERROR(INDEX(MID(SheetNames,FIND("]",SheetNames)+1,255),ROWS(A$31:A33)),"")</f>
        <v/>
      </c>
      <c r="B33" s="1" t="s">
        <v>114</v>
      </c>
      <c r="C33" s="1"/>
      <c r="D33" s="29">
        <f>D32+5</f>
        <v>2030</v>
      </c>
      <c r="E33" s="32" t="e">
        <f t="shared" ca="1" si="0"/>
        <v>#REF!</v>
      </c>
      <c r="F33" s="32" t="e">
        <f t="shared" ca="1" si="0"/>
        <v>#REF!</v>
      </c>
      <c r="G33" s="32" t="e">
        <f t="shared" ca="1" si="0"/>
        <v>#REF!</v>
      </c>
      <c r="H33" s="32" t="e">
        <f t="shared" ca="1" si="0"/>
        <v>#REF!</v>
      </c>
      <c r="I33" s="32" t="e">
        <f t="shared" ca="1" si="0"/>
        <v>#REF!</v>
      </c>
      <c r="J33" s="32" t="e">
        <f t="shared" ca="1" si="0"/>
        <v>#REF!</v>
      </c>
      <c r="K33" s="32" t="e">
        <f t="shared" ca="1" si="0"/>
        <v>#REF!</v>
      </c>
      <c r="L33" s="32" t="e">
        <f t="shared" ca="1" si="0"/>
        <v>#REF!</v>
      </c>
      <c r="M33" s="32" t="e">
        <f t="shared" ca="1" si="0"/>
        <v>#REF!</v>
      </c>
      <c r="N33" s="32" t="e">
        <f t="shared" ca="1" si="0"/>
        <v>#REF!</v>
      </c>
      <c r="O33" s="32" t="e">
        <f t="shared" ca="1" si="0"/>
        <v>#REF!</v>
      </c>
      <c r="P33" s="32" t="e">
        <f t="shared" ca="1" si="0"/>
        <v>#REF!</v>
      </c>
      <c r="Q33" s="32" t="e">
        <f t="shared" ca="1" si="0"/>
        <v>#REF!</v>
      </c>
      <c r="R33" s="1">
        <v>0</v>
      </c>
      <c r="S33" s="29">
        <f t="shared" si="1"/>
        <v>0</v>
      </c>
      <c r="T33" s="29">
        <f t="shared" si="2"/>
        <v>2030</v>
      </c>
      <c r="U33" s="32" t="e">
        <f t="shared" ref="U33:U37" ca="1" si="7">INDEX(INDIRECT("'"&amp;$B33&amp;"'!summaryCosts"),MATCH(U$31,INDIRECT("'"&amp;$B33&amp;"'!EU43:EU46"),0),MATCH($D33,INDIRECT("'"&amp;$B33&amp;"'!EV42:FU42"),0))</f>
        <v>#REF!</v>
      </c>
      <c r="V33" s="32" t="e">
        <f t="shared" ca="1" si="3"/>
        <v>#REF!</v>
      </c>
      <c r="W33" s="32" t="e">
        <f t="shared" ca="1" si="3"/>
        <v>#REF!</v>
      </c>
      <c r="X33" s="32" t="e">
        <f t="shared" ca="1" si="3"/>
        <v>#REF!</v>
      </c>
      <c r="Y33" s="1" t="e">
        <f t="shared" ref="Y33:Y37" ca="1" si="8">IF(T39=2025,0,(U39-U32)/5)</f>
        <v>#REF!</v>
      </c>
      <c r="AA33" s="31" t="e">
        <f t="shared" ca="1" si="4"/>
        <v>#REF!</v>
      </c>
      <c r="AC33" s="34" t="e">
        <f t="shared" ref="AC33:AC37" ca="1" si="9">SUM(E33:H33)</f>
        <v>#REF!</v>
      </c>
      <c r="AD33" s="34" t="e">
        <f t="shared" ca="1" si="5"/>
        <v>#REF!</v>
      </c>
      <c r="AE33" s="34" t="e">
        <f t="shared" ca="1" si="6"/>
        <v>#REF!</v>
      </c>
    </row>
    <row r="34" spans="1:31" x14ac:dyDescent="0.2">
      <c r="A34" s="29" t="str" cm="1">
        <f t="array" aca="1" ref="A34" ca="1">IFERROR(INDEX(MID(SheetNames,FIND("]",SheetNames)+1,255),ROWS(A$31:A34)),"")</f>
        <v/>
      </c>
      <c r="B34" s="1" t="s">
        <v>114</v>
      </c>
      <c r="C34" s="1"/>
      <c r="D34" s="29">
        <f t="shared" ref="D34:D37" si="10">D33+5</f>
        <v>2035</v>
      </c>
      <c r="E34" s="32" t="e">
        <f t="shared" ca="1" si="0"/>
        <v>#REF!</v>
      </c>
      <c r="F34" s="32" t="e">
        <f t="shared" ca="1" si="0"/>
        <v>#REF!</v>
      </c>
      <c r="G34" s="32" t="e">
        <f t="shared" ca="1" si="0"/>
        <v>#REF!</v>
      </c>
      <c r="H34" s="32" t="e">
        <f t="shared" ca="1" si="0"/>
        <v>#REF!</v>
      </c>
      <c r="I34" s="32" t="e">
        <f t="shared" ca="1" si="0"/>
        <v>#REF!</v>
      </c>
      <c r="J34" s="32" t="e">
        <f t="shared" ca="1" si="0"/>
        <v>#REF!</v>
      </c>
      <c r="K34" s="32" t="e">
        <f t="shared" ca="1" si="0"/>
        <v>#REF!</v>
      </c>
      <c r="L34" s="32" t="e">
        <f t="shared" ca="1" si="0"/>
        <v>#REF!</v>
      </c>
      <c r="M34" s="32" t="e">
        <f t="shared" ca="1" si="0"/>
        <v>#REF!</v>
      </c>
      <c r="N34" s="32" t="e">
        <f t="shared" ca="1" si="0"/>
        <v>#REF!</v>
      </c>
      <c r="O34" s="32" t="e">
        <f t="shared" ca="1" si="0"/>
        <v>#REF!</v>
      </c>
      <c r="P34" s="32" t="e">
        <f t="shared" ca="1" si="0"/>
        <v>#REF!</v>
      </c>
      <c r="Q34" s="32" t="e">
        <f t="shared" ca="1" si="0"/>
        <v>#REF!</v>
      </c>
      <c r="R34" s="1">
        <v>0</v>
      </c>
      <c r="S34" s="29">
        <f t="shared" si="1"/>
        <v>0</v>
      </c>
      <c r="T34" s="29">
        <f t="shared" si="2"/>
        <v>2035</v>
      </c>
      <c r="U34" s="32" t="e">
        <f t="shared" ca="1" si="7"/>
        <v>#REF!</v>
      </c>
      <c r="V34" s="32" t="e">
        <f t="shared" ca="1" si="3"/>
        <v>#REF!</v>
      </c>
      <c r="W34" s="32" t="e">
        <f t="shared" ca="1" si="3"/>
        <v>#REF!</v>
      </c>
      <c r="X34" s="32" t="e">
        <f t="shared" ca="1" si="3"/>
        <v>#REF!</v>
      </c>
      <c r="Y34" s="1" t="e">
        <f t="shared" ca="1" si="8"/>
        <v>#REF!</v>
      </c>
      <c r="AA34" s="31" t="e">
        <f t="shared" ca="1" si="4"/>
        <v>#REF!</v>
      </c>
      <c r="AC34" s="34" t="e">
        <f t="shared" ca="1" si="9"/>
        <v>#REF!</v>
      </c>
      <c r="AD34" s="34" t="e">
        <f t="shared" ca="1" si="5"/>
        <v>#REF!</v>
      </c>
      <c r="AE34" s="34" t="e">
        <f t="shared" ca="1" si="6"/>
        <v>#REF!</v>
      </c>
    </row>
    <row r="35" spans="1:31" x14ac:dyDescent="0.2">
      <c r="A35" s="29" t="str" cm="1">
        <f t="array" aca="1" ref="A35" ca="1">IFERROR(INDEX(MID(SheetNames,FIND("]",SheetNames)+1,255),ROWS(A$31:A35)),"")</f>
        <v/>
      </c>
      <c r="B35" s="1" t="s">
        <v>114</v>
      </c>
      <c r="C35" s="1"/>
      <c r="D35" s="29">
        <f t="shared" si="10"/>
        <v>2040</v>
      </c>
      <c r="E35" s="32" t="e">
        <f t="shared" ca="1" si="0"/>
        <v>#REF!</v>
      </c>
      <c r="F35" s="32" t="e">
        <f t="shared" ca="1" si="0"/>
        <v>#REF!</v>
      </c>
      <c r="G35" s="32" t="e">
        <f t="shared" ca="1" si="0"/>
        <v>#REF!</v>
      </c>
      <c r="H35" s="32" t="e">
        <f t="shared" ca="1" si="0"/>
        <v>#REF!</v>
      </c>
      <c r="I35" s="32" t="e">
        <f t="shared" ca="1" si="0"/>
        <v>#REF!</v>
      </c>
      <c r="J35" s="32" t="e">
        <f t="shared" ca="1" si="0"/>
        <v>#REF!</v>
      </c>
      <c r="K35" s="32" t="e">
        <f t="shared" ca="1" si="0"/>
        <v>#REF!</v>
      </c>
      <c r="L35" s="32" t="e">
        <f t="shared" ca="1" si="0"/>
        <v>#REF!</v>
      </c>
      <c r="M35" s="32" t="e">
        <f t="shared" ca="1" si="0"/>
        <v>#REF!</v>
      </c>
      <c r="N35" s="32" t="e">
        <f t="shared" ca="1" si="0"/>
        <v>#REF!</v>
      </c>
      <c r="O35" s="32" t="e">
        <f t="shared" ca="1" si="0"/>
        <v>#REF!</v>
      </c>
      <c r="P35" s="32" t="e">
        <f t="shared" ca="1" si="0"/>
        <v>#REF!</v>
      </c>
      <c r="Q35" s="32" t="e">
        <f t="shared" ca="1" si="0"/>
        <v>#REF!</v>
      </c>
      <c r="R35" s="1">
        <v>0</v>
      </c>
      <c r="S35" s="29">
        <f t="shared" si="1"/>
        <v>0</v>
      </c>
      <c r="T35" s="29">
        <f t="shared" si="2"/>
        <v>2040</v>
      </c>
      <c r="U35" s="32" t="e">
        <f t="shared" ca="1" si="7"/>
        <v>#REF!</v>
      </c>
      <c r="V35" s="32" t="e">
        <f t="shared" ca="1" si="3"/>
        <v>#REF!</v>
      </c>
      <c r="W35" s="32" t="e">
        <f t="shared" ca="1" si="3"/>
        <v>#REF!</v>
      </c>
      <c r="X35" s="32" t="e">
        <f t="shared" ca="1" si="3"/>
        <v>#REF!</v>
      </c>
      <c r="Y35" s="1" t="e">
        <f t="shared" ca="1" si="8"/>
        <v>#REF!</v>
      </c>
      <c r="AA35" s="31" t="e">
        <f t="shared" ca="1" si="4"/>
        <v>#REF!</v>
      </c>
      <c r="AC35" s="34" t="e">
        <f t="shared" ca="1" si="9"/>
        <v>#REF!</v>
      </c>
      <c r="AD35" s="34" t="e">
        <f t="shared" ca="1" si="5"/>
        <v>#REF!</v>
      </c>
      <c r="AE35" s="34" t="e">
        <f t="shared" ca="1" si="6"/>
        <v>#REF!</v>
      </c>
    </row>
    <row r="36" spans="1:31" x14ac:dyDescent="0.2">
      <c r="A36" s="29"/>
      <c r="B36" s="1" t="s">
        <v>114</v>
      </c>
      <c r="C36" s="1"/>
      <c r="D36" s="29">
        <f t="shared" si="10"/>
        <v>2045</v>
      </c>
      <c r="E36" s="32" t="e">
        <f t="shared" ca="1" si="0"/>
        <v>#REF!</v>
      </c>
      <c r="F36" s="32" t="e">
        <f t="shared" ca="1" si="0"/>
        <v>#REF!</v>
      </c>
      <c r="G36" s="32" t="e">
        <f t="shared" ca="1" si="0"/>
        <v>#REF!</v>
      </c>
      <c r="H36" s="32" t="e">
        <f t="shared" ca="1" si="0"/>
        <v>#REF!</v>
      </c>
      <c r="I36" s="32" t="e">
        <f t="shared" ca="1" si="0"/>
        <v>#REF!</v>
      </c>
      <c r="J36" s="32" t="e">
        <f t="shared" ca="1" si="0"/>
        <v>#REF!</v>
      </c>
      <c r="K36" s="32" t="e">
        <f t="shared" ca="1" si="0"/>
        <v>#REF!</v>
      </c>
      <c r="L36" s="32" t="e">
        <f t="shared" ca="1" si="0"/>
        <v>#REF!</v>
      </c>
      <c r="M36" s="32" t="e">
        <f t="shared" ca="1" si="0"/>
        <v>#REF!</v>
      </c>
      <c r="N36" s="32" t="e">
        <f t="shared" ca="1" si="0"/>
        <v>#REF!</v>
      </c>
      <c r="O36" s="32" t="e">
        <f t="shared" ca="1" si="0"/>
        <v>#REF!</v>
      </c>
      <c r="P36" s="32" t="e">
        <f t="shared" ca="1" si="0"/>
        <v>#REF!</v>
      </c>
      <c r="Q36" s="32" t="e">
        <f t="shared" ca="1" si="0"/>
        <v>#REF!</v>
      </c>
      <c r="R36" s="1">
        <v>0</v>
      </c>
      <c r="S36" s="29">
        <f t="shared" si="1"/>
        <v>0</v>
      </c>
      <c r="T36" s="29">
        <f t="shared" si="2"/>
        <v>2045</v>
      </c>
      <c r="U36" s="32" t="e">
        <f t="shared" ca="1" si="7"/>
        <v>#REF!</v>
      </c>
      <c r="V36" s="32" t="e">
        <f t="shared" ca="1" si="3"/>
        <v>#REF!</v>
      </c>
      <c r="W36" s="32" t="e">
        <f t="shared" ca="1" si="3"/>
        <v>#REF!</v>
      </c>
      <c r="X36" s="32" t="e">
        <f t="shared" ca="1" si="3"/>
        <v>#REF!</v>
      </c>
      <c r="Y36" s="1" t="e">
        <f t="shared" ca="1" si="8"/>
        <v>#REF!</v>
      </c>
      <c r="AA36" s="31" t="e">
        <f t="shared" ca="1" si="4"/>
        <v>#REF!</v>
      </c>
      <c r="AC36" s="34" t="e">
        <f t="shared" ca="1" si="9"/>
        <v>#REF!</v>
      </c>
      <c r="AD36" s="34" t="e">
        <f t="shared" ca="1" si="5"/>
        <v>#REF!</v>
      </c>
      <c r="AE36" s="34" t="e">
        <f t="shared" ca="1" si="6"/>
        <v>#REF!</v>
      </c>
    </row>
    <row r="37" spans="1:31" x14ac:dyDescent="0.2">
      <c r="A37" s="29" t="str" cm="1">
        <f t="array" aca="1" ref="A37" ca="1">IFERROR(INDEX(MID(SheetNames,FIND("]",SheetNames)+1,255),ROWS(A$31:A37)),"")</f>
        <v/>
      </c>
      <c r="B37" s="1" t="s">
        <v>114</v>
      </c>
      <c r="C37" s="1"/>
      <c r="D37" s="29">
        <f t="shared" si="10"/>
        <v>2050</v>
      </c>
      <c r="E37" s="32" t="e">
        <f t="shared" ca="1" si="0"/>
        <v>#REF!</v>
      </c>
      <c r="F37" s="32" t="e">
        <f t="shared" ca="1" si="0"/>
        <v>#REF!</v>
      </c>
      <c r="G37" s="32" t="e">
        <f t="shared" ca="1" si="0"/>
        <v>#REF!</v>
      </c>
      <c r="H37" s="32" t="e">
        <f t="shared" ca="1" si="0"/>
        <v>#REF!</v>
      </c>
      <c r="I37" s="32" t="e">
        <f t="shared" ca="1" si="0"/>
        <v>#REF!</v>
      </c>
      <c r="J37" s="32" t="e">
        <f t="shared" ca="1" si="0"/>
        <v>#REF!</v>
      </c>
      <c r="K37" s="32" t="e">
        <f t="shared" ca="1" si="0"/>
        <v>#REF!</v>
      </c>
      <c r="L37" s="32" t="e">
        <f t="shared" ca="1" si="0"/>
        <v>#REF!</v>
      </c>
      <c r="M37" s="32" t="e">
        <f t="shared" ca="1" si="0"/>
        <v>#REF!</v>
      </c>
      <c r="N37" s="32" t="e">
        <f t="shared" ca="1" si="0"/>
        <v>#REF!</v>
      </c>
      <c r="O37" s="32" t="e">
        <f t="shared" ca="1" si="0"/>
        <v>#REF!</v>
      </c>
      <c r="P37" s="32" t="e">
        <f t="shared" ca="1" si="0"/>
        <v>#REF!</v>
      </c>
      <c r="Q37" s="32" t="e">
        <f t="shared" ca="1" si="0"/>
        <v>#REF!</v>
      </c>
      <c r="R37" s="1">
        <v>0</v>
      </c>
      <c r="S37" s="29">
        <f t="shared" si="1"/>
        <v>0</v>
      </c>
      <c r="T37" s="29">
        <f t="shared" si="2"/>
        <v>2050</v>
      </c>
      <c r="U37" s="32" t="e">
        <f t="shared" ca="1" si="7"/>
        <v>#REF!</v>
      </c>
      <c r="V37" s="32" t="e">
        <f t="shared" ca="1" si="3"/>
        <v>#REF!</v>
      </c>
      <c r="W37" s="32" t="e">
        <f t="shared" ca="1" si="3"/>
        <v>#REF!</v>
      </c>
      <c r="X37" s="32" t="e">
        <f t="shared" ca="1" si="3"/>
        <v>#REF!</v>
      </c>
      <c r="Y37" s="1" t="e">
        <f t="shared" ca="1" si="8"/>
        <v>#REF!</v>
      </c>
      <c r="AA37" s="31" t="e">
        <f t="shared" ca="1" si="4"/>
        <v>#REF!</v>
      </c>
      <c r="AC37" s="34" t="e">
        <f t="shared" ca="1" si="9"/>
        <v>#REF!</v>
      </c>
      <c r="AD37" s="34" t="e">
        <f t="shared" ca="1" si="5"/>
        <v>#REF!</v>
      </c>
      <c r="AE37" s="34" t="e">
        <f t="shared" ca="1" si="6"/>
        <v>#REF!</v>
      </c>
    </row>
    <row r="38" spans="1:31" s="1" customFormat="1" x14ac:dyDescent="0.2">
      <c r="A38" s="29" t="str" cm="1">
        <f t="array" aca="1" ref="A38" ca="1">IFERROR(INDEX(MID(SheetNames,FIND("]",SheetNames)+1,255),ROWS(A$31:A38)),"")</f>
        <v/>
      </c>
      <c r="B38" s="29" t="str" cm="1">
        <f t="array" aca="1" ref="B38:B43" ca="1">_xlfn.LET(_xlpm.CaseNames,_xlfn.TOCOL(_xlfn.CHOOSECOLS(A32:A55,_xlfn.SEQUENCE(1,COUNTA(_xlfn.UNIQUE(D38:D61)),1,0))),_xlfn._xlws.SORT(_xlfn._xlws.FILTER(_xlpm.CaseNames,_xlpm.CaseNames&lt;&gt;"")))</f>
        <v>IRP Plan (default)</v>
      </c>
      <c r="C38" s="29" t="e">
        <f ca="1">IF(B38=#REF!,"",B38)</f>
        <v>#REF!</v>
      </c>
      <c r="D38" s="29">
        <f>D32</f>
        <v>2025</v>
      </c>
      <c r="E38" s="32">
        <f t="shared" ca="1" si="0"/>
        <v>7899</v>
      </c>
      <c r="F38" s="32">
        <f t="shared" ca="1" si="0"/>
        <v>749</v>
      </c>
      <c r="G38" s="32">
        <f t="shared" ca="1" si="0"/>
        <v>0</v>
      </c>
      <c r="H38" s="32">
        <f t="shared" ca="1" si="0"/>
        <v>4653</v>
      </c>
      <c r="I38" s="32">
        <f t="shared" ca="1" si="0"/>
        <v>0</v>
      </c>
      <c r="J38" s="32">
        <f t="shared" ca="1" si="0"/>
        <v>18.100000000000001</v>
      </c>
      <c r="K38" s="32">
        <f t="shared" ca="1" si="0"/>
        <v>482.2</v>
      </c>
      <c r="L38" s="32">
        <f t="shared" ca="1" si="0"/>
        <v>0.09</v>
      </c>
      <c r="M38" s="32">
        <f t="shared" ca="1" si="0"/>
        <v>325.3</v>
      </c>
      <c r="N38" s="32">
        <f t="shared" ca="1" si="0"/>
        <v>0</v>
      </c>
      <c r="O38" s="32">
        <f t="shared" ca="1" si="0"/>
        <v>0</v>
      </c>
      <c r="P38" s="32">
        <f t="shared" ca="1" si="0"/>
        <v>0</v>
      </c>
      <c r="Q38" s="32">
        <f t="shared" ca="1" si="0"/>
        <v>0</v>
      </c>
      <c r="R38" s="1">
        <v>0</v>
      </c>
      <c r="S38" s="29" t="e">
        <f t="shared" ref="S38:S78" ca="1" si="11">C38</f>
        <v>#REF!</v>
      </c>
      <c r="T38" s="29">
        <f t="shared" ref="T38:T78" si="12">D38</f>
        <v>2025</v>
      </c>
      <c r="U38" s="32">
        <f t="shared" ref="U38:X58" ca="1" si="13">INDEX(INDIRECT("'"&amp;$B38&amp;"'!summaryCosts"),MATCH(U$31,INDIRECT("'"&amp;$B38&amp;"'!EU43:EU46"),0),MATCH($D38,INDIRECT("'"&amp;$B38&amp;"'!EV42:FU42"),0))</f>
        <v>0</v>
      </c>
      <c r="V38" s="32">
        <f t="shared" ca="1" si="3"/>
        <v>754.99733779999997</v>
      </c>
      <c r="W38" s="32">
        <f t="shared" ca="1" si="3"/>
        <v>585.54399999999998</v>
      </c>
      <c r="X38" s="32">
        <f t="shared" ca="1" si="3"/>
        <v>3584.02</v>
      </c>
      <c r="Y38" s="1">
        <f t="shared" ref="Y38:Y90" si="14">IF(T44=2025,0,(U44-U37)/5)</f>
        <v>0</v>
      </c>
      <c r="Z38"/>
      <c r="AA38" s="31">
        <f t="shared" ca="1" si="4"/>
        <v>4.7016303911332429E-2</v>
      </c>
      <c r="AB38"/>
      <c r="AC38" s="34">
        <f t="shared" ref="AC38:AC90" ca="1" si="15">SUM(E38:H38)</f>
        <v>13301</v>
      </c>
      <c r="AD38" s="34">
        <f t="shared" ca="1" si="5"/>
        <v>-125</v>
      </c>
      <c r="AE38" s="34">
        <f t="shared" ca="1" si="6"/>
        <v>325.39</v>
      </c>
    </row>
    <row r="39" spans="1:31" s="1" customFormat="1" x14ac:dyDescent="0.2">
      <c r="A39" s="29" t="str" cm="1">
        <f t="array" aca="1" ref="A39" ca="1">IFERROR(INDEX(MID(SheetNames,FIND("]",SheetNames)+1,255),ROWS(A$31:A39)),"")</f>
        <v/>
      </c>
      <c r="B39" s="29" t="str">
        <f ca="1"/>
        <v>IRP Plan (default)</v>
      </c>
      <c r="C39" s="29" t="str">
        <f t="shared" ref="C39:C102" ca="1" si="16">IF(B39=B38,"",B39)</f>
        <v/>
      </c>
      <c r="D39" s="29">
        <f t="shared" ref="D39:D43" si="17">D33</f>
        <v>2030</v>
      </c>
      <c r="E39" s="32">
        <f t="shared" ca="1" si="0"/>
        <v>4803</v>
      </c>
      <c r="F39" s="32">
        <f t="shared" ca="1" si="0"/>
        <v>2768</v>
      </c>
      <c r="G39" s="32">
        <f t="shared" ca="1" si="0"/>
        <v>2635</v>
      </c>
      <c r="H39" s="32">
        <f t="shared" ca="1" si="0"/>
        <v>5276</v>
      </c>
      <c r="I39" s="32">
        <f t="shared" ca="1" si="0"/>
        <v>0</v>
      </c>
      <c r="J39" s="32">
        <f t="shared" ca="1" si="0"/>
        <v>18.100000000000001</v>
      </c>
      <c r="K39" s="32">
        <f t="shared" ca="1" si="0"/>
        <v>482.2</v>
      </c>
      <c r="L39" s="32">
        <f t="shared" ca="1" si="0"/>
        <v>600.09</v>
      </c>
      <c r="M39" s="32">
        <f t="shared" ca="1" si="0"/>
        <v>1515.3</v>
      </c>
      <c r="N39" s="32">
        <f t="shared" ca="1" si="0"/>
        <v>575</v>
      </c>
      <c r="O39" s="32">
        <f t="shared" ca="1" si="0"/>
        <v>0</v>
      </c>
      <c r="P39" s="32">
        <f t="shared" ca="1" si="0"/>
        <v>0</v>
      </c>
      <c r="Q39" s="32">
        <f t="shared" ca="1" si="0"/>
        <v>0</v>
      </c>
      <c r="R39" s="1">
        <v>0</v>
      </c>
      <c r="S39" s="29" t="str">
        <f t="shared" ca="1" si="11"/>
        <v/>
      </c>
      <c r="T39" s="29">
        <f t="shared" si="12"/>
        <v>2030</v>
      </c>
      <c r="U39" s="32">
        <f t="shared" ca="1" si="13"/>
        <v>435.30235757795907</v>
      </c>
      <c r="V39" s="32">
        <f t="shared" ca="1" si="3"/>
        <v>864.42025279999996</v>
      </c>
      <c r="W39" s="32">
        <f t="shared" ca="1" si="3"/>
        <v>519.97400000000005</v>
      </c>
      <c r="X39" s="32">
        <f t="shared" ca="1" si="3"/>
        <v>2568.942</v>
      </c>
      <c r="Y39" s="1" t="e">
        <f t="shared" ca="1" si="14"/>
        <v>#REF!</v>
      </c>
      <c r="Z39"/>
      <c r="AA39" s="31">
        <f t="shared" ca="1" si="4"/>
        <v>0.11417004048582996</v>
      </c>
      <c r="AB39"/>
      <c r="AC39" s="34">
        <f t="shared" ca="1" si="15"/>
        <v>15482</v>
      </c>
      <c r="AD39" s="34">
        <f t="shared" ca="1" si="5"/>
        <v>450</v>
      </c>
      <c r="AE39" s="34">
        <f t="shared" ca="1" si="6"/>
        <v>2115.39</v>
      </c>
    </row>
    <row r="40" spans="1:31" x14ac:dyDescent="0.2">
      <c r="A40" s="29" t="str" cm="1">
        <f t="array" aca="1" ref="A40" ca="1">IFERROR(INDEX(MID(SheetNames,FIND("]",SheetNames)+1,255),ROWS(A$31:A40)),"")</f>
        <v/>
      </c>
      <c r="B40" s="29" t="str">
        <f ca="1"/>
        <v>IRP Plan (default)</v>
      </c>
      <c r="C40" s="29" t="str">
        <f t="shared" ca="1" si="16"/>
        <v/>
      </c>
      <c r="D40" s="29">
        <f t="shared" si="17"/>
        <v>2035</v>
      </c>
      <c r="E40" s="32">
        <f t="shared" ca="1" si="0"/>
        <v>4803</v>
      </c>
      <c r="F40" s="32">
        <f t="shared" ca="1" si="0"/>
        <v>2768</v>
      </c>
      <c r="G40" s="32">
        <f t="shared" ca="1" si="0"/>
        <v>3280</v>
      </c>
      <c r="H40" s="32">
        <f t="shared" ca="1" si="0"/>
        <v>5211</v>
      </c>
      <c r="I40" s="32">
        <f t="shared" ca="1" si="0"/>
        <v>0</v>
      </c>
      <c r="J40" s="32">
        <f t="shared" ca="1" si="0"/>
        <v>18.100000000000001</v>
      </c>
      <c r="K40" s="32">
        <f t="shared" ca="1" si="0"/>
        <v>482.2</v>
      </c>
      <c r="L40" s="32">
        <f t="shared" ca="1" si="0"/>
        <v>700.09</v>
      </c>
      <c r="M40" s="32">
        <f t="shared" ca="1" si="0"/>
        <v>2115.3000000000002</v>
      </c>
      <c r="N40" s="32">
        <f t="shared" ca="1" si="0"/>
        <v>1125</v>
      </c>
      <c r="O40" s="32">
        <f t="shared" ca="1" si="0"/>
        <v>0</v>
      </c>
      <c r="P40" s="32">
        <f t="shared" ca="1" si="0"/>
        <v>0</v>
      </c>
      <c r="Q40" s="32">
        <f t="shared" ca="1" si="0"/>
        <v>0</v>
      </c>
      <c r="R40">
        <v>0</v>
      </c>
      <c r="S40" s="29" t="str">
        <f t="shared" ca="1" si="11"/>
        <v/>
      </c>
      <c r="T40" s="29">
        <f t="shared" si="12"/>
        <v>2035</v>
      </c>
      <c r="U40" s="32">
        <f t="shared" ca="1" si="13"/>
        <v>551.45792089954693</v>
      </c>
      <c r="V40" s="32">
        <f t="shared" ca="1" si="3"/>
        <v>924.95660280000004</v>
      </c>
      <c r="W40" s="32">
        <f t="shared" ca="1" si="3"/>
        <v>512.87300000000005</v>
      </c>
      <c r="X40" s="32">
        <f t="shared" ca="1" si="3"/>
        <v>2861.4</v>
      </c>
      <c r="Y40" s="1" t="e">
        <f t="shared" ca="1" si="14"/>
        <v>#REF!</v>
      </c>
      <c r="AA40" s="31">
        <f t="shared" ca="1" si="4"/>
        <v>0.13180954014608975</v>
      </c>
      <c r="AC40" s="34">
        <f t="shared" ca="1" si="15"/>
        <v>16062</v>
      </c>
      <c r="AD40" s="34">
        <f t="shared" ca="1" si="5"/>
        <v>1000</v>
      </c>
      <c r="AE40" s="34">
        <f t="shared" ca="1" si="6"/>
        <v>2815.3900000000003</v>
      </c>
    </row>
    <row r="41" spans="1:31" x14ac:dyDescent="0.2">
      <c r="A41" s="29" t="str" cm="1">
        <f t="array" aca="1" ref="A41" ca="1">IFERROR(INDEX(MID(SheetNames,FIND("]",SheetNames)+1,255),ROWS(A$31:A41)),"")</f>
        <v/>
      </c>
      <c r="B41" s="29" t="str">
        <f ca="1"/>
        <v>IRP Plan (default)</v>
      </c>
      <c r="C41" s="29" t="str">
        <f t="shared" ca="1" si="16"/>
        <v/>
      </c>
      <c r="D41" s="29">
        <f t="shared" si="17"/>
        <v>2040</v>
      </c>
      <c r="E41" s="32">
        <f t="shared" ca="1" si="0"/>
        <v>3523</v>
      </c>
      <c r="F41" s="32">
        <f t="shared" ca="1" si="0"/>
        <v>3432</v>
      </c>
      <c r="G41" s="32">
        <f t="shared" ca="1" si="0"/>
        <v>3280</v>
      </c>
      <c r="H41" s="32">
        <f t="shared" ca="1" si="0"/>
        <v>5211</v>
      </c>
      <c r="I41" s="32">
        <f t="shared" ca="1" si="0"/>
        <v>0</v>
      </c>
      <c r="J41" s="32">
        <f t="shared" ca="1" si="0"/>
        <v>18.100000000000001</v>
      </c>
      <c r="K41" s="32">
        <f t="shared" ca="1" si="0"/>
        <v>482.2</v>
      </c>
      <c r="L41" s="32">
        <f t="shared" ca="1" si="0"/>
        <v>700.09</v>
      </c>
      <c r="M41" s="32">
        <f t="shared" ca="1" si="0"/>
        <v>2215.3000000000002</v>
      </c>
      <c r="N41" s="32">
        <f t="shared" ca="1" si="0"/>
        <v>1125</v>
      </c>
      <c r="O41" s="32">
        <f t="shared" ca="1" si="0"/>
        <v>0</v>
      </c>
      <c r="P41" s="32">
        <f t="shared" ca="1" si="0"/>
        <v>0</v>
      </c>
      <c r="Q41" s="32">
        <f t="shared" ca="1" si="0"/>
        <v>0</v>
      </c>
      <c r="R41">
        <v>0</v>
      </c>
      <c r="S41" s="29" t="str">
        <f t="shared" ca="1" si="11"/>
        <v/>
      </c>
      <c r="T41" s="29">
        <f t="shared" si="12"/>
        <v>2040</v>
      </c>
      <c r="U41" s="32">
        <f t="shared" ca="1" si="13"/>
        <v>594.74475599400762</v>
      </c>
      <c r="V41" s="32">
        <f t="shared" ca="1" si="3"/>
        <v>864.34470279999994</v>
      </c>
      <c r="W41" s="32">
        <f t="shared" ca="1" si="3"/>
        <v>500.45100000000002</v>
      </c>
      <c r="X41" s="32">
        <f t="shared" ca="1" si="3"/>
        <v>2938.982</v>
      </c>
      <c r="Y41" s="1" t="e">
        <f t="shared" ca="1" si="14"/>
        <v>#REF!</v>
      </c>
      <c r="AA41" s="31">
        <f t="shared" ca="1" si="4"/>
        <v>0.13412672885172081</v>
      </c>
      <c r="AC41" s="34">
        <f t="shared" ca="1" si="15"/>
        <v>15446</v>
      </c>
      <c r="AD41" s="34">
        <f t="shared" ca="1" si="5"/>
        <v>1000</v>
      </c>
      <c r="AE41" s="34">
        <f t="shared" ca="1" si="6"/>
        <v>2915.3900000000003</v>
      </c>
    </row>
    <row r="42" spans="1:31" x14ac:dyDescent="0.2">
      <c r="A42" s="29" t="str" cm="1">
        <f t="array" aca="1" ref="A42" ca="1">IFERROR(INDEX(MID(SheetNames,FIND("]",SheetNames)+1,255),ROWS(A$31:A42)),"")</f>
        <v/>
      </c>
      <c r="B42" s="29" t="str">
        <f ca="1"/>
        <v>IRP Plan (default)</v>
      </c>
      <c r="C42" s="29" t="str">
        <f t="shared" ca="1" si="16"/>
        <v/>
      </c>
      <c r="D42" s="29">
        <f t="shared" si="17"/>
        <v>2045</v>
      </c>
      <c r="E42" s="32">
        <f t="shared" ref="E42:Q51" ca="1" si="18">INDEX(INDIRECT("'"&amp;$B42&amp;"'!"&amp;$A$1),MATCH(E$31,INDIRECT("'"&amp;$B42&amp;"'!G43:G55"),0),MATCH($D42,INDIRECT("'"&amp;$B42&amp;"'!H42:AG42")))</f>
        <v>3523</v>
      </c>
      <c r="F42" s="32">
        <f t="shared" ca="1" si="18"/>
        <v>3137</v>
      </c>
      <c r="G42" s="32">
        <f t="shared" ca="1" si="18"/>
        <v>3280</v>
      </c>
      <c r="H42" s="32">
        <f t="shared" ca="1" si="18"/>
        <v>5211</v>
      </c>
      <c r="I42" s="32">
        <f t="shared" ca="1" si="18"/>
        <v>0</v>
      </c>
      <c r="J42" s="32">
        <f t="shared" ca="1" si="18"/>
        <v>18.100000000000001</v>
      </c>
      <c r="K42" s="32">
        <f t="shared" ca="1" si="18"/>
        <v>482.2</v>
      </c>
      <c r="L42" s="32">
        <f t="shared" ca="1" si="18"/>
        <v>700.09</v>
      </c>
      <c r="M42" s="32">
        <f t="shared" ca="1" si="18"/>
        <v>2215.3000000000002</v>
      </c>
      <c r="N42" s="32">
        <f t="shared" ca="1" si="18"/>
        <v>1125</v>
      </c>
      <c r="O42" s="32">
        <f t="shared" ca="1" si="18"/>
        <v>0</v>
      </c>
      <c r="P42" s="32">
        <f t="shared" ca="1" si="18"/>
        <v>0</v>
      </c>
      <c r="Q42" s="32">
        <f t="shared" ca="1" si="18"/>
        <v>0</v>
      </c>
      <c r="R42">
        <v>0</v>
      </c>
      <c r="S42" s="29" t="str">
        <f t="shared" ca="1" si="11"/>
        <v/>
      </c>
      <c r="T42" s="29">
        <f t="shared" si="12"/>
        <v>2045</v>
      </c>
      <c r="U42" s="32">
        <f t="shared" ca="1" si="13"/>
        <v>574.33390393209936</v>
      </c>
      <c r="V42" s="32">
        <f t="shared" ca="1" si="13"/>
        <v>843.69470279999996</v>
      </c>
      <c r="W42" s="32">
        <f t="shared" ca="1" si="13"/>
        <v>501.59</v>
      </c>
      <c r="X42" s="32">
        <f t="shared" ca="1" si="13"/>
        <v>3074.8339999999998</v>
      </c>
      <c r="Y42" s="1" t="e">
        <f t="shared" ca="1" si="14"/>
        <v>#REF!</v>
      </c>
      <c r="AA42" s="31">
        <f t="shared" ca="1" si="4"/>
        <v>0.13111287338091462</v>
      </c>
      <c r="AC42" s="34">
        <f t="shared" ca="1" si="15"/>
        <v>15151</v>
      </c>
      <c r="AD42" s="34">
        <f t="shared" ca="1" si="5"/>
        <v>1000</v>
      </c>
      <c r="AE42" s="34">
        <f t="shared" ca="1" si="6"/>
        <v>2915.3900000000003</v>
      </c>
    </row>
    <row r="43" spans="1:31" x14ac:dyDescent="0.2">
      <c r="A43" s="29" t="str" cm="1">
        <f t="array" aca="1" ref="A43" ca="1">IFERROR(INDEX(MID(SheetNames,FIND("]",SheetNames)+1,255),ROWS(A$31:A43)),"")</f>
        <v/>
      </c>
      <c r="B43" s="29" t="str">
        <f ca="1"/>
        <v>IRP Plan (default)</v>
      </c>
      <c r="C43" s="29" t="str">
        <f t="shared" ca="1" si="16"/>
        <v/>
      </c>
      <c r="D43" s="29">
        <f t="shared" si="17"/>
        <v>2050</v>
      </c>
      <c r="E43" s="32">
        <f t="shared" ca="1" si="18"/>
        <v>3523</v>
      </c>
      <c r="F43" s="32">
        <f t="shared" ca="1" si="18"/>
        <v>3137</v>
      </c>
      <c r="G43" s="32">
        <f t="shared" ca="1" si="18"/>
        <v>3280</v>
      </c>
      <c r="H43" s="32">
        <f t="shared" ca="1" si="18"/>
        <v>5211</v>
      </c>
      <c r="I43" s="32">
        <f t="shared" ca="1" si="18"/>
        <v>0</v>
      </c>
      <c r="J43" s="32">
        <f t="shared" ca="1" si="18"/>
        <v>18.100000000000001</v>
      </c>
      <c r="K43" s="32">
        <f t="shared" ca="1" si="18"/>
        <v>482.2</v>
      </c>
      <c r="L43" s="32">
        <f t="shared" ca="1" si="18"/>
        <v>700.09</v>
      </c>
      <c r="M43" s="32">
        <f t="shared" ca="1" si="18"/>
        <v>2215.3000000000002</v>
      </c>
      <c r="N43" s="32">
        <f t="shared" ca="1" si="18"/>
        <v>1125</v>
      </c>
      <c r="O43" s="32">
        <f t="shared" ca="1" si="18"/>
        <v>0</v>
      </c>
      <c r="P43" s="32">
        <f t="shared" ca="1" si="18"/>
        <v>0</v>
      </c>
      <c r="Q43" s="32">
        <f t="shared" ca="1" si="18"/>
        <v>0</v>
      </c>
      <c r="R43">
        <v>0</v>
      </c>
      <c r="S43" s="29" t="str">
        <f t="shared" ca="1" si="11"/>
        <v/>
      </c>
      <c r="T43" s="29">
        <f t="shared" si="12"/>
        <v>2050</v>
      </c>
      <c r="U43" s="32">
        <f t="shared" ca="1" si="13"/>
        <v>553.92583856557314</v>
      </c>
      <c r="V43" s="32">
        <f t="shared" ca="1" si="13"/>
        <v>843.69470279999996</v>
      </c>
      <c r="W43" s="32">
        <f t="shared" ca="1" si="13"/>
        <v>505.18799999999999</v>
      </c>
      <c r="X43" s="32">
        <f t="shared" ca="1" si="13"/>
        <v>3117.4160000000002</v>
      </c>
      <c r="Y43" s="1" t="e">
        <f t="shared" ca="1" si="14"/>
        <v>#REF!</v>
      </c>
      <c r="AA43" s="31">
        <f t="shared" ca="1" si="4"/>
        <v>0.12934967841240175</v>
      </c>
      <c r="AC43" s="34">
        <f t="shared" ca="1" si="15"/>
        <v>15151</v>
      </c>
      <c r="AD43" s="34">
        <f t="shared" ca="1" si="5"/>
        <v>1000</v>
      </c>
      <c r="AE43" s="34">
        <f t="shared" ca="1" si="6"/>
        <v>2915.3900000000003</v>
      </c>
    </row>
    <row r="44" spans="1:31" x14ac:dyDescent="0.2">
      <c r="A44" s="29" t="str" cm="1">
        <f t="array" aca="1" ref="A44" ca="1">IFERROR(INDEX(MID(SheetNames,FIND("]",SheetNames)+1,255),ROWS(A$31:A44)),"")</f>
        <v/>
      </c>
      <c r="B44" s="29"/>
      <c r="C44" s="29">
        <f t="shared" ca="1" si="16"/>
        <v>0</v>
      </c>
      <c r="D44" s="29">
        <f>D38</f>
        <v>2025</v>
      </c>
      <c r="E44" s="32" t="e">
        <f t="shared" ca="1" si="18"/>
        <v>#REF!</v>
      </c>
      <c r="F44" s="32" t="e">
        <f t="shared" ca="1" si="18"/>
        <v>#REF!</v>
      </c>
      <c r="G44" s="32" t="e">
        <f t="shared" ca="1" si="18"/>
        <v>#REF!</v>
      </c>
      <c r="H44" s="32" t="e">
        <f t="shared" ca="1" si="18"/>
        <v>#REF!</v>
      </c>
      <c r="I44" s="32" t="e">
        <f t="shared" ca="1" si="18"/>
        <v>#REF!</v>
      </c>
      <c r="J44" s="32" t="e">
        <f t="shared" ca="1" si="18"/>
        <v>#REF!</v>
      </c>
      <c r="K44" s="32" t="e">
        <f t="shared" ca="1" si="18"/>
        <v>#REF!</v>
      </c>
      <c r="L44" s="32" t="e">
        <f t="shared" ca="1" si="18"/>
        <v>#REF!</v>
      </c>
      <c r="M44" s="32" t="e">
        <f t="shared" ca="1" si="18"/>
        <v>#REF!</v>
      </c>
      <c r="N44" s="32" t="e">
        <f t="shared" ca="1" si="18"/>
        <v>#REF!</v>
      </c>
      <c r="O44" s="32" t="e">
        <f t="shared" ca="1" si="18"/>
        <v>#REF!</v>
      </c>
      <c r="P44" s="32" t="e">
        <f t="shared" ca="1" si="18"/>
        <v>#REF!</v>
      </c>
      <c r="Q44" s="32" t="e">
        <f t="shared" ca="1" si="18"/>
        <v>#REF!</v>
      </c>
      <c r="R44">
        <v>0</v>
      </c>
      <c r="S44" s="29">
        <f t="shared" ca="1" si="11"/>
        <v>0</v>
      </c>
      <c r="T44" s="29">
        <f t="shared" si="12"/>
        <v>2025</v>
      </c>
      <c r="U44" s="32" t="e">
        <f t="shared" ca="1" si="13"/>
        <v>#REF!</v>
      </c>
      <c r="V44" s="32" t="e">
        <f t="shared" ca="1" si="13"/>
        <v>#REF!</v>
      </c>
      <c r="W44" s="32" t="e">
        <f t="shared" ca="1" si="13"/>
        <v>#REF!</v>
      </c>
      <c r="X44" s="32" t="e">
        <f t="shared" ca="1" si="13"/>
        <v>#REF!</v>
      </c>
      <c r="Y44" s="1">
        <f t="shared" si="14"/>
        <v>0</v>
      </c>
      <c r="AA44" s="31" t="e">
        <f t="shared" ca="1" si="4"/>
        <v>#REF!</v>
      </c>
      <c r="AC44" s="34" t="e">
        <f t="shared" ca="1" si="15"/>
        <v>#REF!</v>
      </c>
      <c r="AD44" s="34" t="e">
        <f t="shared" ca="1" si="5"/>
        <v>#REF!</v>
      </c>
      <c r="AE44" s="34" t="e">
        <f t="shared" ca="1" si="6"/>
        <v>#REF!</v>
      </c>
    </row>
    <row r="45" spans="1:31" x14ac:dyDescent="0.2">
      <c r="A45" s="29" t="str" cm="1">
        <f t="array" aca="1" ref="A45" ca="1">IFERROR(INDEX(MID(SheetNames,FIND("]",SheetNames)+1,255),ROWS(A$31:A45)),"")</f>
        <v/>
      </c>
      <c r="B45" s="29"/>
      <c r="C45" s="29" t="str">
        <f t="shared" si="16"/>
        <v/>
      </c>
      <c r="D45" s="29">
        <f t="shared" ref="D45:D108" si="19">D39</f>
        <v>2030</v>
      </c>
      <c r="E45" s="32" t="e">
        <f t="shared" ca="1" si="18"/>
        <v>#REF!</v>
      </c>
      <c r="F45" s="32" t="e">
        <f t="shared" ca="1" si="18"/>
        <v>#REF!</v>
      </c>
      <c r="G45" s="32" t="e">
        <f t="shared" ca="1" si="18"/>
        <v>#REF!</v>
      </c>
      <c r="H45" s="32" t="e">
        <f t="shared" ca="1" si="18"/>
        <v>#REF!</v>
      </c>
      <c r="I45" s="32" t="e">
        <f t="shared" ca="1" si="18"/>
        <v>#REF!</v>
      </c>
      <c r="J45" s="32" t="e">
        <f t="shared" ca="1" si="18"/>
        <v>#REF!</v>
      </c>
      <c r="K45" s="32" t="e">
        <f t="shared" ca="1" si="18"/>
        <v>#REF!</v>
      </c>
      <c r="L45" s="32" t="e">
        <f t="shared" ca="1" si="18"/>
        <v>#REF!</v>
      </c>
      <c r="M45" s="32" t="e">
        <f t="shared" ca="1" si="18"/>
        <v>#REF!</v>
      </c>
      <c r="N45" s="32" t="e">
        <f t="shared" ca="1" si="18"/>
        <v>#REF!</v>
      </c>
      <c r="O45" s="32" t="e">
        <f t="shared" ca="1" si="18"/>
        <v>#REF!</v>
      </c>
      <c r="P45" s="32" t="e">
        <f t="shared" ca="1" si="18"/>
        <v>#REF!</v>
      </c>
      <c r="Q45" s="32" t="e">
        <f t="shared" ca="1" si="18"/>
        <v>#REF!</v>
      </c>
      <c r="R45">
        <v>0</v>
      </c>
      <c r="S45" s="29" t="str">
        <f t="shared" si="11"/>
        <v/>
      </c>
      <c r="T45" s="29">
        <f t="shared" si="12"/>
        <v>2030</v>
      </c>
      <c r="U45" s="32" t="e">
        <f t="shared" ca="1" si="13"/>
        <v>#REF!</v>
      </c>
      <c r="V45" s="32" t="e">
        <f t="shared" ca="1" si="13"/>
        <v>#REF!</v>
      </c>
      <c r="W45" s="32" t="e">
        <f t="shared" ca="1" si="13"/>
        <v>#REF!</v>
      </c>
      <c r="X45" s="32" t="e">
        <f t="shared" ca="1" si="13"/>
        <v>#REF!</v>
      </c>
      <c r="Y45" s="1" t="e">
        <f t="shared" ca="1" si="14"/>
        <v>#REF!</v>
      </c>
      <c r="AA45" s="31" t="e">
        <f t="shared" ca="1" si="4"/>
        <v>#REF!</v>
      </c>
      <c r="AC45" s="34" t="e">
        <f t="shared" ca="1" si="15"/>
        <v>#REF!</v>
      </c>
      <c r="AD45" s="34" t="e">
        <f t="shared" ca="1" si="5"/>
        <v>#REF!</v>
      </c>
      <c r="AE45" s="34" t="e">
        <f t="shared" ca="1" si="6"/>
        <v>#REF!</v>
      </c>
    </row>
    <row r="46" spans="1:31" x14ac:dyDescent="0.2">
      <c r="A46" s="29" t="str" cm="1">
        <f t="array" aca="1" ref="A46" ca="1">IFERROR(INDEX(MID(SheetNames,FIND("]",SheetNames)+1,255),ROWS(A$31:A46)),"")</f>
        <v/>
      </c>
      <c r="B46" s="29"/>
      <c r="C46" s="29" t="str">
        <f t="shared" si="16"/>
        <v/>
      </c>
      <c r="D46" s="29">
        <f t="shared" si="19"/>
        <v>2035</v>
      </c>
      <c r="E46" s="32" t="e">
        <f t="shared" ca="1" si="18"/>
        <v>#REF!</v>
      </c>
      <c r="F46" s="32" t="e">
        <f t="shared" ca="1" si="18"/>
        <v>#REF!</v>
      </c>
      <c r="G46" s="32" t="e">
        <f t="shared" ca="1" si="18"/>
        <v>#REF!</v>
      </c>
      <c r="H46" s="32" t="e">
        <f t="shared" ca="1" si="18"/>
        <v>#REF!</v>
      </c>
      <c r="I46" s="32" t="e">
        <f t="shared" ca="1" si="18"/>
        <v>#REF!</v>
      </c>
      <c r="J46" s="32" t="e">
        <f t="shared" ca="1" si="18"/>
        <v>#REF!</v>
      </c>
      <c r="K46" s="32" t="e">
        <f t="shared" ca="1" si="18"/>
        <v>#REF!</v>
      </c>
      <c r="L46" s="32" t="e">
        <f t="shared" ca="1" si="18"/>
        <v>#REF!</v>
      </c>
      <c r="M46" s="32" t="e">
        <f t="shared" ca="1" si="18"/>
        <v>#REF!</v>
      </c>
      <c r="N46" s="32" t="e">
        <f t="shared" ca="1" si="18"/>
        <v>#REF!</v>
      </c>
      <c r="O46" s="32" t="e">
        <f t="shared" ca="1" si="18"/>
        <v>#REF!</v>
      </c>
      <c r="P46" s="32" t="e">
        <f t="shared" ca="1" si="18"/>
        <v>#REF!</v>
      </c>
      <c r="Q46" s="32" t="e">
        <f t="shared" ca="1" si="18"/>
        <v>#REF!</v>
      </c>
      <c r="R46">
        <v>0</v>
      </c>
      <c r="S46" s="29" t="str">
        <f t="shared" si="11"/>
        <v/>
      </c>
      <c r="T46" s="29">
        <f t="shared" si="12"/>
        <v>2035</v>
      </c>
      <c r="U46" s="32" t="e">
        <f t="shared" ca="1" si="13"/>
        <v>#REF!</v>
      </c>
      <c r="V46" s="32" t="e">
        <f t="shared" ca="1" si="13"/>
        <v>#REF!</v>
      </c>
      <c r="W46" s="32" t="e">
        <f t="shared" ca="1" si="13"/>
        <v>#REF!</v>
      </c>
      <c r="X46" s="32" t="e">
        <f t="shared" ca="1" si="13"/>
        <v>#REF!</v>
      </c>
      <c r="Y46" s="1" t="e">
        <f t="shared" ca="1" si="14"/>
        <v>#REF!</v>
      </c>
      <c r="AA46" s="31" t="e">
        <f t="shared" ca="1" si="4"/>
        <v>#REF!</v>
      </c>
      <c r="AC46" s="34" t="e">
        <f t="shared" ca="1" si="15"/>
        <v>#REF!</v>
      </c>
      <c r="AD46" s="34" t="e">
        <f t="shared" ca="1" si="5"/>
        <v>#REF!</v>
      </c>
      <c r="AE46" s="34" t="e">
        <f t="shared" ca="1" si="6"/>
        <v>#REF!</v>
      </c>
    </row>
    <row r="47" spans="1:31" x14ac:dyDescent="0.2">
      <c r="A47" s="29" t="str" cm="1">
        <f t="array" aca="1" ref="A47" ca="1">IFERROR(INDEX(MID(SheetNames,FIND("]",SheetNames)+1,255),ROWS(A$31:A47)),"")</f>
        <v/>
      </c>
      <c r="B47" s="29"/>
      <c r="C47" s="29" t="str">
        <f t="shared" si="16"/>
        <v/>
      </c>
      <c r="D47" s="29">
        <f t="shared" si="19"/>
        <v>2040</v>
      </c>
      <c r="E47" s="32" t="e">
        <f t="shared" ca="1" si="18"/>
        <v>#REF!</v>
      </c>
      <c r="F47" s="32" t="e">
        <f t="shared" ca="1" si="18"/>
        <v>#REF!</v>
      </c>
      <c r="G47" s="32" t="e">
        <f t="shared" ca="1" si="18"/>
        <v>#REF!</v>
      </c>
      <c r="H47" s="32" t="e">
        <f t="shared" ca="1" si="18"/>
        <v>#REF!</v>
      </c>
      <c r="I47" s="32" t="e">
        <f t="shared" ca="1" si="18"/>
        <v>#REF!</v>
      </c>
      <c r="J47" s="32" t="e">
        <f t="shared" ca="1" si="18"/>
        <v>#REF!</v>
      </c>
      <c r="K47" s="32" t="e">
        <f t="shared" ca="1" si="18"/>
        <v>#REF!</v>
      </c>
      <c r="L47" s="32" t="e">
        <f t="shared" ca="1" si="18"/>
        <v>#REF!</v>
      </c>
      <c r="M47" s="32" t="e">
        <f t="shared" ca="1" si="18"/>
        <v>#REF!</v>
      </c>
      <c r="N47" s="32" t="e">
        <f t="shared" ca="1" si="18"/>
        <v>#REF!</v>
      </c>
      <c r="O47" s="32" t="e">
        <f t="shared" ca="1" si="18"/>
        <v>#REF!</v>
      </c>
      <c r="P47" s="32" t="e">
        <f t="shared" ca="1" si="18"/>
        <v>#REF!</v>
      </c>
      <c r="Q47" s="32" t="e">
        <f t="shared" ca="1" si="18"/>
        <v>#REF!</v>
      </c>
      <c r="R47">
        <v>0</v>
      </c>
      <c r="S47" s="29" t="str">
        <f t="shared" si="11"/>
        <v/>
      </c>
      <c r="T47" s="29">
        <f t="shared" si="12"/>
        <v>2040</v>
      </c>
      <c r="U47" s="32" t="e">
        <f t="shared" ca="1" si="13"/>
        <v>#REF!</v>
      </c>
      <c r="V47" s="32" t="e">
        <f t="shared" ca="1" si="13"/>
        <v>#REF!</v>
      </c>
      <c r="W47" s="32" t="e">
        <f t="shared" ca="1" si="13"/>
        <v>#REF!</v>
      </c>
      <c r="X47" s="32" t="e">
        <f t="shared" ca="1" si="13"/>
        <v>#REF!</v>
      </c>
      <c r="Y47" s="1" t="e">
        <f t="shared" ca="1" si="14"/>
        <v>#REF!</v>
      </c>
      <c r="AA47" s="31" t="e">
        <f t="shared" ca="1" si="4"/>
        <v>#REF!</v>
      </c>
      <c r="AC47" s="34" t="e">
        <f t="shared" ca="1" si="15"/>
        <v>#REF!</v>
      </c>
      <c r="AD47" s="34" t="e">
        <f t="shared" ca="1" si="5"/>
        <v>#REF!</v>
      </c>
      <c r="AE47" s="34" t="e">
        <f t="shared" ca="1" si="6"/>
        <v>#REF!</v>
      </c>
    </row>
    <row r="48" spans="1:31" x14ac:dyDescent="0.2">
      <c r="A48" s="29" t="str" cm="1">
        <f t="array" aca="1" ref="A48" ca="1">IFERROR(INDEX(MID(SheetNames,FIND("]",SheetNames)+1,255),ROWS(A$31:A48)),"")</f>
        <v/>
      </c>
      <c r="B48" s="29"/>
      <c r="C48" s="29" t="str">
        <f t="shared" si="16"/>
        <v/>
      </c>
      <c r="D48" s="29">
        <f t="shared" si="19"/>
        <v>2045</v>
      </c>
      <c r="E48" s="32" t="e">
        <f t="shared" ca="1" si="18"/>
        <v>#REF!</v>
      </c>
      <c r="F48" s="32" t="e">
        <f t="shared" ca="1" si="18"/>
        <v>#REF!</v>
      </c>
      <c r="G48" s="32" t="e">
        <f t="shared" ca="1" si="18"/>
        <v>#REF!</v>
      </c>
      <c r="H48" s="32" t="e">
        <f t="shared" ca="1" si="18"/>
        <v>#REF!</v>
      </c>
      <c r="I48" s="32" t="e">
        <f t="shared" ca="1" si="18"/>
        <v>#REF!</v>
      </c>
      <c r="J48" s="32" t="e">
        <f t="shared" ca="1" si="18"/>
        <v>#REF!</v>
      </c>
      <c r="K48" s="32" t="e">
        <f t="shared" ca="1" si="18"/>
        <v>#REF!</v>
      </c>
      <c r="L48" s="32" t="e">
        <f t="shared" ca="1" si="18"/>
        <v>#REF!</v>
      </c>
      <c r="M48" s="32" t="e">
        <f t="shared" ca="1" si="18"/>
        <v>#REF!</v>
      </c>
      <c r="N48" s="32" t="e">
        <f t="shared" ca="1" si="18"/>
        <v>#REF!</v>
      </c>
      <c r="O48" s="32" t="e">
        <f t="shared" ca="1" si="18"/>
        <v>#REF!</v>
      </c>
      <c r="P48" s="32" t="e">
        <f t="shared" ca="1" si="18"/>
        <v>#REF!</v>
      </c>
      <c r="Q48" s="32" t="e">
        <f t="shared" ca="1" si="18"/>
        <v>#REF!</v>
      </c>
      <c r="R48">
        <v>0</v>
      </c>
      <c r="S48" s="29" t="str">
        <f t="shared" si="11"/>
        <v/>
      </c>
      <c r="T48" s="29">
        <f t="shared" si="12"/>
        <v>2045</v>
      </c>
      <c r="U48" s="32" t="e">
        <f t="shared" ca="1" si="13"/>
        <v>#REF!</v>
      </c>
      <c r="V48" s="32" t="e">
        <f t="shared" ca="1" si="13"/>
        <v>#REF!</v>
      </c>
      <c r="W48" s="32" t="e">
        <f t="shared" ca="1" si="13"/>
        <v>#REF!</v>
      </c>
      <c r="X48" s="32" t="e">
        <f t="shared" ca="1" si="13"/>
        <v>#REF!</v>
      </c>
      <c r="Y48" s="1" t="e">
        <f t="shared" ca="1" si="14"/>
        <v>#REF!</v>
      </c>
      <c r="AA48" s="31" t="e">
        <f t="shared" ca="1" si="4"/>
        <v>#REF!</v>
      </c>
      <c r="AC48" s="34" t="e">
        <f t="shared" ca="1" si="15"/>
        <v>#REF!</v>
      </c>
      <c r="AD48" s="34" t="e">
        <f t="shared" ca="1" si="5"/>
        <v>#REF!</v>
      </c>
      <c r="AE48" s="34" t="e">
        <f t="shared" ca="1" si="6"/>
        <v>#REF!</v>
      </c>
    </row>
    <row r="49" spans="1:31" x14ac:dyDescent="0.2">
      <c r="A49" s="29" t="str" cm="1">
        <f t="array" aca="1" ref="A49" ca="1">IFERROR(INDEX(MID(SheetNames,FIND("]",SheetNames)+1,255),ROWS(A$31:A49)),"")</f>
        <v/>
      </c>
      <c r="B49" s="29"/>
      <c r="C49" s="29" t="str">
        <f t="shared" si="16"/>
        <v/>
      </c>
      <c r="D49" s="29">
        <f t="shared" si="19"/>
        <v>2050</v>
      </c>
      <c r="E49" s="32" t="e">
        <f t="shared" ca="1" si="18"/>
        <v>#REF!</v>
      </c>
      <c r="F49" s="32" t="e">
        <f t="shared" ca="1" si="18"/>
        <v>#REF!</v>
      </c>
      <c r="G49" s="32" t="e">
        <f t="shared" ca="1" si="18"/>
        <v>#REF!</v>
      </c>
      <c r="H49" s="32" t="e">
        <f t="shared" ca="1" si="18"/>
        <v>#REF!</v>
      </c>
      <c r="I49" s="32" t="e">
        <f t="shared" ca="1" si="18"/>
        <v>#REF!</v>
      </c>
      <c r="J49" s="32" t="e">
        <f t="shared" ca="1" si="18"/>
        <v>#REF!</v>
      </c>
      <c r="K49" s="32" t="e">
        <f t="shared" ca="1" si="18"/>
        <v>#REF!</v>
      </c>
      <c r="L49" s="32" t="e">
        <f t="shared" ca="1" si="18"/>
        <v>#REF!</v>
      </c>
      <c r="M49" s="32" t="e">
        <f t="shared" ca="1" si="18"/>
        <v>#REF!</v>
      </c>
      <c r="N49" s="32" t="e">
        <f t="shared" ca="1" si="18"/>
        <v>#REF!</v>
      </c>
      <c r="O49" s="32" t="e">
        <f t="shared" ca="1" si="18"/>
        <v>#REF!</v>
      </c>
      <c r="P49" s="32" t="e">
        <f t="shared" ca="1" si="18"/>
        <v>#REF!</v>
      </c>
      <c r="Q49" s="32" t="e">
        <f t="shared" ca="1" si="18"/>
        <v>#REF!</v>
      </c>
      <c r="R49">
        <v>0</v>
      </c>
      <c r="S49" s="29" t="str">
        <f t="shared" si="11"/>
        <v/>
      </c>
      <c r="T49" s="29">
        <f t="shared" si="12"/>
        <v>2050</v>
      </c>
      <c r="U49" s="32" t="e">
        <f t="shared" ca="1" si="13"/>
        <v>#REF!</v>
      </c>
      <c r="V49" s="32" t="e">
        <f t="shared" ca="1" si="13"/>
        <v>#REF!</v>
      </c>
      <c r="W49" s="32" t="e">
        <f t="shared" ca="1" si="13"/>
        <v>#REF!</v>
      </c>
      <c r="X49" s="32" t="e">
        <f t="shared" ca="1" si="13"/>
        <v>#REF!</v>
      </c>
      <c r="Y49" s="1" t="e">
        <f t="shared" ca="1" si="14"/>
        <v>#REF!</v>
      </c>
      <c r="AA49" s="31" t="e">
        <f t="shared" ca="1" si="4"/>
        <v>#REF!</v>
      </c>
      <c r="AC49" s="34" t="e">
        <f t="shared" ca="1" si="15"/>
        <v>#REF!</v>
      </c>
      <c r="AD49" s="34" t="e">
        <f t="shared" ca="1" si="5"/>
        <v>#REF!</v>
      </c>
      <c r="AE49" s="34" t="e">
        <f t="shared" ca="1" si="6"/>
        <v>#REF!</v>
      </c>
    </row>
    <row r="50" spans="1:31" x14ac:dyDescent="0.2">
      <c r="A50" s="29" t="str" cm="1">
        <f t="array" aca="1" ref="A50" ca="1">IFERROR(INDEX(MID(SheetNames,FIND("]",SheetNames)+1,255),ROWS(A$31:A50)),"")</f>
        <v/>
      </c>
      <c r="B50" s="29"/>
      <c r="C50" s="29" t="str">
        <f t="shared" si="16"/>
        <v/>
      </c>
      <c r="D50" s="29">
        <f t="shared" si="19"/>
        <v>2025</v>
      </c>
      <c r="E50" s="32" t="e">
        <f t="shared" ca="1" si="18"/>
        <v>#REF!</v>
      </c>
      <c r="F50" s="32" t="e">
        <f t="shared" ca="1" si="18"/>
        <v>#REF!</v>
      </c>
      <c r="G50" s="32" t="e">
        <f t="shared" ca="1" si="18"/>
        <v>#REF!</v>
      </c>
      <c r="H50" s="32" t="e">
        <f t="shared" ca="1" si="18"/>
        <v>#REF!</v>
      </c>
      <c r="I50" s="32" t="e">
        <f t="shared" ca="1" si="18"/>
        <v>#REF!</v>
      </c>
      <c r="J50" s="32" t="e">
        <f t="shared" ca="1" si="18"/>
        <v>#REF!</v>
      </c>
      <c r="K50" s="32" t="e">
        <f t="shared" ca="1" si="18"/>
        <v>#REF!</v>
      </c>
      <c r="L50" s="32" t="e">
        <f t="shared" ca="1" si="18"/>
        <v>#REF!</v>
      </c>
      <c r="M50" s="32" t="e">
        <f t="shared" ca="1" si="18"/>
        <v>#REF!</v>
      </c>
      <c r="N50" s="32" t="e">
        <f t="shared" ca="1" si="18"/>
        <v>#REF!</v>
      </c>
      <c r="O50" s="32" t="e">
        <f t="shared" ca="1" si="18"/>
        <v>#REF!</v>
      </c>
      <c r="P50" s="32" t="e">
        <f t="shared" ca="1" si="18"/>
        <v>#REF!</v>
      </c>
      <c r="Q50" s="32" t="e">
        <f t="shared" ca="1" si="18"/>
        <v>#REF!</v>
      </c>
      <c r="R50">
        <v>0</v>
      </c>
      <c r="S50" s="29" t="str">
        <f t="shared" si="11"/>
        <v/>
      </c>
      <c r="T50" s="29">
        <f t="shared" si="12"/>
        <v>2025</v>
      </c>
      <c r="U50" s="32" t="e">
        <f t="shared" ca="1" si="13"/>
        <v>#REF!</v>
      </c>
      <c r="V50" s="32" t="e">
        <f t="shared" ca="1" si="13"/>
        <v>#REF!</v>
      </c>
      <c r="W50" s="32" t="e">
        <f t="shared" ca="1" si="13"/>
        <v>#REF!</v>
      </c>
      <c r="X50" s="32" t="e">
        <f t="shared" ca="1" si="13"/>
        <v>#REF!</v>
      </c>
      <c r="Y50" s="1">
        <f t="shared" si="14"/>
        <v>0</v>
      </c>
      <c r="AA50" s="31" t="e">
        <f t="shared" ca="1" si="4"/>
        <v>#REF!</v>
      </c>
      <c r="AC50" s="34" t="e">
        <f t="shared" ca="1" si="15"/>
        <v>#REF!</v>
      </c>
      <c r="AD50" s="34" t="e">
        <f t="shared" ca="1" si="5"/>
        <v>#REF!</v>
      </c>
      <c r="AE50" s="34" t="e">
        <f t="shared" ca="1" si="6"/>
        <v>#REF!</v>
      </c>
    </row>
    <row r="51" spans="1:31" x14ac:dyDescent="0.2">
      <c r="A51" s="29" t="str" cm="1">
        <f t="array" aca="1" ref="A51" ca="1">IFERROR(INDEX(MID(SheetNames,FIND("]",SheetNames)+1,255),ROWS(A$31:A51)),"")</f>
        <v/>
      </c>
      <c r="B51" s="29"/>
      <c r="C51" s="29" t="str">
        <f t="shared" si="16"/>
        <v/>
      </c>
      <c r="D51" s="29">
        <f t="shared" si="19"/>
        <v>2030</v>
      </c>
      <c r="E51" s="32" t="e">
        <f t="shared" ca="1" si="18"/>
        <v>#REF!</v>
      </c>
      <c r="F51" s="32" t="e">
        <f t="shared" ca="1" si="18"/>
        <v>#REF!</v>
      </c>
      <c r="G51" s="32" t="e">
        <f t="shared" ca="1" si="18"/>
        <v>#REF!</v>
      </c>
      <c r="H51" s="32" t="e">
        <f t="shared" ca="1" si="18"/>
        <v>#REF!</v>
      </c>
      <c r="I51" s="32" t="e">
        <f t="shared" ca="1" si="18"/>
        <v>#REF!</v>
      </c>
      <c r="J51" s="32" t="e">
        <f t="shared" ca="1" si="18"/>
        <v>#REF!</v>
      </c>
      <c r="K51" s="32" t="e">
        <f t="shared" ca="1" si="18"/>
        <v>#REF!</v>
      </c>
      <c r="L51" s="32" t="e">
        <f t="shared" ca="1" si="18"/>
        <v>#REF!</v>
      </c>
      <c r="M51" s="32" t="e">
        <f t="shared" ca="1" si="18"/>
        <v>#REF!</v>
      </c>
      <c r="N51" s="32" t="e">
        <f t="shared" ca="1" si="18"/>
        <v>#REF!</v>
      </c>
      <c r="O51" s="32" t="e">
        <f t="shared" ca="1" si="18"/>
        <v>#REF!</v>
      </c>
      <c r="P51" s="32" t="e">
        <f t="shared" ca="1" si="18"/>
        <v>#REF!</v>
      </c>
      <c r="Q51" s="32" t="e">
        <f t="shared" ca="1" si="18"/>
        <v>#REF!</v>
      </c>
      <c r="R51">
        <v>0</v>
      </c>
      <c r="S51" s="29" t="str">
        <f t="shared" si="11"/>
        <v/>
      </c>
      <c r="T51" s="29">
        <f t="shared" si="12"/>
        <v>2030</v>
      </c>
      <c r="U51" s="32" t="e">
        <f t="shared" ca="1" si="13"/>
        <v>#REF!</v>
      </c>
      <c r="V51" s="32" t="e">
        <f t="shared" ca="1" si="13"/>
        <v>#REF!</v>
      </c>
      <c r="W51" s="32" t="e">
        <f t="shared" ca="1" si="13"/>
        <v>#REF!</v>
      </c>
      <c r="X51" s="32" t="e">
        <f t="shared" ca="1" si="13"/>
        <v>#REF!</v>
      </c>
      <c r="Y51" s="1" t="e">
        <f t="shared" ca="1" si="14"/>
        <v>#REF!</v>
      </c>
      <c r="AA51" s="31" t="e">
        <f t="shared" ca="1" si="4"/>
        <v>#REF!</v>
      </c>
      <c r="AC51" s="34" t="e">
        <f t="shared" ca="1" si="15"/>
        <v>#REF!</v>
      </c>
      <c r="AD51" s="34" t="e">
        <f t="shared" ca="1" si="5"/>
        <v>#REF!</v>
      </c>
      <c r="AE51" s="34" t="e">
        <f t="shared" ca="1" si="6"/>
        <v>#REF!</v>
      </c>
    </row>
    <row r="52" spans="1:31" x14ac:dyDescent="0.2">
      <c r="A52" s="29" t="str" cm="1">
        <f t="array" aca="1" ref="A52" ca="1">IFERROR(INDEX(MID(SheetNames,FIND("]",SheetNames)+1,255),ROWS(A$31:A52)),"")</f>
        <v/>
      </c>
      <c r="B52" s="29"/>
      <c r="C52" s="29" t="str">
        <f t="shared" si="16"/>
        <v/>
      </c>
      <c r="D52" s="29">
        <f t="shared" si="19"/>
        <v>2035</v>
      </c>
      <c r="E52" s="32" t="e">
        <f t="shared" ref="E52:Q61" ca="1" si="20">INDEX(INDIRECT("'"&amp;$B52&amp;"'!"&amp;$A$1),MATCH(E$31,INDIRECT("'"&amp;$B52&amp;"'!G43:G55"),0),MATCH($D52,INDIRECT("'"&amp;$B52&amp;"'!H42:AG42")))</f>
        <v>#REF!</v>
      </c>
      <c r="F52" s="32" t="e">
        <f t="shared" ca="1" si="20"/>
        <v>#REF!</v>
      </c>
      <c r="G52" s="32" t="e">
        <f t="shared" ca="1" si="20"/>
        <v>#REF!</v>
      </c>
      <c r="H52" s="32" t="e">
        <f t="shared" ca="1" si="20"/>
        <v>#REF!</v>
      </c>
      <c r="I52" s="32" t="e">
        <f t="shared" ca="1" si="20"/>
        <v>#REF!</v>
      </c>
      <c r="J52" s="32" t="e">
        <f t="shared" ca="1" si="20"/>
        <v>#REF!</v>
      </c>
      <c r="K52" s="32" t="e">
        <f t="shared" ca="1" si="20"/>
        <v>#REF!</v>
      </c>
      <c r="L52" s="32" t="e">
        <f t="shared" ca="1" si="20"/>
        <v>#REF!</v>
      </c>
      <c r="M52" s="32" t="e">
        <f t="shared" ca="1" si="20"/>
        <v>#REF!</v>
      </c>
      <c r="N52" s="32" t="e">
        <f t="shared" ca="1" si="20"/>
        <v>#REF!</v>
      </c>
      <c r="O52" s="32" t="e">
        <f t="shared" ca="1" si="20"/>
        <v>#REF!</v>
      </c>
      <c r="P52" s="32" t="e">
        <f t="shared" ca="1" si="20"/>
        <v>#REF!</v>
      </c>
      <c r="Q52" s="32" t="e">
        <f t="shared" ca="1" si="20"/>
        <v>#REF!</v>
      </c>
      <c r="R52">
        <v>0</v>
      </c>
      <c r="S52" s="29" t="str">
        <f t="shared" si="11"/>
        <v/>
      </c>
      <c r="T52" s="29">
        <f t="shared" si="12"/>
        <v>2035</v>
      </c>
      <c r="U52" s="32" t="e">
        <f t="shared" ca="1" si="13"/>
        <v>#REF!</v>
      </c>
      <c r="V52" s="32" t="e">
        <f t="shared" ca="1" si="13"/>
        <v>#REF!</v>
      </c>
      <c r="W52" s="32" t="e">
        <f t="shared" ca="1" si="13"/>
        <v>#REF!</v>
      </c>
      <c r="X52" s="32" t="e">
        <f t="shared" ca="1" si="13"/>
        <v>#REF!</v>
      </c>
      <c r="Y52" s="1" t="e">
        <f t="shared" ca="1" si="14"/>
        <v>#REF!</v>
      </c>
      <c r="AA52" s="31" t="e">
        <f t="shared" ca="1" si="4"/>
        <v>#REF!</v>
      </c>
      <c r="AC52" s="34" t="e">
        <f t="shared" ca="1" si="15"/>
        <v>#REF!</v>
      </c>
      <c r="AD52" s="34" t="e">
        <f t="shared" ca="1" si="5"/>
        <v>#REF!</v>
      </c>
      <c r="AE52" s="34" t="e">
        <f t="shared" ca="1" si="6"/>
        <v>#REF!</v>
      </c>
    </row>
    <row r="53" spans="1:31" x14ac:dyDescent="0.2">
      <c r="A53" s="29" t="str" cm="1">
        <f t="array" aca="1" ref="A53" ca="1">IFERROR(INDEX(MID(SheetNames,FIND("]",SheetNames)+1,255),ROWS(A$31:A53)),"")</f>
        <v/>
      </c>
      <c r="B53" s="29"/>
      <c r="C53" s="29" t="str">
        <f t="shared" si="16"/>
        <v/>
      </c>
      <c r="D53" s="29">
        <f t="shared" si="19"/>
        <v>2040</v>
      </c>
      <c r="E53" s="32" t="e">
        <f t="shared" ca="1" si="20"/>
        <v>#REF!</v>
      </c>
      <c r="F53" s="32" t="e">
        <f t="shared" ca="1" si="20"/>
        <v>#REF!</v>
      </c>
      <c r="G53" s="32" t="e">
        <f t="shared" ca="1" si="20"/>
        <v>#REF!</v>
      </c>
      <c r="H53" s="32" t="e">
        <f t="shared" ca="1" si="20"/>
        <v>#REF!</v>
      </c>
      <c r="I53" s="32" t="e">
        <f t="shared" ca="1" si="20"/>
        <v>#REF!</v>
      </c>
      <c r="J53" s="32" t="e">
        <f t="shared" ca="1" si="20"/>
        <v>#REF!</v>
      </c>
      <c r="K53" s="32" t="e">
        <f t="shared" ca="1" si="20"/>
        <v>#REF!</v>
      </c>
      <c r="L53" s="32" t="e">
        <f t="shared" ca="1" si="20"/>
        <v>#REF!</v>
      </c>
      <c r="M53" s="32" t="e">
        <f t="shared" ca="1" si="20"/>
        <v>#REF!</v>
      </c>
      <c r="N53" s="32" t="e">
        <f t="shared" ca="1" si="20"/>
        <v>#REF!</v>
      </c>
      <c r="O53" s="32" t="e">
        <f t="shared" ca="1" si="20"/>
        <v>#REF!</v>
      </c>
      <c r="P53" s="32" t="e">
        <f t="shared" ca="1" si="20"/>
        <v>#REF!</v>
      </c>
      <c r="Q53" s="32" t="e">
        <f t="shared" ca="1" si="20"/>
        <v>#REF!</v>
      </c>
      <c r="R53">
        <v>0</v>
      </c>
      <c r="S53" s="29" t="str">
        <f t="shared" si="11"/>
        <v/>
      </c>
      <c r="T53" s="29">
        <f t="shared" si="12"/>
        <v>2040</v>
      </c>
      <c r="U53" s="32" t="e">
        <f t="shared" ca="1" si="13"/>
        <v>#REF!</v>
      </c>
      <c r="V53" s="32" t="e">
        <f t="shared" ca="1" si="13"/>
        <v>#REF!</v>
      </c>
      <c r="W53" s="32" t="e">
        <f t="shared" ca="1" si="13"/>
        <v>#REF!</v>
      </c>
      <c r="X53" s="32" t="e">
        <f t="shared" ca="1" si="13"/>
        <v>#REF!</v>
      </c>
      <c r="Y53" s="1" t="e">
        <f t="shared" ca="1" si="14"/>
        <v>#REF!</v>
      </c>
      <c r="AA53" s="31" t="e">
        <f t="shared" ca="1" si="4"/>
        <v>#REF!</v>
      </c>
      <c r="AC53" s="34" t="e">
        <f t="shared" ca="1" si="15"/>
        <v>#REF!</v>
      </c>
      <c r="AD53" s="34" t="e">
        <f t="shared" ca="1" si="5"/>
        <v>#REF!</v>
      </c>
      <c r="AE53" s="34" t="e">
        <f t="shared" ca="1" si="6"/>
        <v>#REF!</v>
      </c>
    </row>
    <row r="54" spans="1:31" x14ac:dyDescent="0.2">
      <c r="A54" s="29" t="str" cm="1">
        <f t="array" aca="1" ref="A54" ca="1">IFERROR(INDEX(MID(SheetNames,FIND("]",SheetNames)+1,255),ROWS(A$31:A54)),"")</f>
        <v/>
      </c>
      <c r="B54" s="29"/>
      <c r="C54" s="29" t="str">
        <f t="shared" si="16"/>
        <v/>
      </c>
      <c r="D54" s="29">
        <f t="shared" si="19"/>
        <v>2045</v>
      </c>
      <c r="E54" s="32" t="e">
        <f t="shared" ca="1" si="20"/>
        <v>#REF!</v>
      </c>
      <c r="F54" s="32" t="e">
        <f t="shared" ca="1" si="20"/>
        <v>#REF!</v>
      </c>
      <c r="G54" s="32" t="e">
        <f t="shared" ca="1" si="20"/>
        <v>#REF!</v>
      </c>
      <c r="H54" s="32" t="e">
        <f t="shared" ca="1" si="20"/>
        <v>#REF!</v>
      </c>
      <c r="I54" s="32" t="e">
        <f t="shared" ca="1" si="20"/>
        <v>#REF!</v>
      </c>
      <c r="J54" s="32" t="e">
        <f t="shared" ca="1" si="20"/>
        <v>#REF!</v>
      </c>
      <c r="K54" s="32" t="e">
        <f t="shared" ca="1" si="20"/>
        <v>#REF!</v>
      </c>
      <c r="L54" s="32" t="e">
        <f t="shared" ca="1" si="20"/>
        <v>#REF!</v>
      </c>
      <c r="M54" s="32" t="e">
        <f t="shared" ca="1" si="20"/>
        <v>#REF!</v>
      </c>
      <c r="N54" s="32" t="e">
        <f t="shared" ca="1" si="20"/>
        <v>#REF!</v>
      </c>
      <c r="O54" s="32" t="e">
        <f t="shared" ca="1" si="20"/>
        <v>#REF!</v>
      </c>
      <c r="P54" s="32" t="e">
        <f t="shared" ca="1" si="20"/>
        <v>#REF!</v>
      </c>
      <c r="Q54" s="32" t="e">
        <f t="shared" ca="1" si="20"/>
        <v>#REF!</v>
      </c>
      <c r="R54">
        <v>0</v>
      </c>
      <c r="S54" s="29" t="str">
        <f t="shared" si="11"/>
        <v/>
      </c>
      <c r="T54" s="29">
        <f t="shared" si="12"/>
        <v>2045</v>
      </c>
      <c r="U54" s="32" t="e">
        <f t="shared" ca="1" si="13"/>
        <v>#REF!</v>
      </c>
      <c r="V54" s="32" t="e">
        <f t="shared" ca="1" si="13"/>
        <v>#REF!</v>
      </c>
      <c r="W54" s="32" t="e">
        <f t="shared" ca="1" si="13"/>
        <v>#REF!</v>
      </c>
      <c r="X54" s="32" t="e">
        <f t="shared" ca="1" si="13"/>
        <v>#REF!</v>
      </c>
      <c r="Y54" s="1" t="e">
        <f t="shared" ca="1" si="14"/>
        <v>#REF!</v>
      </c>
      <c r="AA54" s="31" t="e">
        <f t="shared" ca="1" si="4"/>
        <v>#REF!</v>
      </c>
      <c r="AC54" s="34" t="e">
        <f t="shared" ca="1" si="15"/>
        <v>#REF!</v>
      </c>
      <c r="AD54" s="34" t="e">
        <f t="shared" ca="1" si="5"/>
        <v>#REF!</v>
      </c>
      <c r="AE54" s="34" t="e">
        <f t="shared" ca="1" si="6"/>
        <v>#REF!</v>
      </c>
    </row>
    <row r="55" spans="1:31" x14ac:dyDescent="0.2">
      <c r="A55" s="29" t="str" cm="1">
        <f t="array" aca="1" ref="A55" ca="1">IFERROR(INDEX(MID(SheetNames,FIND("]",SheetNames)+1,255),ROWS(A$31:A55)),"")</f>
        <v/>
      </c>
      <c r="B55" s="29"/>
      <c r="C55" s="29" t="str">
        <f t="shared" si="16"/>
        <v/>
      </c>
      <c r="D55" s="29">
        <f t="shared" si="19"/>
        <v>2050</v>
      </c>
      <c r="E55" s="32" t="e">
        <f t="shared" ca="1" si="20"/>
        <v>#REF!</v>
      </c>
      <c r="F55" s="32" t="e">
        <f t="shared" ca="1" si="20"/>
        <v>#REF!</v>
      </c>
      <c r="G55" s="32" t="e">
        <f t="shared" ca="1" si="20"/>
        <v>#REF!</v>
      </c>
      <c r="H55" s="32" t="e">
        <f t="shared" ca="1" si="20"/>
        <v>#REF!</v>
      </c>
      <c r="I55" s="32" t="e">
        <f t="shared" ca="1" si="20"/>
        <v>#REF!</v>
      </c>
      <c r="J55" s="32" t="e">
        <f t="shared" ca="1" si="20"/>
        <v>#REF!</v>
      </c>
      <c r="K55" s="32" t="e">
        <f t="shared" ca="1" si="20"/>
        <v>#REF!</v>
      </c>
      <c r="L55" s="32" t="e">
        <f t="shared" ca="1" si="20"/>
        <v>#REF!</v>
      </c>
      <c r="M55" s="32" t="e">
        <f t="shared" ca="1" si="20"/>
        <v>#REF!</v>
      </c>
      <c r="N55" s="32" t="e">
        <f t="shared" ca="1" si="20"/>
        <v>#REF!</v>
      </c>
      <c r="O55" s="32" t="e">
        <f t="shared" ca="1" si="20"/>
        <v>#REF!</v>
      </c>
      <c r="P55" s="32" t="e">
        <f t="shared" ca="1" si="20"/>
        <v>#REF!</v>
      </c>
      <c r="Q55" s="32" t="e">
        <f t="shared" ca="1" si="20"/>
        <v>#REF!</v>
      </c>
      <c r="R55">
        <v>0</v>
      </c>
      <c r="S55" s="29" t="str">
        <f t="shared" si="11"/>
        <v/>
      </c>
      <c r="T55" s="29">
        <f t="shared" si="12"/>
        <v>2050</v>
      </c>
      <c r="U55" s="32" t="e">
        <f t="shared" ca="1" si="13"/>
        <v>#REF!</v>
      </c>
      <c r="V55" s="32" t="e">
        <f t="shared" ca="1" si="13"/>
        <v>#REF!</v>
      </c>
      <c r="W55" s="32" t="e">
        <f t="shared" ca="1" si="13"/>
        <v>#REF!</v>
      </c>
      <c r="X55" s="32" t="e">
        <f t="shared" ca="1" si="13"/>
        <v>#REF!</v>
      </c>
      <c r="Y55" s="1" t="e">
        <f t="shared" ca="1" si="14"/>
        <v>#REF!</v>
      </c>
      <c r="AA55" s="31" t="e">
        <f t="shared" ca="1" si="4"/>
        <v>#REF!</v>
      </c>
      <c r="AC55" s="34" t="e">
        <f t="shared" ca="1" si="15"/>
        <v>#REF!</v>
      </c>
      <c r="AD55" s="34" t="e">
        <f t="shared" ca="1" si="5"/>
        <v>#REF!</v>
      </c>
      <c r="AE55" s="34" t="e">
        <f t="shared" ca="1" si="6"/>
        <v>#REF!</v>
      </c>
    </row>
    <row r="56" spans="1:31" x14ac:dyDescent="0.2">
      <c r="A56" s="29"/>
      <c r="B56" s="29"/>
      <c r="C56" s="29" t="str">
        <f t="shared" si="16"/>
        <v/>
      </c>
      <c r="D56" s="29">
        <f t="shared" si="19"/>
        <v>2025</v>
      </c>
      <c r="E56" s="32" t="e">
        <f t="shared" ca="1" si="20"/>
        <v>#REF!</v>
      </c>
      <c r="F56" s="32" t="e">
        <f t="shared" ca="1" si="20"/>
        <v>#REF!</v>
      </c>
      <c r="G56" s="32" t="e">
        <f t="shared" ca="1" si="20"/>
        <v>#REF!</v>
      </c>
      <c r="H56" s="32" t="e">
        <f t="shared" ca="1" si="20"/>
        <v>#REF!</v>
      </c>
      <c r="I56" s="32" t="e">
        <f t="shared" ca="1" si="20"/>
        <v>#REF!</v>
      </c>
      <c r="J56" s="32" t="e">
        <f t="shared" ca="1" si="20"/>
        <v>#REF!</v>
      </c>
      <c r="K56" s="32" t="e">
        <f t="shared" ca="1" si="20"/>
        <v>#REF!</v>
      </c>
      <c r="L56" s="32" t="e">
        <f t="shared" ca="1" si="20"/>
        <v>#REF!</v>
      </c>
      <c r="M56" s="32" t="e">
        <f t="shared" ca="1" si="20"/>
        <v>#REF!</v>
      </c>
      <c r="N56" s="32" t="e">
        <f t="shared" ca="1" si="20"/>
        <v>#REF!</v>
      </c>
      <c r="O56" s="32" t="e">
        <f t="shared" ca="1" si="20"/>
        <v>#REF!</v>
      </c>
      <c r="P56" s="32" t="e">
        <f t="shared" ca="1" si="20"/>
        <v>#REF!</v>
      </c>
      <c r="Q56" s="32" t="e">
        <f t="shared" ca="1" si="20"/>
        <v>#REF!</v>
      </c>
      <c r="R56">
        <v>0</v>
      </c>
      <c r="S56" s="29" t="str">
        <f t="shared" si="11"/>
        <v/>
      </c>
      <c r="T56" s="29">
        <f t="shared" si="12"/>
        <v>2025</v>
      </c>
      <c r="U56" s="32" t="e">
        <f t="shared" ca="1" si="13"/>
        <v>#REF!</v>
      </c>
      <c r="V56" s="32" t="e">
        <f t="shared" ca="1" si="13"/>
        <v>#REF!</v>
      </c>
      <c r="W56" s="32" t="e">
        <f t="shared" ca="1" si="13"/>
        <v>#REF!</v>
      </c>
      <c r="X56" s="32" t="e">
        <f t="shared" ca="1" si="13"/>
        <v>#REF!</v>
      </c>
      <c r="Y56" s="1">
        <f t="shared" si="14"/>
        <v>0</v>
      </c>
      <c r="AA56" s="31" t="e">
        <f t="shared" ca="1" si="4"/>
        <v>#REF!</v>
      </c>
      <c r="AC56" s="34" t="e">
        <f t="shared" ca="1" si="15"/>
        <v>#REF!</v>
      </c>
      <c r="AD56" s="34" t="e">
        <f t="shared" ca="1" si="5"/>
        <v>#REF!</v>
      </c>
      <c r="AE56" s="34" t="e">
        <f t="shared" ca="1" si="6"/>
        <v>#REF!</v>
      </c>
    </row>
    <row r="57" spans="1:31" x14ac:dyDescent="0.2">
      <c r="A57" s="29"/>
      <c r="B57" s="29"/>
      <c r="C57" s="29" t="str">
        <f t="shared" si="16"/>
        <v/>
      </c>
      <c r="D57" s="29">
        <f t="shared" si="19"/>
        <v>2030</v>
      </c>
      <c r="E57" s="32" t="e">
        <f t="shared" ca="1" si="20"/>
        <v>#REF!</v>
      </c>
      <c r="F57" s="32" t="e">
        <f t="shared" ca="1" si="20"/>
        <v>#REF!</v>
      </c>
      <c r="G57" s="32" t="e">
        <f t="shared" ca="1" si="20"/>
        <v>#REF!</v>
      </c>
      <c r="H57" s="32" t="e">
        <f t="shared" ca="1" si="20"/>
        <v>#REF!</v>
      </c>
      <c r="I57" s="32" t="e">
        <f t="shared" ca="1" si="20"/>
        <v>#REF!</v>
      </c>
      <c r="J57" s="32" t="e">
        <f t="shared" ca="1" si="20"/>
        <v>#REF!</v>
      </c>
      <c r="K57" s="32" t="e">
        <f t="shared" ca="1" si="20"/>
        <v>#REF!</v>
      </c>
      <c r="L57" s="32" t="e">
        <f t="shared" ca="1" si="20"/>
        <v>#REF!</v>
      </c>
      <c r="M57" s="32" t="e">
        <f t="shared" ca="1" si="20"/>
        <v>#REF!</v>
      </c>
      <c r="N57" s="32" t="e">
        <f t="shared" ca="1" si="20"/>
        <v>#REF!</v>
      </c>
      <c r="O57" s="32" t="e">
        <f t="shared" ca="1" si="20"/>
        <v>#REF!</v>
      </c>
      <c r="P57" s="32" t="e">
        <f t="shared" ca="1" si="20"/>
        <v>#REF!</v>
      </c>
      <c r="Q57" s="32" t="e">
        <f t="shared" ca="1" si="20"/>
        <v>#REF!</v>
      </c>
      <c r="R57">
        <v>0</v>
      </c>
      <c r="S57" s="29" t="str">
        <f t="shared" si="11"/>
        <v/>
      </c>
      <c r="T57" s="29">
        <f t="shared" si="12"/>
        <v>2030</v>
      </c>
      <c r="U57" s="32" t="e">
        <f t="shared" ca="1" si="13"/>
        <v>#REF!</v>
      </c>
      <c r="V57" s="32" t="e">
        <f t="shared" ca="1" si="13"/>
        <v>#REF!</v>
      </c>
      <c r="W57" s="32" t="e">
        <f t="shared" ca="1" si="13"/>
        <v>#REF!</v>
      </c>
      <c r="X57" s="32" t="e">
        <f t="shared" ca="1" si="13"/>
        <v>#REF!</v>
      </c>
      <c r="Y57" s="1" t="e">
        <f t="shared" ca="1" si="14"/>
        <v>#REF!</v>
      </c>
      <c r="AA57" s="31" t="e">
        <f t="shared" ca="1" si="4"/>
        <v>#REF!</v>
      </c>
      <c r="AC57" s="34" t="e">
        <f t="shared" ca="1" si="15"/>
        <v>#REF!</v>
      </c>
      <c r="AD57" s="34" t="e">
        <f t="shared" ca="1" si="5"/>
        <v>#REF!</v>
      </c>
      <c r="AE57" s="34" t="e">
        <f t="shared" ca="1" si="6"/>
        <v>#REF!</v>
      </c>
    </row>
    <row r="58" spans="1:31" x14ac:dyDescent="0.2">
      <c r="A58" s="29"/>
      <c r="B58" s="29"/>
      <c r="C58" s="29" t="str">
        <f t="shared" si="16"/>
        <v/>
      </c>
      <c r="D58" s="29">
        <f t="shared" si="19"/>
        <v>2035</v>
      </c>
      <c r="E58" s="32" t="e">
        <f t="shared" ca="1" si="20"/>
        <v>#REF!</v>
      </c>
      <c r="F58" s="32" t="e">
        <f t="shared" ca="1" si="20"/>
        <v>#REF!</v>
      </c>
      <c r="G58" s="32" t="e">
        <f t="shared" ca="1" si="20"/>
        <v>#REF!</v>
      </c>
      <c r="H58" s="32" t="e">
        <f t="shared" ca="1" si="20"/>
        <v>#REF!</v>
      </c>
      <c r="I58" s="32" t="e">
        <f t="shared" ca="1" si="20"/>
        <v>#REF!</v>
      </c>
      <c r="J58" s="32" t="e">
        <f t="shared" ca="1" si="20"/>
        <v>#REF!</v>
      </c>
      <c r="K58" s="32" t="e">
        <f t="shared" ca="1" si="20"/>
        <v>#REF!</v>
      </c>
      <c r="L58" s="32" t="e">
        <f t="shared" ca="1" si="20"/>
        <v>#REF!</v>
      </c>
      <c r="M58" s="32" t="e">
        <f t="shared" ca="1" si="20"/>
        <v>#REF!</v>
      </c>
      <c r="N58" s="32" t="e">
        <f t="shared" ca="1" si="20"/>
        <v>#REF!</v>
      </c>
      <c r="O58" s="32" t="e">
        <f t="shared" ca="1" si="20"/>
        <v>#REF!</v>
      </c>
      <c r="P58" s="32" t="e">
        <f t="shared" ca="1" si="20"/>
        <v>#REF!</v>
      </c>
      <c r="Q58" s="32" t="e">
        <f t="shared" ca="1" si="20"/>
        <v>#REF!</v>
      </c>
      <c r="R58">
        <v>0</v>
      </c>
      <c r="S58" s="29" t="str">
        <f t="shared" si="11"/>
        <v/>
      </c>
      <c r="T58" s="29">
        <f t="shared" si="12"/>
        <v>2035</v>
      </c>
      <c r="U58" s="32" t="e">
        <f t="shared" ca="1" si="13"/>
        <v>#REF!</v>
      </c>
      <c r="V58" s="32" t="e">
        <f t="shared" ca="1" si="13"/>
        <v>#REF!</v>
      </c>
      <c r="W58" s="32" t="e">
        <f t="shared" ca="1" si="13"/>
        <v>#REF!</v>
      </c>
      <c r="X58" s="32" t="e">
        <f t="shared" ca="1" si="13"/>
        <v>#REF!</v>
      </c>
      <c r="Y58" s="1" t="e">
        <f t="shared" ca="1" si="14"/>
        <v>#REF!</v>
      </c>
      <c r="AA58" s="31" t="e">
        <f t="shared" ref="AA58:AA89" ca="1" si="21">INDEX(INDIRECT("'"&amp;$B58&amp;"'!BL58:CK58"),MATCH($D58,INDIRECT("'"&amp;$B58&amp;"'!BL42:CK42")))</f>
        <v>#REF!</v>
      </c>
      <c r="AC58" s="34" t="e">
        <f t="shared" ca="1" si="15"/>
        <v>#REF!</v>
      </c>
      <c r="AD58" s="34" t="e">
        <f t="shared" ca="1" si="5"/>
        <v>#REF!</v>
      </c>
      <c r="AE58" s="34" t="e">
        <f t="shared" ca="1" si="6"/>
        <v>#REF!</v>
      </c>
    </row>
    <row r="59" spans="1:31" x14ac:dyDescent="0.2">
      <c r="A59" s="29"/>
      <c r="B59" s="29"/>
      <c r="C59" s="29" t="str">
        <f t="shared" si="16"/>
        <v/>
      </c>
      <c r="D59" s="29">
        <f t="shared" si="19"/>
        <v>2040</v>
      </c>
      <c r="E59" s="32" t="e">
        <f t="shared" ca="1" si="20"/>
        <v>#REF!</v>
      </c>
      <c r="F59" s="32" t="e">
        <f t="shared" ca="1" si="20"/>
        <v>#REF!</v>
      </c>
      <c r="G59" s="32" t="e">
        <f t="shared" ca="1" si="20"/>
        <v>#REF!</v>
      </c>
      <c r="H59" s="32" t="e">
        <f t="shared" ca="1" si="20"/>
        <v>#REF!</v>
      </c>
      <c r="I59" s="32" t="e">
        <f t="shared" ca="1" si="20"/>
        <v>#REF!</v>
      </c>
      <c r="J59" s="32" t="e">
        <f t="shared" ca="1" si="20"/>
        <v>#REF!</v>
      </c>
      <c r="K59" s="32" t="e">
        <f t="shared" ca="1" si="20"/>
        <v>#REF!</v>
      </c>
      <c r="L59" s="32" t="e">
        <f t="shared" ca="1" si="20"/>
        <v>#REF!</v>
      </c>
      <c r="M59" s="32" t="e">
        <f t="shared" ca="1" si="20"/>
        <v>#REF!</v>
      </c>
      <c r="N59" s="32" t="e">
        <f t="shared" ca="1" si="20"/>
        <v>#REF!</v>
      </c>
      <c r="O59" s="32" t="e">
        <f t="shared" ca="1" si="20"/>
        <v>#REF!</v>
      </c>
      <c r="P59" s="32" t="e">
        <f t="shared" ca="1" si="20"/>
        <v>#REF!</v>
      </c>
      <c r="Q59" s="32" t="e">
        <f t="shared" ca="1" si="20"/>
        <v>#REF!</v>
      </c>
      <c r="R59">
        <v>0</v>
      </c>
      <c r="S59" s="29" t="str">
        <f t="shared" si="11"/>
        <v/>
      </c>
      <c r="T59" s="29">
        <f t="shared" si="12"/>
        <v>2040</v>
      </c>
      <c r="U59" s="32" t="e">
        <f t="shared" ref="U59:X90" ca="1" si="22">INDEX(INDIRECT("'"&amp;$B59&amp;"'!summaryCosts"),MATCH(U$31,INDIRECT("'"&amp;$B59&amp;"'!EU43:EU46"),0),MATCH($D59,INDIRECT("'"&amp;$B59&amp;"'!EV42:FU42"),0))</f>
        <v>#REF!</v>
      </c>
      <c r="V59" s="32" t="e">
        <f t="shared" ca="1" si="22"/>
        <v>#REF!</v>
      </c>
      <c r="W59" s="32" t="e">
        <f t="shared" ca="1" si="22"/>
        <v>#REF!</v>
      </c>
      <c r="X59" s="32" t="e">
        <f t="shared" ca="1" si="22"/>
        <v>#REF!</v>
      </c>
      <c r="Y59" s="1" t="e">
        <f t="shared" ca="1" si="14"/>
        <v>#REF!</v>
      </c>
      <c r="AA59" s="31" t="e">
        <f t="shared" ca="1" si="21"/>
        <v>#REF!</v>
      </c>
      <c r="AC59" s="34" t="e">
        <f t="shared" ca="1" si="15"/>
        <v>#REF!</v>
      </c>
      <c r="AD59" s="34" t="e">
        <f t="shared" ca="1" si="5"/>
        <v>#REF!</v>
      </c>
      <c r="AE59" s="34" t="e">
        <f t="shared" ca="1" si="6"/>
        <v>#REF!</v>
      </c>
    </row>
    <row r="60" spans="1:31" x14ac:dyDescent="0.2">
      <c r="A60" s="29"/>
      <c r="B60" s="29"/>
      <c r="C60" s="29" t="str">
        <f t="shared" si="16"/>
        <v/>
      </c>
      <c r="D60" s="29">
        <f t="shared" si="19"/>
        <v>2045</v>
      </c>
      <c r="E60" s="32" t="e">
        <f t="shared" ca="1" si="20"/>
        <v>#REF!</v>
      </c>
      <c r="F60" s="32" t="e">
        <f t="shared" ca="1" si="20"/>
        <v>#REF!</v>
      </c>
      <c r="G60" s="32" t="e">
        <f t="shared" ca="1" si="20"/>
        <v>#REF!</v>
      </c>
      <c r="H60" s="32" t="e">
        <f t="shared" ca="1" si="20"/>
        <v>#REF!</v>
      </c>
      <c r="I60" s="32" t="e">
        <f t="shared" ca="1" si="20"/>
        <v>#REF!</v>
      </c>
      <c r="J60" s="32" t="e">
        <f t="shared" ca="1" si="20"/>
        <v>#REF!</v>
      </c>
      <c r="K60" s="32" t="e">
        <f t="shared" ca="1" si="20"/>
        <v>#REF!</v>
      </c>
      <c r="L60" s="32" t="e">
        <f t="shared" ca="1" si="20"/>
        <v>#REF!</v>
      </c>
      <c r="M60" s="32" t="e">
        <f t="shared" ca="1" si="20"/>
        <v>#REF!</v>
      </c>
      <c r="N60" s="32" t="e">
        <f t="shared" ca="1" si="20"/>
        <v>#REF!</v>
      </c>
      <c r="O60" s="32" t="e">
        <f t="shared" ca="1" si="20"/>
        <v>#REF!</v>
      </c>
      <c r="P60" s="32" t="e">
        <f t="shared" ca="1" si="20"/>
        <v>#REF!</v>
      </c>
      <c r="Q60" s="32" t="e">
        <f t="shared" ca="1" si="20"/>
        <v>#REF!</v>
      </c>
      <c r="R60">
        <v>0</v>
      </c>
      <c r="S60" s="29" t="str">
        <f t="shared" si="11"/>
        <v/>
      </c>
      <c r="T60" s="29">
        <f t="shared" si="12"/>
        <v>2045</v>
      </c>
      <c r="U60" s="32" t="e">
        <f t="shared" ca="1" si="22"/>
        <v>#REF!</v>
      </c>
      <c r="V60" s="32" t="e">
        <f t="shared" ca="1" si="22"/>
        <v>#REF!</v>
      </c>
      <c r="W60" s="32" t="e">
        <f t="shared" ca="1" si="22"/>
        <v>#REF!</v>
      </c>
      <c r="X60" s="32" t="e">
        <f t="shared" ca="1" si="22"/>
        <v>#REF!</v>
      </c>
      <c r="Y60" s="1" t="e">
        <f t="shared" ca="1" si="14"/>
        <v>#REF!</v>
      </c>
      <c r="AA60" s="31" t="e">
        <f t="shared" ca="1" si="21"/>
        <v>#REF!</v>
      </c>
      <c r="AC60" s="34" t="e">
        <f t="shared" ca="1" si="15"/>
        <v>#REF!</v>
      </c>
      <c r="AD60" s="34" t="e">
        <f t="shared" ca="1" si="5"/>
        <v>#REF!</v>
      </c>
      <c r="AE60" s="34" t="e">
        <f t="shared" ca="1" si="6"/>
        <v>#REF!</v>
      </c>
    </row>
    <row r="61" spans="1:31" x14ac:dyDescent="0.2">
      <c r="A61" s="29"/>
      <c r="B61" s="29"/>
      <c r="C61" s="29" t="str">
        <f t="shared" si="16"/>
        <v/>
      </c>
      <c r="D61" s="29">
        <f t="shared" si="19"/>
        <v>2050</v>
      </c>
      <c r="E61" s="32" t="e">
        <f t="shared" ca="1" si="20"/>
        <v>#REF!</v>
      </c>
      <c r="F61" s="32" t="e">
        <f t="shared" ca="1" si="20"/>
        <v>#REF!</v>
      </c>
      <c r="G61" s="32" t="e">
        <f t="shared" ca="1" si="20"/>
        <v>#REF!</v>
      </c>
      <c r="H61" s="32" t="e">
        <f t="shared" ca="1" si="20"/>
        <v>#REF!</v>
      </c>
      <c r="I61" s="32" t="e">
        <f t="shared" ca="1" si="20"/>
        <v>#REF!</v>
      </c>
      <c r="J61" s="32" t="e">
        <f t="shared" ca="1" si="20"/>
        <v>#REF!</v>
      </c>
      <c r="K61" s="32" t="e">
        <f t="shared" ca="1" si="20"/>
        <v>#REF!</v>
      </c>
      <c r="L61" s="32" t="e">
        <f t="shared" ca="1" si="20"/>
        <v>#REF!</v>
      </c>
      <c r="M61" s="32" t="e">
        <f t="shared" ca="1" si="20"/>
        <v>#REF!</v>
      </c>
      <c r="N61" s="32" t="e">
        <f t="shared" ca="1" si="20"/>
        <v>#REF!</v>
      </c>
      <c r="O61" s="32" t="e">
        <f t="shared" ca="1" si="20"/>
        <v>#REF!</v>
      </c>
      <c r="P61" s="32" t="e">
        <f t="shared" ca="1" si="20"/>
        <v>#REF!</v>
      </c>
      <c r="Q61" s="32" t="e">
        <f t="shared" ca="1" si="20"/>
        <v>#REF!</v>
      </c>
      <c r="R61">
        <v>0</v>
      </c>
      <c r="S61" s="29" t="str">
        <f t="shared" si="11"/>
        <v/>
      </c>
      <c r="T61" s="29">
        <f t="shared" si="12"/>
        <v>2050</v>
      </c>
      <c r="U61" s="32" t="e">
        <f t="shared" ca="1" si="22"/>
        <v>#REF!</v>
      </c>
      <c r="V61" s="32" t="e">
        <f t="shared" ca="1" si="22"/>
        <v>#REF!</v>
      </c>
      <c r="W61" s="32" t="e">
        <f t="shared" ca="1" si="22"/>
        <v>#REF!</v>
      </c>
      <c r="X61" s="32" t="e">
        <f t="shared" ca="1" si="22"/>
        <v>#REF!</v>
      </c>
      <c r="Y61" s="1" t="e">
        <f t="shared" ca="1" si="14"/>
        <v>#REF!</v>
      </c>
      <c r="AA61" s="31" t="e">
        <f t="shared" ca="1" si="21"/>
        <v>#REF!</v>
      </c>
      <c r="AC61" s="34" t="e">
        <f t="shared" ca="1" si="15"/>
        <v>#REF!</v>
      </c>
      <c r="AD61" s="34" t="e">
        <f t="shared" ca="1" si="5"/>
        <v>#REF!</v>
      </c>
      <c r="AE61" s="34" t="e">
        <f t="shared" ca="1" si="6"/>
        <v>#REF!</v>
      </c>
    </row>
    <row r="62" spans="1:31" x14ac:dyDescent="0.2">
      <c r="A62" s="29"/>
      <c r="B62" s="29"/>
      <c r="C62" s="29" t="str">
        <f t="shared" si="16"/>
        <v/>
      </c>
      <c r="D62" s="29">
        <f t="shared" si="19"/>
        <v>2025</v>
      </c>
      <c r="E62" s="32" t="e">
        <f t="shared" ref="E62:Q71" ca="1" si="23">INDEX(INDIRECT("'"&amp;$B62&amp;"'!"&amp;$A$1),MATCH(E$31,INDIRECT("'"&amp;$B62&amp;"'!G43:G55"),0),MATCH($D62,INDIRECT("'"&amp;$B62&amp;"'!H42:AG42")))</f>
        <v>#REF!</v>
      </c>
      <c r="F62" s="32" t="e">
        <f t="shared" ca="1" si="23"/>
        <v>#REF!</v>
      </c>
      <c r="G62" s="32" t="e">
        <f t="shared" ca="1" si="23"/>
        <v>#REF!</v>
      </c>
      <c r="H62" s="32" t="e">
        <f t="shared" ca="1" si="23"/>
        <v>#REF!</v>
      </c>
      <c r="I62" s="32" t="e">
        <f t="shared" ca="1" si="23"/>
        <v>#REF!</v>
      </c>
      <c r="J62" s="32" t="e">
        <f t="shared" ca="1" si="23"/>
        <v>#REF!</v>
      </c>
      <c r="K62" s="32" t="e">
        <f t="shared" ca="1" si="23"/>
        <v>#REF!</v>
      </c>
      <c r="L62" s="32" t="e">
        <f t="shared" ca="1" si="23"/>
        <v>#REF!</v>
      </c>
      <c r="M62" s="32" t="e">
        <f t="shared" ca="1" si="23"/>
        <v>#REF!</v>
      </c>
      <c r="N62" s="32" t="e">
        <f t="shared" ca="1" si="23"/>
        <v>#REF!</v>
      </c>
      <c r="O62" s="32" t="e">
        <f t="shared" ca="1" si="23"/>
        <v>#REF!</v>
      </c>
      <c r="P62" s="32" t="e">
        <f t="shared" ca="1" si="23"/>
        <v>#REF!</v>
      </c>
      <c r="Q62" s="32" t="e">
        <f t="shared" ca="1" si="23"/>
        <v>#REF!</v>
      </c>
      <c r="R62">
        <v>0</v>
      </c>
      <c r="S62" s="29" t="str">
        <f t="shared" si="11"/>
        <v/>
      </c>
      <c r="T62" s="29">
        <f t="shared" si="12"/>
        <v>2025</v>
      </c>
      <c r="U62" s="32" t="e">
        <f t="shared" ca="1" si="22"/>
        <v>#REF!</v>
      </c>
      <c r="V62" s="32" t="e">
        <f t="shared" ca="1" si="22"/>
        <v>#REF!</v>
      </c>
      <c r="W62" s="32" t="e">
        <f t="shared" ca="1" si="22"/>
        <v>#REF!</v>
      </c>
      <c r="X62" s="32" t="e">
        <f t="shared" ca="1" si="22"/>
        <v>#REF!</v>
      </c>
      <c r="Y62" s="1">
        <f t="shared" si="14"/>
        <v>0</v>
      </c>
      <c r="AA62" s="31" t="e">
        <f t="shared" ca="1" si="21"/>
        <v>#REF!</v>
      </c>
      <c r="AC62" s="34" t="e">
        <f t="shared" ca="1" si="15"/>
        <v>#REF!</v>
      </c>
      <c r="AD62" s="34" t="e">
        <f t="shared" ca="1" si="5"/>
        <v>#REF!</v>
      </c>
      <c r="AE62" s="34" t="e">
        <f t="shared" ca="1" si="6"/>
        <v>#REF!</v>
      </c>
    </row>
    <row r="63" spans="1:31" x14ac:dyDescent="0.2">
      <c r="A63" s="29"/>
      <c r="B63" s="29"/>
      <c r="C63" s="29" t="str">
        <f t="shared" si="16"/>
        <v/>
      </c>
      <c r="D63" s="29">
        <f t="shared" si="19"/>
        <v>2030</v>
      </c>
      <c r="E63" s="32" t="e">
        <f t="shared" ca="1" si="23"/>
        <v>#REF!</v>
      </c>
      <c r="F63" s="32" t="e">
        <f t="shared" ca="1" si="23"/>
        <v>#REF!</v>
      </c>
      <c r="G63" s="32" t="e">
        <f t="shared" ca="1" si="23"/>
        <v>#REF!</v>
      </c>
      <c r="H63" s="32" t="e">
        <f t="shared" ca="1" si="23"/>
        <v>#REF!</v>
      </c>
      <c r="I63" s="32" t="e">
        <f t="shared" ca="1" si="23"/>
        <v>#REF!</v>
      </c>
      <c r="J63" s="32" t="e">
        <f t="shared" ca="1" si="23"/>
        <v>#REF!</v>
      </c>
      <c r="K63" s="32" t="e">
        <f t="shared" ca="1" si="23"/>
        <v>#REF!</v>
      </c>
      <c r="L63" s="32" t="e">
        <f t="shared" ca="1" si="23"/>
        <v>#REF!</v>
      </c>
      <c r="M63" s="32" t="e">
        <f t="shared" ca="1" si="23"/>
        <v>#REF!</v>
      </c>
      <c r="N63" s="32" t="e">
        <f t="shared" ca="1" si="23"/>
        <v>#REF!</v>
      </c>
      <c r="O63" s="32" t="e">
        <f t="shared" ca="1" si="23"/>
        <v>#REF!</v>
      </c>
      <c r="P63" s="32" t="e">
        <f t="shared" ca="1" si="23"/>
        <v>#REF!</v>
      </c>
      <c r="Q63" s="32" t="e">
        <f t="shared" ca="1" si="23"/>
        <v>#REF!</v>
      </c>
      <c r="R63">
        <v>0</v>
      </c>
      <c r="S63" s="29" t="str">
        <f t="shared" si="11"/>
        <v/>
      </c>
      <c r="T63" s="29">
        <f t="shared" si="12"/>
        <v>2030</v>
      </c>
      <c r="U63" s="32" t="e">
        <f t="shared" ca="1" si="22"/>
        <v>#REF!</v>
      </c>
      <c r="V63" s="32" t="e">
        <f t="shared" ca="1" si="22"/>
        <v>#REF!</v>
      </c>
      <c r="W63" s="32" t="e">
        <f t="shared" ca="1" si="22"/>
        <v>#REF!</v>
      </c>
      <c r="X63" s="32" t="e">
        <f t="shared" ca="1" si="22"/>
        <v>#REF!</v>
      </c>
      <c r="Y63" s="1" t="e">
        <f t="shared" ca="1" si="14"/>
        <v>#REF!</v>
      </c>
      <c r="AA63" s="31" t="e">
        <f t="shared" ca="1" si="21"/>
        <v>#REF!</v>
      </c>
      <c r="AC63" s="34" t="e">
        <f t="shared" ca="1" si="15"/>
        <v>#REF!</v>
      </c>
      <c r="AD63" s="34" t="e">
        <f t="shared" ref="AD63:AD94" ca="1" si="24">SUM(N63:P63)-125</f>
        <v>#REF!</v>
      </c>
      <c r="AE63" s="34" t="e">
        <f t="shared" ca="1" si="6"/>
        <v>#REF!</v>
      </c>
    </row>
    <row r="64" spans="1:31" x14ac:dyDescent="0.2">
      <c r="A64" s="29"/>
      <c r="B64" s="29"/>
      <c r="C64" s="29" t="str">
        <f t="shared" si="16"/>
        <v/>
      </c>
      <c r="D64" s="29">
        <f t="shared" si="19"/>
        <v>2035</v>
      </c>
      <c r="E64" s="32" t="e">
        <f t="shared" ca="1" si="23"/>
        <v>#REF!</v>
      </c>
      <c r="F64" s="32" t="e">
        <f t="shared" ca="1" si="23"/>
        <v>#REF!</v>
      </c>
      <c r="G64" s="32" t="e">
        <f t="shared" ca="1" si="23"/>
        <v>#REF!</v>
      </c>
      <c r="H64" s="32" t="e">
        <f t="shared" ca="1" si="23"/>
        <v>#REF!</v>
      </c>
      <c r="I64" s="32" t="e">
        <f t="shared" ca="1" si="23"/>
        <v>#REF!</v>
      </c>
      <c r="J64" s="32" t="e">
        <f t="shared" ca="1" si="23"/>
        <v>#REF!</v>
      </c>
      <c r="K64" s="32" t="e">
        <f t="shared" ca="1" si="23"/>
        <v>#REF!</v>
      </c>
      <c r="L64" s="32" t="e">
        <f t="shared" ca="1" si="23"/>
        <v>#REF!</v>
      </c>
      <c r="M64" s="32" t="e">
        <f t="shared" ca="1" si="23"/>
        <v>#REF!</v>
      </c>
      <c r="N64" s="32" t="e">
        <f t="shared" ca="1" si="23"/>
        <v>#REF!</v>
      </c>
      <c r="O64" s="32" t="e">
        <f t="shared" ca="1" si="23"/>
        <v>#REF!</v>
      </c>
      <c r="P64" s="32" t="e">
        <f t="shared" ca="1" si="23"/>
        <v>#REF!</v>
      </c>
      <c r="Q64" s="32" t="e">
        <f t="shared" ca="1" si="23"/>
        <v>#REF!</v>
      </c>
      <c r="R64">
        <v>0</v>
      </c>
      <c r="S64" s="29" t="str">
        <f t="shared" si="11"/>
        <v/>
      </c>
      <c r="T64" s="29">
        <f t="shared" si="12"/>
        <v>2035</v>
      </c>
      <c r="U64" s="32" t="e">
        <f t="shared" ca="1" si="22"/>
        <v>#REF!</v>
      </c>
      <c r="V64" s="32" t="e">
        <f t="shared" ca="1" si="22"/>
        <v>#REF!</v>
      </c>
      <c r="W64" s="32" t="e">
        <f t="shared" ca="1" si="22"/>
        <v>#REF!</v>
      </c>
      <c r="X64" s="32" t="e">
        <f t="shared" ca="1" si="22"/>
        <v>#REF!</v>
      </c>
      <c r="Y64" s="1" t="e">
        <f t="shared" ca="1" si="14"/>
        <v>#REF!</v>
      </c>
      <c r="AA64" s="31" t="e">
        <f t="shared" ca="1" si="21"/>
        <v>#REF!</v>
      </c>
      <c r="AC64" s="34" t="e">
        <f t="shared" ca="1" si="15"/>
        <v>#REF!</v>
      </c>
      <c r="AD64" s="34" t="e">
        <f t="shared" ca="1" si="24"/>
        <v>#REF!</v>
      </c>
      <c r="AE64" s="34" t="e">
        <f t="shared" ca="1" si="6"/>
        <v>#REF!</v>
      </c>
    </row>
    <row r="65" spans="1:31" x14ac:dyDescent="0.2">
      <c r="A65" s="29"/>
      <c r="B65" s="29"/>
      <c r="C65" s="29" t="str">
        <f t="shared" si="16"/>
        <v/>
      </c>
      <c r="D65" s="29">
        <f t="shared" si="19"/>
        <v>2040</v>
      </c>
      <c r="E65" s="32" t="e">
        <f t="shared" ca="1" si="23"/>
        <v>#REF!</v>
      </c>
      <c r="F65" s="32" t="e">
        <f t="shared" ca="1" si="23"/>
        <v>#REF!</v>
      </c>
      <c r="G65" s="32" t="e">
        <f t="shared" ca="1" si="23"/>
        <v>#REF!</v>
      </c>
      <c r="H65" s="32" t="e">
        <f t="shared" ca="1" si="23"/>
        <v>#REF!</v>
      </c>
      <c r="I65" s="32" t="e">
        <f t="shared" ca="1" si="23"/>
        <v>#REF!</v>
      </c>
      <c r="J65" s="32" t="e">
        <f t="shared" ca="1" si="23"/>
        <v>#REF!</v>
      </c>
      <c r="K65" s="32" t="e">
        <f t="shared" ca="1" si="23"/>
        <v>#REF!</v>
      </c>
      <c r="L65" s="32" t="e">
        <f t="shared" ca="1" si="23"/>
        <v>#REF!</v>
      </c>
      <c r="M65" s="32" t="e">
        <f t="shared" ca="1" si="23"/>
        <v>#REF!</v>
      </c>
      <c r="N65" s="32" t="e">
        <f t="shared" ca="1" si="23"/>
        <v>#REF!</v>
      </c>
      <c r="O65" s="32" t="e">
        <f t="shared" ca="1" si="23"/>
        <v>#REF!</v>
      </c>
      <c r="P65" s="32" t="e">
        <f t="shared" ca="1" si="23"/>
        <v>#REF!</v>
      </c>
      <c r="Q65" s="32" t="e">
        <f t="shared" ca="1" si="23"/>
        <v>#REF!</v>
      </c>
      <c r="R65">
        <v>0</v>
      </c>
      <c r="S65" s="29" t="str">
        <f t="shared" si="11"/>
        <v/>
      </c>
      <c r="T65" s="29">
        <f t="shared" si="12"/>
        <v>2040</v>
      </c>
      <c r="U65" s="32" t="e">
        <f t="shared" ca="1" si="22"/>
        <v>#REF!</v>
      </c>
      <c r="V65" s="32" t="e">
        <f t="shared" ca="1" si="22"/>
        <v>#REF!</v>
      </c>
      <c r="W65" s="32" t="e">
        <f t="shared" ca="1" si="22"/>
        <v>#REF!</v>
      </c>
      <c r="X65" s="32" t="e">
        <f t="shared" ca="1" si="22"/>
        <v>#REF!</v>
      </c>
      <c r="Y65" s="1" t="e">
        <f t="shared" ca="1" si="14"/>
        <v>#REF!</v>
      </c>
      <c r="AA65" s="31" t="e">
        <f t="shared" ca="1" si="21"/>
        <v>#REF!</v>
      </c>
      <c r="AC65" s="34" t="e">
        <f t="shared" ca="1" si="15"/>
        <v>#REF!</v>
      </c>
      <c r="AD65" s="34" t="e">
        <f t="shared" ca="1" si="24"/>
        <v>#REF!</v>
      </c>
      <c r="AE65" s="34" t="e">
        <f t="shared" ca="1" si="6"/>
        <v>#REF!</v>
      </c>
    </row>
    <row r="66" spans="1:31" x14ac:dyDescent="0.2">
      <c r="A66" s="29"/>
      <c r="B66" s="29"/>
      <c r="C66" s="29" t="str">
        <f t="shared" si="16"/>
        <v/>
      </c>
      <c r="D66" s="29">
        <f t="shared" si="19"/>
        <v>2045</v>
      </c>
      <c r="E66" s="32" t="e">
        <f t="shared" ca="1" si="23"/>
        <v>#REF!</v>
      </c>
      <c r="F66" s="32" t="e">
        <f t="shared" ca="1" si="23"/>
        <v>#REF!</v>
      </c>
      <c r="G66" s="32" t="e">
        <f t="shared" ca="1" si="23"/>
        <v>#REF!</v>
      </c>
      <c r="H66" s="32" t="e">
        <f t="shared" ca="1" si="23"/>
        <v>#REF!</v>
      </c>
      <c r="I66" s="32" t="e">
        <f t="shared" ca="1" si="23"/>
        <v>#REF!</v>
      </c>
      <c r="J66" s="32" t="e">
        <f t="shared" ca="1" si="23"/>
        <v>#REF!</v>
      </c>
      <c r="K66" s="32" t="e">
        <f t="shared" ca="1" si="23"/>
        <v>#REF!</v>
      </c>
      <c r="L66" s="32" t="e">
        <f t="shared" ca="1" si="23"/>
        <v>#REF!</v>
      </c>
      <c r="M66" s="32" t="e">
        <f t="shared" ca="1" si="23"/>
        <v>#REF!</v>
      </c>
      <c r="N66" s="32" t="e">
        <f t="shared" ca="1" si="23"/>
        <v>#REF!</v>
      </c>
      <c r="O66" s="32" t="e">
        <f t="shared" ca="1" si="23"/>
        <v>#REF!</v>
      </c>
      <c r="P66" s="32" t="e">
        <f t="shared" ca="1" si="23"/>
        <v>#REF!</v>
      </c>
      <c r="Q66" s="32" t="e">
        <f t="shared" ca="1" si="23"/>
        <v>#REF!</v>
      </c>
      <c r="R66">
        <v>0</v>
      </c>
      <c r="S66" s="29" t="str">
        <f t="shared" si="11"/>
        <v/>
      </c>
      <c r="T66" s="29">
        <f t="shared" si="12"/>
        <v>2045</v>
      </c>
      <c r="U66" s="32" t="e">
        <f t="shared" ca="1" si="22"/>
        <v>#REF!</v>
      </c>
      <c r="V66" s="32" t="e">
        <f t="shared" ca="1" si="22"/>
        <v>#REF!</v>
      </c>
      <c r="W66" s="32" t="e">
        <f t="shared" ca="1" si="22"/>
        <v>#REF!</v>
      </c>
      <c r="X66" s="32" t="e">
        <f t="shared" ca="1" si="22"/>
        <v>#REF!</v>
      </c>
      <c r="Y66" s="1" t="e">
        <f t="shared" ca="1" si="14"/>
        <v>#REF!</v>
      </c>
      <c r="AA66" s="31" t="e">
        <f t="shared" ca="1" si="21"/>
        <v>#REF!</v>
      </c>
      <c r="AC66" s="34" t="e">
        <f t="shared" ca="1" si="15"/>
        <v>#REF!</v>
      </c>
      <c r="AD66" s="34" t="e">
        <f t="shared" ca="1" si="24"/>
        <v>#REF!</v>
      </c>
      <c r="AE66" s="34" t="e">
        <f t="shared" ca="1" si="6"/>
        <v>#REF!</v>
      </c>
    </row>
    <row r="67" spans="1:31" x14ac:dyDescent="0.2">
      <c r="A67" s="29"/>
      <c r="B67" s="29"/>
      <c r="C67" s="29" t="str">
        <f t="shared" si="16"/>
        <v/>
      </c>
      <c r="D67" s="29">
        <f t="shared" si="19"/>
        <v>2050</v>
      </c>
      <c r="E67" s="32" t="e">
        <f t="shared" ca="1" si="23"/>
        <v>#REF!</v>
      </c>
      <c r="F67" s="32" t="e">
        <f t="shared" ca="1" si="23"/>
        <v>#REF!</v>
      </c>
      <c r="G67" s="32" t="e">
        <f t="shared" ca="1" si="23"/>
        <v>#REF!</v>
      </c>
      <c r="H67" s="32" t="e">
        <f t="shared" ca="1" si="23"/>
        <v>#REF!</v>
      </c>
      <c r="I67" s="32" t="e">
        <f t="shared" ca="1" si="23"/>
        <v>#REF!</v>
      </c>
      <c r="J67" s="32" t="e">
        <f t="shared" ca="1" si="23"/>
        <v>#REF!</v>
      </c>
      <c r="K67" s="32" t="e">
        <f t="shared" ca="1" si="23"/>
        <v>#REF!</v>
      </c>
      <c r="L67" s="32" t="e">
        <f t="shared" ca="1" si="23"/>
        <v>#REF!</v>
      </c>
      <c r="M67" s="32" t="e">
        <f t="shared" ca="1" si="23"/>
        <v>#REF!</v>
      </c>
      <c r="N67" s="32" t="e">
        <f t="shared" ca="1" si="23"/>
        <v>#REF!</v>
      </c>
      <c r="O67" s="32" t="e">
        <f t="shared" ca="1" si="23"/>
        <v>#REF!</v>
      </c>
      <c r="P67" s="32" t="e">
        <f t="shared" ca="1" si="23"/>
        <v>#REF!</v>
      </c>
      <c r="Q67" s="32" t="e">
        <f t="shared" ca="1" si="23"/>
        <v>#REF!</v>
      </c>
      <c r="R67">
        <v>0</v>
      </c>
      <c r="S67" s="29" t="str">
        <f t="shared" si="11"/>
        <v/>
      </c>
      <c r="T67" s="29">
        <f t="shared" si="12"/>
        <v>2050</v>
      </c>
      <c r="U67" s="32" t="e">
        <f t="shared" ca="1" si="22"/>
        <v>#REF!</v>
      </c>
      <c r="V67" s="32" t="e">
        <f t="shared" ca="1" si="22"/>
        <v>#REF!</v>
      </c>
      <c r="W67" s="32" t="e">
        <f t="shared" ca="1" si="22"/>
        <v>#REF!</v>
      </c>
      <c r="X67" s="32" t="e">
        <f t="shared" ca="1" si="22"/>
        <v>#REF!</v>
      </c>
      <c r="Y67" s="1" t="e">
        <f t="shared" ca="1" si="14"/>
        <v>#REF!</v>
      </c>
      <c r="AA67" s="31" t="e">
        <f t="shared" ca="1" si="21"/>
        <v>#REF!</v>
      </c>
      <c r="AC67" s="34" t="e">
        <f t="shared" ca="1" si="15"/>
        <v>#REF!</v>
      </c>
      <c r="AD67" s="34" t="e">
        <f t="shared" ca="1" si="24"/>
        <v>#REF!</v>
      </c>
      <c r="AE67" s="34" t="e">
        <f t="shared" ca="1" si="6"/>
        <v>#REF!</v>
      </c>
    </row>
    <row r="68" spans="1:31" x14ac:dyDescent="0.2">
      <c r="A68" s="29"/>
      <c r="B68" s="29"/>
      <c r="C68" s="29" t="str">
        <f t="shared" si="16"/>
        <v/>
      </c>
      <c r="D68" s="29">
        <f t="shared" si="19"/>
        <v>2025</v>
      </c>
      <c r="E68" s="32" t="e">
        <f t="shared" ca="1" si="23"/>
        <v>#REF!</v>
      </c>
      <c r="F68" s="32" t="e">
        <f t="shared" ca="1" si="23"/>
        <v>#REF!</v>
      </c>
      <c r="G68" s="32" t="e">
        <f t="shared" ca="1" si="23"/>
        <v>#REF!</v>
      </c>
      <c r="H68" s="32" t="e">
        <f t="shared" ca="1" si="23"/>
        <v>#REF!</v>
      </c>
      <c r="I68" s="32" t="e">
        <f t="shared" ca="1" si="23"/>
        <v>#REF!</v>
      </c>
      <c r="J68" s="32" t="e">
        <f t="shared" ca="1" si="23"/>
        <v>#REF!</v>
      </c>
      <c r="K68" s="32" t="e">
        <f t="shared" ca="1" si="23"/>
        <v>#REF!</v>
      </c>
      <c r="L68" s="32" t="e">
        <f t="shared" ca="1" si="23"/>
        <v>#REF!</v>
      </c>
      <c r="M68" s="32" t="e">
        <f t="shared" ca="1" si="23"/>
        <v>#REF!</v>
      </c>
      <c r="N68" s="32" t="e">
        <f t="shared" ca="1" si="23"/>
        <v>#REF!</v>
      </c>
      <c r="O68" s="32" t="e">
        <f t="shared" ca="1" si="23"/>
        <v>#REF!</v>
      </c>
      <c r="P68" s="32" t="e">
        <f t="shared" ca="1" si="23"/>
        <v>#REF!</v>
      </c>
      <c r="Q68" s="32" t="e">
        <f t="shared" ca="1" si="23"/>
        <v>#REF!</v>
      </c>
      <c r="R68">
        <v>0</v>
      </c>
      <c r="S68" s="29" t="str">
        <f t="shared" si="11"/>
        <v/>
      </c>
      <c r="T68" s="29">
        <f t="shared" si="12"/>
        <v>2025</v>
      </c>
      <c r="U68" s="32" t="e">
        <f t="shared" ca="1" si="22"/>
        <v>#REF!</v>
      </c>
      <c r="V68" s="32" t="e">
        <f t="shared" ca="1" si="22"/>
        <v>#REF!</v>
      </c>
      <c r="W68" s="32" t="e">
        <f t="shared" ca="1" si="22"/>
        <v>#REF!</v>
      </c>
      <c r="X68" s="32" t="e">
        <f t="shared" ca="1" si="22"/>
        <v>#REF!</v>
      </c>
      <c r="Y68" s="1">
        <f t="shared" si="14"/>
        <v>0</v>
      </c>
      <c r="AA68" s="31" t="e">
        <f t="shared" ca="1" si="21"/>
        <v>#REF!</v>
      </c>
      <c r="AC68" s="34" t="e">
        <f t="shared" ca="1" si="15"/>
        <v>#REF!</v>
      </c>
      <c r="AD68" s="34" t="e">
        <f t="shared" ca="1" si="24"/>
        <v>#REF!</v>
      </c>
      <c r="AE68" s="34" t="e">
        <f t="shared" ca="1" si="6"/>
        <v>#REF!</v>
      </c>
    </row>
    <row r="69" spans="1:31" x14ac:dyDescent="0.2">
      <c r="A69" s="29"/>
      <c r="B69" s="29"/>
      <c r="C69" s="29" t="str">
        <f t="shared" si="16"/>
        <v/>
      </c>
      <c r="D69" s="29">
        <f t="shared" si="19"/>
        <v>2030</v>
      </c>
      <c r="E69" s="32" t="e">
        <f t="shared" ca="1" si="23"/>
        <v>#REF!</v>
      </c>
      <c r="F69" s="32" t="e">
        <f t="shared" ca="1" si="23"/>
        <v>#REF!</v>
      </c>
      <c r="G69" s="32" t="e">
        <f t="shared" ca="1" si="23"/>
        <v>#REF!</v>
      </c>
      <c r="H69" s="32" t="e">
        <f t="shared" ca="1" si="23"/>
        <v>#REF!</v>
      </c>
      <c r="I69" s="32" t="e">
        <f t="shared" ca="1" si="23"/>
        <v>#REF!</v>
      </c>
      <c r="J69" s="32" t="e">
        <f t="shared" ca="1" si="23"/>
        <v>#REF!</v>
      </c>
      <c r="K69" s="32" t="e">
        <f t="shared" ca="1" si="23"/>
        <v>#REF!</v>
      </c>
      <c r="L69" s="32" t="e">
        <f t="shared" ca="1" si="23"/>
        <v>#REF!</v>
      </c>
      <c r="M69" s="32" t="e">
        <f t="shared" ca="1" si="23"/>
        <v>#REF!</v>
      </c>
      <c r="N69" s="32" t="e">
        <f t="shared" ca="1" si="23"/>
        <v>#REF!</v>
      </c>
      <c r="O69" s="32" t="e">
        <f t="shared" ca="1" si="23"/>
        <v>#REF!</v>
      </c>
      <c r="P69" s="32" t="e">
        <f t="shared" ca="1" si="23"/>
        <v>#REF!</v>
      </c>
      <c r="Q69" s="32" t="e">
        <f t="shared" ca="1" si="23"/>
        <v>#REF!</v>
      </c>
      <c r="R69">
        <v>0</v>
      </c>
      <c r="S69" s="29" t="str">
        <f t="shared" si="11"/>
        <v/>
      </c>
      <c r="T69" s="29">
        <f t="shared" si="12"/>
        <v>2030</v>
      </c>
      <c r="U69" s="32" t="e">
        <f t="shared" ca="1" si="22"/>
        <v>#REF!</v>
      </c>
      <c r="V69" s="32" t="e">
        <f t="shared" ca="1" si="22"/>
        <v>#REF!</v>
      </c>
      <c r="W69" s="32" t="e">
        <f t="shared" ca="1" si="22"/>
        <v>#REF!</v>
      </c>
      <c r="X69" s="32" t="e">
        <f t="shared" ca="1" si="22"/>
        <v>#REF!</v>
      </c>
      <c r="Y69" s="1" t="e">
        <f t="shared" ca="1" si="14"/>
        <v>#REF!</v>
      </c>
      <c r="AA69" s="31" t="e">
        <f t="shared" ca="1" si="21"/>
        <v>#REF!</v>
      </c>
      <c r="AC69" s="34" t="e">
        <f t="shared" ca="1" si="15"/>
        <v>#REF!</v>
      </c>
      <c r="AD69" s="34" t="e">
        <f t="shared" ca="1" si="24"/>
        <v>#REF!</v>
      </c>
      <c r="AE69" s="34" t="e">
        <f t="shared" ca="1" si="6"/>
        <v>#REF!</v>
      </c>
    </row>
    <row r="70" spans="1:31" x14ac:dyDescent="0.2">
      <c r="A70" s="29"/>
      <c r="B70" s="29"/>
      <c r="C70" s="29" t="str">
        <f t="shared" si="16"/>
        <v/>
      </c>
      <c r="D70" s="29">
        <f t="shared" si="19"/>
        <v>2035</v>
      </c>
      <c r="E70" s="32" t="e">
        <f t="shared" ca="1" si="23"/>
        <v>#REF!</v>
      </c>
      <c r="F70" s="32" t="e">
        <f t="shared" ca="1" si="23"/>
        <v>#REF!</v>
      </c>
      <c r="G70" s="32" t="e">
        <f t="shared" ca="1" si="23"/>
        <v>#REF!</v>
      </c>
      <c r="H70" s="32" t="e">
        <f t="shared" ca="1" si="23"/>
        <v>#REF!</v>
      </c>
      <c r="I70" s="32" t="e">
        <f t="shared" ca="1" si="23"/>
        <v>#REF!</v>
      </c>
      <c r="J70" s="32" t="e">
        <f t="shared" ca="1" si="23"/>
        <v>#REF!</v>
      </c>
      <c r="K70" s="32" t="e">
        <f t="shared" ca="1" si="23"/>
        <v>#REF!</v>
      </c>
      <c r="L70" s="32" t="e">
        <f t="shared" ca="1" si="23"/>
        <v>#REF!</v>
      </c>
      <c r="M70" s="32" t="e">
        <f t="shared" ca="1" si="23"/>
        <v>#REF!</v>
      </c>
      <c r="N70" s="32" t="e">
        <f t="shared" ca="1" si="23"/>
        <v>#REF!</v>
      </c>
      <c r="O70" s="32" t="e">
        <f t="shared" ca="1" si="23"/>
        <v>#REF!</v>
      </c>
      <c r="P70" s="32" t="e">
        <f t="shared" ca="1" si="23"/>
        <v>#REF!</v>
      </c>
      <c r="Q70" s="32" t="e">
        <f t="shared" ca="1" si="23"/>
        <v>#REF!</v>
      </c>
      <c r="R70">
        <v>0</v>
      </c>
      <c r="S70" s="29" t="str">
        <f t="shared" si="11"/>
        <v/>
      </c>
      <c r="T70" s="29">
        <f t="shared" si="12"/>
        <v>2035</v>
      </c>
      <c r="U70" s="32" t="e">
        <f t="shared" ca="1" si="22"/>
        <v>#REF!</v>
      </c>
      <c r="V70" s="32" t="e">
        <f t="shared" ca="1" si="22"/>
        <v>#REF!</v>
      </c>
      <c r="W70" s="32" t="e">
        <f t="shared" ca="1" si="22"/>
        <v>#REF!</v>
      </c>
      <c r="X70" s="32" t="e">
        <f t="shared" ca="1" si="22"/>
        <v>#REF!</v>
      </c>
      <c r="Y70" s="1" t="e">
        <f t="shared" ca="1" si="14"/>
        <v>#REF!</v>
      </c>
      <c r="AA70" s="31" t="e">
        <f t="shared" ca="1" si="21"/>
        <v>#REF!</v>
      </c>
      <c r="AC70" s="34" t="e">
        <f t="shared" ca="1" si="15"/>
        <v>#REF!</v>
      </c>
      <c r="AD70" s="34" t="e">
        <f t="shared" ca="1" si="24"/>
        <v>#REF!</v>
      </c>
      <c r="AE70" s="34" t="e">
        <f t="shared" ca="1" si="6"/>
        <v>#REF!</v>
      </c>
    </row>
    <row r="71" spans="1:31" x14ac:dyDescent="0.2">
      <c r="A71" s="29"/>
      <c r="B71" s="29"/>
      <c r="C71" s="29" t="str">
        <f t="shared" si="16"/>
        <v/>
      </c>
      <c r="D71" s="29">
        <f t="shared" si="19"/>
        <v>2040</v>
      </c>
      <c r="E71" s="32" t="e">
        <f t="shared" ca="1" si="23"/>
        <v>#REF!</v>
      </c>
      <c r="F71" s="32" t="e">
        <f t="shared" ca="1" si="23"/>
        <v>#REF!</v>
      </c>
      <c r="G71" s="32" t="e">
        <f t="shared" ca="1" si="23"/>
        <v>#REF!</v>
      </c>
      <c r="H71" s="32" t="e">
        <f t="shared" ca="1" si="23"/>
        <v>#REF!</v>
      </c>
      <c r="I71" s="32" t="e">
        <f t="shared" ca="1" si="23"/>
        <v>#REF!</v>
      </c>
      <c r="J71" s="32" t="e">
        <f t="shared" ca="1" si="23"/>
        <v>#REF!</v>
      </c>
      <c r="K71" s="32" t="e">
        <f t="shared" ca="1" si="23"/>
        <v>#REF!</v>
      </c>
      <c r="L71" s="32" t="e">
        <f t="shared" ca="1" si="23"/>
        <v>#REF!</v>
      </c>
      <c r="M71" s="32" t="e">
        <f t="shared" ca="1" si="23"/>
        <v>#REF!</v>
      </c>
      <c r="N71" s="32" t="e">
        <f t="shared" ca="1" si="23"/>
        <v>#REF!</v>
      </c>
      <c r="O71" s="32" t="e">
        <f t="shared" ca="1" si="23"/>
        <v>#REF!</v>
      </c>
      <c r="P71" s="32" t="e">
        <f t="shared" ca="1" si="23"/>
        <v>#REF!</v>
      </c>
      <c r="Q71" s="32" t="e">
        <f t="shared" ca="1" si="23"/>
        <v>#REF!</v>
      </c>
      <c r="R71">
        <v>0</v>
      </c>
      <c r="S71" s="29" t="str">
        <f t="shared" si="11"/>
        <v/>
      </c>
      <c r="T71" s="29">
        <f t="shared" si="12"/>
        <v>2040</v>
      </c>
      <c r="U71" s="32" t="e">
        <f t="shared" ca="1" si="22"/>
        <v>#REF!</v>
      </c>
      <c r="V71" s="32" t="e">
        <f t="shared" ca="1" si="22"/>
        <v>#REF!</v>
      </c>
      <c r="W71" s="32" t="e">
        <f t="shared" ca="1" si="22"/>
        <v>#REF!</v>
      </c>
      <c r="X71" s="32" t="e">
        <f t="shared" ca="1" si="22"/>
        <v>#REF!</v>
      </c>
      <c r="Y71" s="1" t="e">
        <f t="shared" ca="1" si="14"/>
        <v>#REF!</v>
      </c>
      <c r="AA71" s="31" t="e">
        <f t="shared" ca="1" si="21"/>
        <v>#REF!</v>
      </c>
      <c r="AC71" s="34" t="e">
        <f t="shared" ca="1" si="15"/>
        <v>#REF!</v>
      </c>
      <c r="AD71" s="34" t="e">
        <f t="shared" ca="1" si="24"/>
        <v>#REF!</v>
      </c>
      <c r="AE71" s="34" t="e">
        <f t="shared" ca="1" si="6"/>
        <v>#REF!</v>
      </c>
    </row>
    <row r="72" spans="1:31" x14ac:dyDescent="0.2">
      <c r="A72" s="29"/>
      <c r="B72" s="29"/>
      <c r="C72" s="29" t="str">
        <f t="shared" si="16"/>
        <v/>
      </c>
      <c r="D72" s="29">
        <f t="shared" si="19"/>
        <v>2045</v>
      </c>
      <c r="E72" s="32" t="e">
        <f t="shared" ref="E72:Q81" ca="1" si="25">INDEX(INDIRECT("'"&amp;$B72&amp;"'!"&amp;$A$1),MATCH(E$31,INDIRECT("'"&amp;$B72&amp;"'!G43:G55"),0),MATCH($D72,INDIRECT("'"&amp;$B72&amp;"'!H42:AG42")))</f>
        <v>#REF!</v>
      </c>
      <c r="F72" s="32" t="e">
        <f t="shared" ca="1" si="25"/>
        <v>#REF!</v>
      </c>
      <c r="G72" s="32" t="e">
        <f t="shared" ca="1" si="25"/>
        <v>#REF!</v>
      </c>
      <c r="H72" s="32" t="e">
        <f t="shared" ca="1" si="25"/>
        <v>#REF!</v>
      </c>
      <c r="I72" s="32" t="e">
        <f t="shared" ca="1" si="25"/>
        <v>#REF!</v>
      </c>
      <c r="J72" s="32" t="e">
        <f t="shared" ca="1" si="25"/>
        <v>#REF!</v>
      </c>
      <c r="K72" s="32" t="e">
        <f t="shared" ca="1" si="25"/>
        <v>#REF!</v>
      </c>
      <c r="L72" s="32" t="e">
        <f t="shared" ca="1" si="25"/>
        <v>#REF!</v>
      </c>
      <c r="M72" s="32" t="e">
        <f t="shared" ca="1" si="25"/>
        <v>#REF!</v>
      </c>
      <c r="N72" s="32" t="e">
        <f t="shared" ca="1" si="25"/>
        <v>#REF!</v>
      </c>
      <c r="O72" s="32" t="e">
        <f t="shared" ca="1" si="25"/>
        <v>#REF!</v>
      </c>
      <c r="P72" s="32" t="e">
        <f t="shared" ca="1" si="25"/>
        <v>#REF!</v>
      </c>
      <c r="Q72" s="32" t="e">
        <f t="shared" ca="1" si="25"/>
        <v>#REF!</v>
      </c>
      <c r="R72">
        <v>0</v>
      </c>
      <c r="S72" s="29" t="str">
        <f t="shared" si="11"/>
        <v/>
      </c>
      <c r="T72" s="29">
        <f t="shared" si="12"/>
        <v>2045</v>
      </c>
      <c r="U72" s="32" t="e">
        <f t="shared" ca="1" si="22"/>
        <v>#REF!</v>
      </c>
      <c r="V72" s="32" t="e">
        <f t="shared" ca="1" si="22"/>
        <v>#REF!</v>
      </c>
      <c r="W72" s="32" t="e">
        <f t="shared" ca="1" si="22"/>
        <v>#REF!</v>
      </c>
      <c r="X72" s="32" t="e">
        <f t="shared" ca="1" si="22"/>
        <v>#REF!</v>
      </c>
      <c r="Y72" s="1" t="e">
        <f t="shared" ca="1" si="14"/>
        <v>#REF!</v>
      </c>
      <c r="AA72" s="31" t="e">
        <f t="shared" ca="1" si="21"/>
        <v>#REF!</v>
      </c>
      <c r="AC72" s="34" t="e">
        <f t="shared" ca="1" si="15"/>
        <v>#REF!</v>
      </c>
      <c r="AD72" s="34" t="e">
        <f t="shared" ca="1" si="24"/>
        <v>#REF!</v>
      </c>
      <c r="AE72" s="34" t="e">
        <f t="shared" ca="1" si="6"/>
        <v>#REF!</v>
      </c>
    </row>
    <row r="73" spans="1:31" x14ac:dyDescent="0.2">
      <c r="A73" s="29"/>
      <c r="B73" s="29"/>
      <c r="C73" s="29" t="str">
        <f t="shared" si="16"/>
        <v/>
      </c>
      <c r="D73" s="29">
        <f t="shared" si="19"/>
        <v>2050</v>
      </c>
      <c r="E73" s="32" t="e">
        <f t="shared" ca="1" si="25"/>
        <v>#REF!</v>
      </c>
      <c r="F73" s="32" t="e">
        <f t="shared" ca="1" si="25"/>
        <v>#REF!</v>
      </c>
      <c r="G73" s="32" t="e">
        <f t="shared" ca="1" si="25"/>
        <v>#REF!</v>
      </c>
      <c r="H73" s="32" t="e">
        <f t="shared" ca="1" si="25"/>
        <v>#REF!</v>
      </c>
      <c r="I73" s="32" t="e">
        <f t="shared" ca="1" si="25"/>
        <v>#REF!</v>
      </c>
      <c r="J73" s="32" t="e">
        <f t="shared" ca="1" si="25"/>
        <v>#REF!</v>
      </c>
      <c r="K73" s="32" t="e">
        <f t="shared" ca="1" si="25"/>
        <v>#REF!</v>
      </c>
      <c r="L73" s="32" t="e">
        <f t="shared" ca="1" si="25"/>
        <v>#REF!</v>
      </c>
      <c r="M73" s="32" t="e">
        <f t="shared" ca="1" si="25"/>
        <v>#REF!</v>
      </c>
      <c r="N73" s="32" t="e">
        <f t="shared" ca="1" si="25"/>
        <v>#REF!</v>
      </c>
      <c r="O73" s="32" t="e">
        <f t="shared" ca="1" si="25"/>
        <v>#REF!</v>
      </c>
      <c r="P73" s="32" t="e">
        <f t="shared" ca="1" si="25"/>
        <v>#REF!</v>
      </c>
      <c r="Q73" s="32" t="e">
        <f t="shared" ca="1" si="25"/>
        <v>#REF!</v>
      </c>
      <c r="R73">
        <v>0</v>
      </c>
      <c r="S73" s="29" t="str">
        <f t="shared" si="11"/>
        <v/>
      </c>
      <c r="T73" s="29">
        <f t="shared" si="12"/>
        <v>2050</v>
      </c>
      <c r="U73" s="32" t="e">
        <f t="shared" ca="1" si="22"/>
        <v>#REF!</v>
      </c>
      <c r="V73" s="32" t="e">
        <f t="shared" ca="1" si="22"/>
        <v>#REF!</v>
      </c>
      <c r="W73" s="32" t="e">
        <f t="shared" ca="1" si="22"/>
        <v>#REF!</v>
      </c>
      <c r="X73" s="32" t="e">
        <f t="shared" ca="1" si="22"/>
        <v>#REF!</v>
      </c>
      <c r="Y73" s="1" t="e">
        <f t="shared" ca="1" si="14"/>
        <v>#REF!</v>
      </c>
      <c r="AA73" s="31" t="e">
        <f t="shared" ca="1" si="21"/>
        <v>#REF!</v>
      </c>
      <c r="AC73" s="34" t="e">
        <f t="shared" ca="1" si="15"/>
        <v>#REF!</v>
      </c>
      <c r="AD73" s="34" t="e">
        <f t="shared" ca="1" si="24"/>
        <v>#REF!</v>
      </c>
      <c r="AE73" s="34" t="e">
        <f t="shared" ca="1" si="6"/>
        <v>#REF!</v>
      </c>
    </row>
    <row r="74" spans="1:31" x14ac:dyDescent="0.2">
      <c r="A74" s="29"/>
      <c r="B74" s="29"/>
      <c r="C74" s="29" t="str">
        <f t="shared" si="16"/>
        <v/>
      </c>
      <c r="D74" s="29">
        <f t="shared" si="19"/>
        <v>2025</v>
      </c>
      <c r="E74" s="32" t="e">
        <f t="shared" ca="1" si="25"/>
        <v>#REF!</v>
      </c>
      <c r="F74" s="32" t="e">
        <f t="shared" ca="1" si="25"/>
        <v>#REF!</v>
      </c>
      <c r="G74" s="32" t="e">
        <f t="shared" ca="1" si="25"/>
        <v>#REF!</v>
      </c>
      <c r="H74" s="32" t="e">
        <f t="shared" ca="1" si="25"/>
        <v>#REF!</v>
      </c>
      <c r="I74" s="32" t="e">
        <f t="shared" ca="1" si="25"/>
        <v>#REF!</v>
      </c>
      <c r="J74" s="32" t="e">
        <f t="shared" ca="1" si="25"/>
        <v>#REF!</v>
      </c>
      <c r="K74" s="32" t="e">
        <f t="shared" ca="1" si="25"/>
        <v>#REF!</v>
      </c>
      <c r="L74" s="32" t="e">
        <f t="shared" ca="1" si="25"/>
        <v>#REF!</v>
      </c>
      <c r="M74" s="32" t="e">
        <f t="shared" ca="1" si="25"/>
        <v>#REF!</v>
      </c>
      <c r="N74" s="32" t="e">
        <f t="shared" ca="1" si="25"/>
        <v>#REF!</v>
      </c>
      <c r="O74" s="32" t="e">
        <f t="shared" ca="1" si="25"/>
        <v>#REF!</v>
      </c>
      <c r="P74" s="32" t="e">
        <f t="shared" ca="1" si="25"/>
        <v>#REF!</v>
      </c>
      <c r="Q74" s="32" t="e">
        <f t="shared" ca="1" si="25"/>
        <v>#REF!</v>
      </c>
      <c r="R74">
        <v>0</v>
      </c>
      <c r="S74" s="29" t="str">
        <f t="shared" si="11"/>
        <v/>
      </c>
      <c r="T74" s="29">
        <f t="shared" si="12"/>
        <v>2025</v>
      </c>
      <c r="U74" s="32" t="e">
        <f t="shared" ca="1" si="22"/>
        <v>#REF!</v>
      </c>
      <c r="V74" s="32" t="e">
        <f t="shared" ca="1" si="22"/>
        <v>#REF!</v>
      </c>
      <c r="W74" s="32" t="e">
        <f t="shared" ca="1" si="22"/>
        <v>#REF!</v>
      </c>
      <c r="X74" s="32" t="e">
        <f t="shared" ca="1" si="22"/>
        <v>#REF!</v>
      </c>
      <c r="Y74" s="1">
        <f t="shared" si="14"/>
        <v>0</v>
      </c>
      <c r="AA74" s="31" t="e">
        <f t="shared" ca="1" si="21"/>
        <v>#REF!</v>
      </c>
      <c r="AC74" s="34" t="e">
        <f t="shared" ca="1" si="15"/>
        <v>#REF!</v>
      </c>
      <c r="AD74" s="34" t="e">
        <f t="shared" ca="1" si="24"/>
        <v>#REF!</v>
      </c>
      <c r="AE74" s="34" t="e">
        <f t="shared" ca="1" si="6"/>
        <v>#REF!</v>
      </c>
    </row>
    <row r="75" spans="1:31" x14ac:dyDescent="0.2">
      <c r="A75" s="29"/>
      <c r="B75" s="29"/>
      <c r="C75" s="29" t="str">
        <f t="shared" si="16"/>
        <v/>
      </c>
      <c r="D75" s="29">
        <f t="shared" si="19"/>
        <v>2030</v>
      </c>
      <c r="E75" s="32" t="e">
        <f t="shared" ca="1" si="25"/>
        <v>#REF!</v>
      </c>
      <c r="F75" s="32" t="e">
        <f t="shared" ca="1" si="25"/>
        <v>#REF!</v>
      </c>
      <c r="G75" s="32" t="e">
        <f t="shared" ca="1" si="25"/>
        <v>#REF!</v>
      </c>
      <c r="H75" s="32" t="e">
        <f t="shared" ca="1" si="25"/>
        <v>#REF!</v>
      </c>
      <c r="I75" s="32" t="e">
        <f t="shared" ca="1" si="25"/>
        <v>#REF!</v>
      </c>
      <c r="J75" s="32" t="e">
        <f t="shared" ca="1" si="25"/>
        <v>#REF!</v>
      </c>
      <c r="K75" s="32" t="e">
        <f t="shared" ca="1" si="25"/>
        <v>#REF!</v>
      </c>
      <c r="L75" s="32" t="e">
        <f t="shared" ca="1" si="25"/>
        <v>#REF!</v>
      </c>
      <c r="M75" s="32" t="e">
        <f t="shared" ca="1" si="25"/>
        <v>#REF!</v>
      </c>
      <c r="N75" s="32" t="e">
        <f t="shared" ca="1" si="25"/>
        <v>#REF!</v>
      </c>
      <c r="O75" s="32" t="e">
        <f t="shared" ca="1" si="25"/>
        <v>#REF!</v>
      </c>
      <c r="P75" s="32" t="e">
        <f t="shared" ca="1" si="25"/>
        <v>#REF!</v>
      </c>
      <c r="Q75" s="32" t="e">
        <f t="shared" ca="1" si="25"/>
        <v>#REF!</v>
      </c>
      <c r="R75">
        <v>0</v>
      </c>
      <c r="S75" s="29" t="str">
        <f t="shared" si="11"/>
        <v/>
      </c>
      <c r="T75" s="29">
        <f t="shared" si="12"/>
        <v>2030</v>
      </c>
      <c r="U75" s="32" t="e">
        <f t="shared" ca="1" si="22"/>
        <v>#REF!</v>
      </c>
      <c r="V75" s="32" t="e">
        <f t="shared" ca="1" si="22"/>
        <v>#REF!</v>
      </c>
      <c r="W75" s="32" t="e">
        <f t="shared" ca="1" si="22"/>
        <v>#REF!</v>
      </c>
      <c r="X75" s="32" t="e">
        <f t="shared" ca="1" si="22"/>
        <v>#REF!</v>
      </c>
      <c r="Y75" s="1" t="e">
        <f t="shared" ca="1" si="14"/>
        <v>#REF!</v>
      </c>
      <c r="AA75" s="31" t="e">
        <f t="shared" ca="1" si="21"/>
        <v>#REF!</v>
      </c>
      <c r="AC75" s="34" t="e">
        <f t="shared" ca="1" si="15"/>
        <v>#REF!</v>
      </c>
      <c r="AD75" s="34" t="e">
        <f t="shared" ca="1" si="24"/>
        <v>#REF!</v>
      </c>
      <c r="AE75" s="34" t="e">
        <f t="shared" ca="1" si="6"/>
        <v>#REF!</v>
      </c>
    </row>
    <row r="76" spans="1:31" x14ac:dyDescent="0.2">
      <c r="A76" s="29"/>
      <c r="B76" s="29"/>
      <c r="C76" s="29" t="str">
        <f t="shared" si="16"/>
        <v/>
      </c>
      <c r="D76" s="29">
        <f t="shared" si="19"/>
        <v>2035</v>
      </c>
      <c r="E76" s="32" t="e">
        <f t="shared" ca="1" si="25"/>
        <v>#REF!</v>
      </c>
      <c r="F76" s="32" t="e">
        <f t="shared" ca="1" si="25"/>
        <v>#REF!</v>
      </c>
      <c r="G76" s="32" t="e">
        <f t="shared" ca="1" si="25"/>
        <v>#REF!</v>
      </c>
      <c r="H76" s="32" t="e">
        <f t="shared" ca="1" si="25"/>
        <v>#REF!</v>
      </c>
      <c r="I76" s="32" t="e">
        <f t="shared" ca="1" si="25"/>
        <v>#REF!</v>
      </c>
      <c r="J76" s="32" t="e">
        <f t="shared" ca="1" si="25"/>
        <v>#REF!</v>
      </c>
      <c r="K76" s="32" t="e">
        <f t="shared" ca="1" si="25"/>
        <v>#REF!</v>
      </c>
      <c r="L76" s="32" t="e">
        <f t="shared" ca="1" si="25"/>
        <v>#REF!</v>
      </c>
      <c r="M76" s="32" t="e">
        <f t="shared" ca="1" si="25"/>
        <v>#REF!</v>
      </c>
      <c r="N76" s="32" t="e">
        <f t="shared" ca="1" si="25"/>
        <v>#REF!</v>
      </c>
      <c r="O76" s="32" t="e">
        <f t="shared" ca="1" si="25"/>
        <v>#REF!</v>
      </c>
      <c r="P76" s="32" t="e">
        <f t="shared" ca="1" si="25"/>
        <v>#REF!</v>
      </c>
      <c r="Q76" s="32" t="e">
        <f t="shared" ca="1" si="25"/>
        <v>#REF!</v>
      </c>
      <c r="R76">
        <v>0</v>
      </c>
      <c r="S76" s="29" t="str">
        <f t="shared" si="11"/>
        <v/>
      </c>
      <c r="T76" s="29">
        <f t="shared" si="12"/>
        <v>2035</v>
      </c>
      <c r="U76" s="32" t="e">
        <f t="shared" ca="1" si="22"/>
        <v>#REF!</v>
      </c>
      <c r="V76" s="32" t="e">
        <f t="shared" ca="1" si="22"/>
        <v>#REF!</v>
      </c>
      <c r="W76" s="32" t="e">
        <f t="shared" ca="1" si="22"/>
        <v>#REF!</v>
      </c>
      <c r="X76" s="32" t="e">
        <f t="shared" ca="1" si="22"/>
        <v>#REF!</v>
      </c>
      <c r="Y76" s="1" t="e">
        <f t="shared" ca="1" si="14"/>
        <v>#REF!</v>
      </c>
      <c r="AA76" s="31" t="e">
        <f t="shared" ca="1" si="21"/>
        <v>#REF!</v>
      </c>
      <c r="AC76" s="34" t="e">
        <f t="shared" ca="1" si="15"/>
        <v>#REF!</v>
      </c>
      <c r="AD76" s="34" t="e">
        <f t="shared" ca="1" si="24"/>
        <v>#REF!</v>
      </c>
      <c r="AE76" s="34" t="e">
        <f t="shared" ca="1" si="6"/>
        <v>#REF!</v>
      </c>
    </row>
    <row r="77" spans="1:31" x14ac:dyDescent="0.2">
      <c r="A77" s="29"/>
      <c r="B77" s="29"/>
      <c r="C77" s="29" t="str">
        <f t="shared" si="16"/>
        <v/>
      </c>
      <c r="D77" s="29">
        <f t="shared" si="19"/>
        <v>2040</v>
      </c>
      <c r="E77" s="32" t="e">
        <f t="shared" ca="1" si="25"/>
        <v>#REF!</v>
      </c>
      <c r="F77" s="32" t="e">
        <f t="shared" ca="1" si="25"/>
        <v>#REF!</v>
      </c>
      <c r="G77" s="32" t="e">
        <f t="shared" ca="1" si="25"/>
        <v>#REF!</v>
      </c>
      <c r="H77" s="32" t="e">
        <f t="shared" ca="1" si="25"/>
        <v>#REF!</v>
      </c>
      <c r="I77" s="32" t="e">
        <f t="shared" ca="1" si="25"/>
        <v>#REF!</v>
      </c>
      <c r="J77" s="32" t="e">
        <f t="shared" ca="1" si="25"/>
        <v>#REF!</v>
      </c>
      <c r="K77" s="32" t="e">
        <f t="shared" ca="1" si="25"/>
        <v>#REF!</v>
      </c>
      <c r="L77" s="32" t="e">
        <f t="shared" ca="1" si="25"/>
        <v>#REF!</v>
      </c>
      <c r="M77" s="32" t="e">
        <f t="shared" ca="1" si="25"/>
        <v>#REF!</v>
      </c>
      <c r="N77" s="32" t="e">
        <f t="shared" ca="1" si="25"/>
        <v>#REF!</v>
      </c>
      <c r="O77" s="32" t="e">
        <f t="shared" ca="1" si="25"/>
        <v>#REF!</v>
      </c>
      <c r="P77" s="32" t="e">
        <f t="shared" ca="1" si="25"/>
        <v>#REF!</v>
      </c>
      <c r="Q77" s="32" t="e">
        <f t="shared" ca="1" si="25"/>
        <v>#REF!</v>
      </c>
      <c r="R77">
        <v>0</v>
      </c>
      <c r="S77" s="29" t="str">
        <f t="shared" si="11"/>
        <v/>
      </c>
      <c r="T77" s="29">
        <f t="shared" si="12"/>
        <v>2040</v>
      </c>
      <c r="U77" s="32" t="e">
        <f t="shared" ca="1" si="22"/>
        <v>#REF!</v>
      </c>
      <c r="V77" s="32" t="e">
        <f t="shared" ca="1" si="22"/>
        <v>#REF!</v>
      </c>
      <c r="W77" s="32" t="e">
        <f t="shared" ca="1" si="22"/>
        <v>#REF!</v>
      </c>
      <c r="X77" s="32" t="e">
        <f t="shared" ca="1" si="22"/>
        <v>#REF!</v>
      </c>
      <c r="Y77" s="1" t="e">
        <f t="shared" ca="1" si="14"/>
        <v>#REF!</v>
      </c>
      <c r="AA77" s="31" t="e">
        <f t="shared" ca="1" si="21"/>
        <v>#REF!</v>
      </c>
      <c r="AC77" s="34" t="e">
        <f t="shared" ca="1" si="15"/>
        <v>#REF!</v>
      </c>
      <c r="AD77" s="34" t="e">
        <f t="shared" ca="1" si="24"/>
        <v>#REF!</v>
      </c>
      <c r="AE77" s="34" t="e">
        <f t="shared" ca="1" si="6"/>
        <v>#REF!</v>
      </c>
    </row>
    <row r="78" spans="1:31" x14ac:dyDescent="0.2">
      <c r="A78" s="29"/>
      <c r="B78" s="29"/>
      <c r="C78" s="29" t="str">
        <f t="shared" si="16"/>
        <v/>
      </c>
      <c r="D78" s="29">
        <f t="shared" si="19"/>
        <v>2045</v>
      </c>
      <c r="E78" s="32" t="e">
        <f t="shared" ca="1" si="25"/>
        <v>#REF!</v>
      </c>
      <c r="F78" s="32" t="e">
        <f t="shared" ca="1" si="25"/>
        <v>#REF!</v>
      </c>
      <c r="G78" s="32" t="e">
        <f t="shared" ca="1" si="25"/>
        <v>#REF!</v>
      </c>
      <c r="H78" s="32" t="e">
        <f t="shared" ca="1" si="25"/>
        <v>#REF!</v>
      </c>
      <c r="I78" s="32" t="e">
        <f t="shared" ca="1" si="25"/>
        <v>#REF!</v>
      </c>
      <c r="J78" s="32" t="e">
        <f t="shared" ca="1" si="25"/>
        <v>#REF!</v>
      </c>
      <c r="K78" s="32" t="e">
        <f t="shared" ca="1" si="25"/>
        <v>#REF!</v>
      </c>
      <c r="L78" s="32" t="e">
        <f t="shared" ca="1" si="25"/>
        <v>#REF!</v>
      </c>
      <c r="M78" s="32" t="e">
        <f t="shared" ca="1" si="25"/>
        <v>#REF!</v>
      </c>
      <c r="N78" s="32" t="e">
        <f t="shared" ca="1" si="25"/>
        <v>#REF!</v>
      </c>
      <c r="O78" s="32" t="e">
        <f t="shared" ca="1" si="25"/>
        <v>#REF!</v>
      </c>
      <c r="P78" s="32" t="e">
        <f t="shared" ca="1" si="25"/>
        <v>#REF!</v>
      </c>
      <c r="Q78" s="32" t="e">
        <f t="shared" ca="1" si="25"/>
        <v>#REF!</v>
      </c>
      <c r="R78">
        <v>0</v>
      </c>
      <c r="S78" s="29" t="str">
        <f t="shared" si="11"/>
        <v/>
      </c>
      <c r="T78" s="29">
        <f t="shared" si="12"/>
        <v>2045</v>
      </c>
      <c r="U78" s="32" t="e">
        <f t="shared" ca="1" si="22"/>
        <v>#REF!</v>
      </c>
      <c r="V78" s="32" t="e">
        <f t="shared" ca="1" si="22"/>
        <v>#REF!</v>
      </c>
      <c r="W78" s="32" t="e">
        <f t="shared" ca="1" si="22"/>
        <v>#REF!</v>
      </c>
      <c r="X78" s="32" t="e">
        <f t="shared" ca="1" si="22"/>
        <v>#REF!</v>
      </c>
      <c r="Y78" s="1" t="e">
        <f t="shared" ca="1" si="14"/>
        <v>#REF!</v>
      </c>
      <c r="AA78" s="31" t="e">
        <f t="shared" ca="1" si="21"/>
        <v>#REF!</v>
      </c>
      <c r="AC78" s="34" t="e">
        <f t="shared" ca="1" si="15"/>
        <v>#REF!</v>
      </c>
      <c r="AD78" s="34" t="e">
        <f t="shared" ca="1" si="24"/>
        <v>#REF!</v>
      </c>
      <c r="AE78" s="34" t="e">
        <f t="shared" ca="1" si="6"/>
        <v>#REF!</v>
      </c>
    </row>
    <row r="79" spans="1:31" x14ac:dyDescent="0.2">
      <c r="A79" s="29"/>
      <c r="B79" s="29"/>
      <c r="C79" s="29" t="str">
        <f t="shared" si="16"/>
        <v/>
      </c>
      <c r="D79" s="29">
        <f t="shared" si="19"/>
        <v>2050</v>
      </c>
      <c r="E79" s="32" t="e">
        <f t="shared" ca="1" si="25"/>
        <v>#REF!</v>
      </c>
      <c r="F79" s="32" t="e">
        <f t="shared" ca="1" si="25"/>
        <v>#REF!</v>
      </c>
      <c r="G79" s="32" t="e">
        <f t="shared" ca="1" si="25"/>
        <v>#REF!</v>
      </c>
      <c r="H79" s="32" t="e">
        <f t="shared" ca="1" si="25"/>
        <v>#REF!</v>
      </c>
      <c r="I79" s="32" t="e">
        <f t="shared" ca="1" si="25"/>
        <v>#REF!</v>
      </c>
      <c r="J79" s="32" t="e">
        <f t="shared" ca="1" si="25"/>
        <v>#REF!</v>
      </c>
      <c r="K79" s="32" t="e">
        <f t="shared" ca="1" si="25"/>
        <v>#REF!</v>
      </c>
      <c r="L79" s="32" t="e">
        <f t="shared" ca="1" si="25"/>
        <v>#REF!</v>
      </c>
      <c r="M79" s="32" t="e">
        <f t="shared" ca="1" si="25"/>
        <v>#REF!</v>
      </c>
      <c r="N79" s="32" t="e">
        <f t="shared" ca="1" si="25"/>
        <v>#REF!</v>
      </c>
      <c r="O79" s="32" t="e">
        <f t="shared" ca="1" si="25"/>
        <v>#REF!</v>
      </c>
      <c r="P79" s="32" t="e">
        <f t="shared" ca="1" si="25"/>
        <v>#REF!</v>
      </c>
      <c r="Q79" s="32" t="e">
        <f t="shared" ca="1" si="25"/>
        <v>#REF!</v>
      </c>
      <c r="R79">
        <v>0</v>
      </c>
      <c r="S79" s="29" t="str">
        <f t="shared" ref="S79:S127" si="26">C79</f>
        <v/>
      </c>
      <c r="T79" s="29">
        <f t="shared" ref="T79:T127" si="27">D79</f>
        <v>2050</v>
      </c>
      <c r="U79" s="32" t="e">
        <f t="shared" ca="1" si="22"/>
        <v>#REF!</v>
      </c>
      <c r="V79" s="32" t="e">
        <f t="shared" ca="1" si="22"/>
        <v>#REF!</v>
      </c>
      <c r="W79" s="32" t="e">
        <f t="shared" ca="1" si="22"/>
        <v>#REF!</v>
      </c>
      <c r="X79" s="32" t="e">
        <f t="shared" ca="1" si="22"/>
        <v>#REF!</v>
      </c>
      <c r="Y79" s="1" t="e">
        <f t="shared" ca="1" si="14"/>
        <v>#REF!</v>
      </c>
      <c r="AA79" s="31" t="e">
        <f t="shared" ca="1" si="21"/>
        <v>#REF!</v>
      </c>
      <c r="AC79" s="34" t="e">
        <f t="shared" ca="1" si="15"/>
        <v>#REF!</v>
      </c>
      <c r="AD79" s="34" t="e">
        <f t="shared" ca="1" si="24"/>
        <v>#REF!</v>
      </c>
      <c r="AE79" s="34" t="e">
        <f t="shared" ca="1" si="6"/>
        <v>#REF!</v>
      </c>
    </row>
    <row r="80" spans="1:31" x14ac:dyDescent="0.2">
      <c r="A80" s="29"/>
      <c r="B80" s="29"/>
      <c r="C80" s="29" t="str">
        <f t="shared" si="16"/>
        <v/>
      </c>
      <c r="D80" s="29">
        <f t="shared" si="19"/>
        <v>2025</v>
      </c>
      <c r="E80" s="32" t="e">
        <f t="shared" ca="1" si="25"/>
        <v>#REF!</v>
      </c>
      <c r="F80" s="32" t="e">
        <f t="shared" ca="1" si="25"/>
        <v>#REF!</v>
      </c>
      <c r="G80" s="32" t="e">
        <f t="shared" ca="1" si="25"/>
        <v>#REF!</v>
      </c>
      <c r="H80" s="32" t="e">
        <f t="shared" ca="1" si="25"/>
        <v>#REF!</v>
      </c>
      <c r="I80" s="32" t="e">
        <f t="shared" ca="1" si="25"/>
        <v>#REF!</v>
      </c>
      <c r="J80" s="32" t="e">
        <f t="shared" ca="1" si="25"/>
        <v>#REF!</v>
      </c>
      <c r="K80" s="32" t="e">
        <f t="shared" ca="1" si="25"/>
        <v>#REF!</v>
      </c>
      <c r="L80" s="32" t="e">
        <f t="shared" ca="1" si="25"/>
        <v>#REF!</v>
      </c>
      <c r="M80" s="32" t="e">
        <f t="shared" ca="1" si="25"/>
        <v>#REF!</v>
      </c>
      <c r="N80" s="32" t="e">
        <f t="shared" ca="1" si="25"/>
        <v>#REF!</v>
      </c>
      <c r="O80" s="32" t="e">
        <f t="shared" ca="1" si="25"/>
        <v>#REF!</v>
      </c>
      <c r="P80" s="32" t="e">
        <f t="shared" ca="1" si="25"/>
        <v>#REF!</v>
      </c>
      <c r="Q80" s="32" t="e">
        <f t="shared" ca="1" si="25"/>
        <v>#REF!</v>
      </c>
      <c r="R80">
        <v>0</v>
      </c>
      <c r="S80" s="29" t="str">
        <f t="shared" si="26"/>
        <v/>
      </c>
      <c r="T80" s="29">
        <f t="shared" si="27"/>
        <v>2025</v>
      </c>
      <c r="U80" s="32" t="e">
        <f t="shared" ca="1" si="22"/>
        <v>#REF!</v>
      </c>
      <c r="V80" s="32" t="e">
        <f t="shared" ca="1" si="22"/>
        <v>#REF!</v>
      </c>
      <c r="W80" s="32" t="e">
        <f t="shared" ca="1" si="22"/>
        <v>#REF!</v>
      </c>
      <c r="X80" s="32" t="e">
        <f t="shared" ca="1" si="22"/>
        <v>#REF!</v>
      </c>
      <c r="Y80" s="1">
        <f t="shared" si="14"/>
        <v>0</v>
      </c>
      <c r="AA80" s="31" t="e">
        <f t="shared" ca="1" si="21"/>
        <v>#REF!</v>
      </c>
      <c r="AC80" s="34" t="e">
        <f t="shared" ca="1" si="15"/>
        <v>#REF!</v>
      </c>
      <c r="AD80" s="34" t="e">
        <f t="shared" ca="1" si="24"/>
        <v>#REF!</v>
      </c>
      <c r="AE80" s="34" t="e">
        <f t="shared" ca="1" si="6"/>
        <v>#REF!</v>
      </c>
    </row>
    <row r="81" spans="1:31" x14ac:dyDescent="0.2">
      <c r="A81" s="29"/>
      <c r="B81" s="29"/>
      <c r="C81" s="29" t="str">
        <f t="shared" si="16"/>
        <v/>
      </c>
      <c r="D81" s="29">
        <f t="shared" si="19"/>
        <v>2030</v>
      </c>
      <c r="E81" s="32" t="e">
        <f t="shared" ca="1" si="25"/>
        <v>#REF!</v>
      </c>
      <c r="F81" s="32" t="e">
        <f t="shared" ca="1" si="25"/>
        <v>#REF!</v>
      </c>
      <c r="G81" s="32" t="e">
        <f t="shared" ca="1" si="25"/>
        <v>#REF!</v>
      </c>
      <c r="H81" s="32" t="e">
        <f t="shared" ca="1" si="25"/>
        <v>#REF!</v>
      </c>
      <c r="I81" s="32" t="e">
        <f t="shared" ca="1" si="25"/>
        <v>#REF!</v>
      </c>
      <c r="J81" s="32" t="e">
        <f t="shared" ca="1" si="25"/>
        <v>#REF!</v>
      </c>
      <c r="K81" s="32" t="e">
        <f t="shared" ca="1" si="25"/>
        <v>#REF!</v>
      </c>
      <c r="L81" s="32" t="e">
        <f t="shared" ca="1" si="25"/>
        <v>#REF!</v>
      </c>
      <c r="M81" s="32" t="e">
        <f t="shared" ca="1" si="25"/>
        <v>#REF!</v>
      </c>
      <c r="N81" s="32" t="e">
        <f t="shared" ca="1" si="25"/>
        <v>#REF!</v>
      </c>
      <c r="O81" s="32" t="e">
        <f t="shared" ca="1" si="25"/>
        <v>#REF!</v>
      </c>
      <c r="P81" s="32" t="e">
        <f t="shared" ca="1" si="25"/>
        <v>#REF!</v>
      </c>
      <c r="Q81" s="32" t="e">
        <f t="shared" ca="1" si="25"/>
        <v>#REF!</v>
      </c>
      <c r="R81">
        <v>0</v>
      </c>
      <c r="S81" s="29" t="str">
        <f t="shared" si="26"/>
        <v/>
      </c>
      <c r="T81" s="29">
        <f t="shared" si="27"/>
        <v>2030</v>
      </c>
      <c r="U81" s="32" t="e">
        <f t="shared" ca="1" si="22"/>
        <v>#REF!</v>
      </c>
      <c r="V81" s="32" t="e">
        <f t="shared" ca="1" si="22"/>
        <v>#REF!</v>
      </c>
      <c r="W81" s="32" t="e">
        <f t="shared" ca="1" si="22"/>
        <v>#REF!</v>
      </c>
      <c r="X81" s="32" t="e">
        <f t="shared" ca="1" si="22"/>
        <v>#REF!</v>
      </c>
      <c r="Y81" s="1" t="e">
        <f t="shared" ca="1" si="14"/>
        <v>#REF!</v>
      </c>
      <c r="AA81" s="31" t="e">
        <f t="shared" ca="1" si="21"/>
        <v>#REF!</v>
      </c>
      <c r="AC81" s="34" t="e">
        <f t="shared" ca="1" si="15"/>
        <v>#REF!</v>
      </c>
      <c r="AD81" s="34" t="e">
        <f t="shared" ca="1" si="24"/>
        <v>#REF!</v>
      </c>
      <c r="AE81" s="34" t="e">
        <f t="shared" ca="1" si="6"/>
        <v>#REF!</v>
      </c>
    </row>
    <row r="82" spans="1:31" x14ac:dyDescent="0.2">
      <c r="A82" s="29"/>
      <c r="B82" s="29"/>
      <c r="C82" s="29" t="str">
        <f t="shared" si="16"/>
        <v/>
      </c>
      <c r="D82" s="29">
        <f t="shared" si="19"/>
        <v>2035</v>
      </c>
      <c r="E82" s="32" t="e">
        <f t="shared" ref="E82:Q91" ca="1" si="28">INDEX(INDIRECT("'"&amp;$B82&amp;"'!"&amp;$A$1),MATCH(E$31,INDIRECT("'"&amp;$B82&amp;"'!G43:G55"),0),MATCH($D82,INDIRECT("'"&amp;$B82&amp;"'!H42:AG42")))</f>
        <v>#REF!</v>
      </c>
      <c r="F82" s="32" t="e">
        <f t="shared" ca="1" si="28"/>
        <v>#REF!</v>
      </c>
      <c r="G82" s="32" t="e">
        <f t="shared" ca="1" si="28"/>
        <v>#REF!</v>
      </c>
      <c r="H82" s="32" t="e">
        <f t="shared" ca="1" si="28"/>
        <v>#REF!</v>
      </c>
      <c r="I82" s="32" t="e">
        <f t="shared" ca="1" si="28"/>
        <v>#REF!</v>
      </c>
      <c r="J82" s="32" t="e">
        <f t="shared" ca="1" si="28"/>
        <v>#REF!</v>
      </c>
      <c r="K82" s="32" t="e">
        <f t="shared" ca="1" si="28"/>
        <v>#REF!</v>
      </c>
      <c r="L82" s="32" t="e">
        <f t="shared" ca="1" si="28"/>
        <v>#REF!</v>
      </c>
      <c r="M82" s="32" t="e">
        <f t="shared" ca="1" si="28"/>
        <v>#REF!</v>
      </c>
      <c r="N82" s="32" t="e">
        <f t="shared" ca="1" si="28"/>
        <v>#REF!</v>
      </c>
      <c r="O82" s="32" t="e">
        <f t="shared" ca="1" si="28"/>
        <v>#REF!</v>
      </c>
      <c r="P82" s="32" t="e">
        <f t="shared" ca="1" si="28"/>
        <v>#REF!</v>
      </c>
      <c r="Q82" s="32" t="e">
        <f t="shared" ca="1" si="28"/>
        <v>#REF!</v>
      </c>
      <c r="R82">
        <v>0</v>
      </c>
      <c r="S82" s="29" t="str">
        <f t="shared" si="26"/>
        <v/>
      </c>
      <c r="T82" s="29">
        <f t="shared" si="27"/>
        <v>2035</v>
      </c>
      <c r="U82" s="32" t="e">
        <f t="shared" ca="1" si="22"/>
        <v>#REF!</v>
      </c>
      <c r="V82" s="32" t="e">
        <f t="shared" ca="1" si="22"/>
        <v>#REF!</v>
      </c>
      <c r="W82" s="32" t="e">
        <f t="shared" ca="1" si="22"/>
        <v>#REF!</v>
      </c>
      <c r="X82" s="32" t="e">
        <f t="shared" ca="1" si="22"/>
        <v>#REF!</v>
      </c>
      <c r="Y82" s="1" t="e">
        <f t="shared" ca="1" si="14"/>
        <v>#REF!</v>
      </c>
      <c r="AA82" s="31" t="e">
        <f t="shared" ca="1" si="21"/>
        <v>#REF!</v>
      </c>
      <c r="AC82" s="34" t="e">
        <f t="shared" ca="1" si="15"/>
        <v>#REF!</v>
      </c>
      <c r="AD82" s="34" t="e">
        <f t="shared" ca="1" si="24"/>
        <v>#REF!</v>
      </c>
      <c r="AE82" s="34" t="e">
        <f t="shared" ca="1" si="6"/>
        <v>#REF!</v>
      </c>
    </row>
    <row r="83" spans="1:31" x14ac:dyDescent="0.2">
      <c r="A83" s="29"/>
      <c r="B83" s="29"/>
      <c r="C83" s="29" t="str">
        <f t="shared" si="16"/>
        <v/>
      </c>
      <c r="D83" s="29">
        <f t="shared" si="19"/>
        <v>2040</v>
      </c>
      <c r="E83" s="32" t="e">
        <f t="shared" ca="1" si="28"/>
        <v>#REF!</v>
      </c>
      <c r="F83" s="32" t="e">
        <f t="shared" ca="1" si="28"/>
        <v>#REF!</v>
      </c>
      <c r="G83" s="32" t="e">
        <f t="shared" ca="1" si="28"/>
        <v>#REF!</v>
      </c>
      <c r="H83" s="32" t="e">
        <f t="shared" ca="1" si="28"/>
        <v>#REF!</v>
      </c>
      <c r="I83" s="32" t="e">
        <f t="shared" ca="1" si="28"/>
        <v>#REF!</v>
      </c>
      <c r="J83" s="32" t="e">
        <f t="shared" ca="1" si="28"/>
        <v>#REF!</v>
      </c>
      <c r="K83" s="32" t="e">
        <f t="shared" ca="1" si="28"/>
        <v>#REF!</v>
      </c>
      <c r="L83" s="32" t="e">
        <f t="shared" ca="1" si="28"/>
        <v>#REF!</v>
      </c>
      <c r="M83" s="32" t="e">
        <f t="shared" ca="1" si="28"/>
        <v>#REF!</v>
      </c>
      <c r="N83" s="32" t="e">
        <f t="shared" ca="1" si="28"/>
        <v>#REF!</v>
      </c>
      <c r="O83" s="32" t="e">
        <f t="shared" ca="1" si="28"/>
        <v>#REF!</v>
      </c>
      <c r="P83" s="32" t="e">
        <f t="shared" ca="1" si="28"/>
        <v>#REF!</v>
      </c>
      <c r="Q83" s="32" t="e">
        <f t="shared" ca="1" si="28"/>
        <v>#REF!</v>
      </c>
      <c r="R83">
        <v>0</v>
      </c>
      <c r="S83" s="29" t="str">
        <f t="shared" si="26"/>
        <v/>
      </c>
      <c r="T83" s="29">
        <f t="shared" si="27"/>
        <v>2040</v>
      </c>
      <c r="U83" s="32" t="e">
        <f t="shared" ca="1" si="22"/>
        <v>#REF!</v>
      </c>
      <c r="V83" s="32" t="e">
        <f t="shared" ca="1" si="22"/>
        <v>#REF!</v>
      </c>
      <c r="W83" s="32" t="e">
        <f t="shared" ca="1" si="22"/>
        <v>#REF!</v>
      </c>
      <c r="X83" s="32" t="e">
        <f t="shared" ca="1" si="22"/>
        <v>#REF!</v>
      </c>
      <c r="Y83" s="1" t="e">
        <f t="shared" ca="1" si="14"/>
        <v>#REF!</v>
      </c>
      <c r="AA83" s="31" t="e">
        <f t="shared" ca="1" si="21"/>
        <v>#REF!</v>
      </c>
      <c r="AC83" s="34" t="e">
        <f t="shared" ca="1" si="15"/>
        <v>#REF!</v>
      </c>
      <c r="AD83" s="34" t="e">
        <f t="shared" ca="1" si="24"/>
        <v>#REF!</v>
      </c>
      <c r="AE83" s="34" t="e">
        <f t="shared" ca="1" si="6"/>
        <v>#REF!</v>
      </c>
    </row>
    <row r="84" spans="1:31" x14ac:dyDescent="0.2">
      <c r="A84" s="29"/>
      <c r="B84" s="29"/>
      <c r="C84" s="29" t="str">
        <f t="shared" si="16"/>
        <v/>
      </c>
      <c r="D84" s="29">
        <f t="shared" si="19"/>
        <v>2045</v>
      </c>
      <c r="E84" s="32" t="e">
        <f t="shared" ca="1" si="28"/>
        <v>#REF!</v>
      </c>
      <c r="F84" s="32" t="e">
        <f t="shared" ca="1" si="28"/>
        <v>#REF!</v>
      </c>
      <c r="G84" s="32" t="e">
        <f t="shared" ca="1" si="28"/>
        <v>#REF!</v>
      </c>
      <c r="H84" s="32" t="e">
        <f t="shared" ca="1" si="28"/>
        <v>#REF!</v>
      </c>
      <c r="I84" s="32" t="e">
        <f t="shared" ca="1" si="28"/>
        <v>#REF!</v>
      </c>
      <c r="J84" s="32" t="e">
        <f t="shared" ca="1" si="28"/>
        <v>#REF!</v>
      </c>
      <c r="K84" s="32" t="e">
        <f t="shared" ca="1" si="28"/>
        <v>#REF!</v>
      </c>
      <c r="L84" s="32" t="e">
        <f t="shared" ca="1" si="28"/>
        <v>#REF!</v>
      </c>
      <c r="M84" s="32" t="e">
        <f t="shared" ca="1" si="28"/>
        <v>#REF!</v>
      </c>
      <c r="N84" s="32" t="e">
        <f t="shared" ca="1" si="28"/>
        <v>#REF!</v>
      </c>
      <c r="O84" s="32" t="e">
        <f t="shared" ca="1" si="28"/>
        <v>#REF!</v>
      </c>
      <c r="P84" s="32" t="e">
        <f t="shared" ca="1" si="28"/>
        <v>#REF!</v>
      </c>
      <c r="Q84" s="32" t="e">
        <f t="shared" ca="1" si="28"/>
        <v>#REF!</v>
      </c>
      <c r="R84">
        <v>0</v>
      </c>
      <c r="S84" s="29" t="str">
        <f t="shared" si="26"/>
        <v/>
      </c>
      <c r="T84" s="29">
        <f t="shared" si="27"/>
        <v>2045</v>
      </c>
      <c r="U84" s="32" t="e">
        <f t="shared" ca="1" si="22"/>
        <v>#REF!</v>
      </c>
      <c r="V84" s="32" t="e">
        <f t="shared" ca="1" si="22"/>
        <v>#REF!</v>
      </c>
      <c r="W84" s="32" t="e">
        <f t="shared" ca="1" si="22"/>
        <v>#REF!</v>
      </c>
      <c r="X84" s="32" t="e">
        <f t="shared" ca="1" si="22"/>
        <v>#REF!</v>
      </c>
      <c r="Y84" s="1" t="e">
        <f t="shared" ca="1" si="14"/>
        <v>#REF!</v>
      </c>
      <c r="AA84" s="31" t="e">
        <f t="shared" ca="1" si="21"/>
        <v>#REF!</v>
      </c>
      <c r="AC84" s="34" t="e">
        <f t="shared" ca="1" si="15"/>
        <v>#REF!</v>
      </c>
      <c r="AD84" s="34" t="e">
        <f t="shared" ca="1" si="24"/>
        <v>#REF!</v>
      </c>
      <c r="AE84" s="34" t="e">
        <f t="shared" ca="1" si="6"/>
        <v>#REF!</v>
      </c>
    </row>
    <row r="85" spans="1:31" x14ac:dyDescent="0.2">
      <c r="A85" s="29"/>
      <c r="B85" s="29"/>
      <c r="C85" s="29" t="str">
        <f t="shared" si="16"/>
        <v/>
      </c>
      <c r="D85" s="29">
        <f t="shared" si="19"/>
        <v>2050</v>
      </c>
      <c r="E85" s="32" t="e">
        <f t="shared" ca="1" si="28"/>
        <v>#REF!</v>
      </c>
      <c r="F85" s="32" t="e">
        <f t="shared" ca="1" si="28"/>
        <v>#REF!</v>
      </c>
      <c r="G85" s="32" t="e">
        <f t="shared" ca="1" si="28"/>
        <v>#REF!</v>
      </c>
      <c r="H85" s="32" t="e">
        <f t="shared" ca="1" si="28"/>
        <v>#REF!</v>
      </c>
      <c r="I85" s="32" t="e">
        <f t="shared" ca="1" si="28"/>
        <v>#REF!</v>
      </c>
      <c r="J85" s="32" t="e">
        <f t="shared" ca="1" si="28"/>
        <v>#REF!</v>
      </c>
      <c r="K85" s="32" t="e">
        <f t="shared" ca="1" si="28"/>
        <v>#REF!</v>
      </c>
      <c r="L85" s="32" t="e">
        <f t="shared" ca="1" si="28"/>
        <v>#REF!</v>
      </c>
      <c r="M85" s="32" t="e">
        <f t="shared" ca="1" si="28"/>
        <v>#REF!</v>
      </c>
      <c r="N85" s="32" t="e">
        <f t="shared" ca="1" si="28"/>
        <v>#REF!</v>
      </c>
      <c r="O85" s="32" t="e">
        <f t="shared" ca="1" si="28"/>
        <v>#REF!</v>
      </c>
      <c r="P85" s="32" t="e">
        <f t="shared" ca="1" si="28"/>
        <v>#REF!</v>
      </c>
      <c r="Q85" s="32" t="e">
        <f t="shared" ca="1" si="28"/>
        <v>#REF!</v>
      </c>
      <c r="R85">
        <v>0</v>
      </c>
      <c r="S85" s="29" t="str">
        <f t="shared" si="26"/>
        <v/>
      </c>
      <c r="T85" s="29">
        <f t="shared" si="27"/>
        <v>2050</v>
      </c>
      <c r="U85" s="32" t="e">
        <f t="shared" ca="1" si="22"/>
        <v>#REF!</v>
      </c>
      <c r="V85" s="32" t="e">
        <f t="shared" ca="1" si="22"/>
        <v>#REF!</v>
      </c>
      <c r="W85" s="32" t="e">
        <f t="shared" ca="1" si="22"/>
        <v>#REF!</v>
      </c>
      <c r="X85" s="32" t="e">
        <f t="shared" ca="1" si="22"/>
        <v>#REF!</v>
      </c>
      <c r="Y85" s="1" t="e">
        <f t="shared" ca="1" si="14"/>
        <v>#REF!</v>
      </c>
      <c r="AA85" s="31" t="e">
        <f t="shared" ca="1" si="21"/>
        <v>#REF!</v>
      </c>
      <c r="AC85" s="34" t="e">
        <f t="shared" ca="1" si="15"/>
        <v>#REF!</v>
      </c>
      <c r="AD85" s="34" t="e">
        <f t="shared" ca="1" si="24"/>
        <v>#REF!</v>
      </c>
      <c r="AE85" s="34" t="e">
        <f t="shared" ca="1" si="6"/>
        <v>#REF!</v>
      </c>
    </row>
    <row r="86" spans="1:31" x14ac:dyDescent="0.2">
      <c r="A86" s="29"/>
      <c r="B86" s="29"/>
      <c r="C86" s="29" t="str">
        <f t="shared" si="16"/>
        <v/>
      </c>
      <c r="D86" s="29">
        <f t="shared" si="19"/>
        <v>2025</v>
      </c>
      <c r="E86" s="32" t="e">
        <f t="shared" ca="1" si="28"/>
        <v>#REF!</v>
      </c>
      <c r="F86" s="32" t="e">
        <f t="shared" ca="1" si="28"/>
        <v>#REF!</v>
      </c>
      <c r="G86" s="32" t="e">
        <f t="shared" ca="1" si="28"/>
        <v>#REF!</v>
      </c>
      <c r="H86" s="32" t="e">
        <f t="shared" ca="1" si="28"/>
        <v>#REF!</v>
      </c>
      <c r="I86" s="32" t="e">
        <f t="shared" ca="1" si="28"/>
        <v>#REF!</v>
      </c>
      <c r="J86" s="32" t="e">
        <f t="shared" ca="1" si="28"/>
        <v>#REF!</v>
      </c>
      <c r="K86" s="32" t="e">
        <f t="shared" ca="1" si="28"/>
        <v>#REF!</v>
      </c>
      <c r="L86" s="32" t="e">
        <f t="shared" ca="1" si="28"/>
        <v>#REF!</v>
      </c>
      <c r="M86" s="32" t="e">
        <f t="shared" ca="1" si="28"/>
        <v>#REF!</v>
      </c>
      <c r="N86" s="32" t="e">
        <f t="shared" ca="1" si="28"/>
        <v>#REF!</v>
      </c>
      <c r="O86" s="32" t="e">
        <f t="shared" ca="1" si="28"/>
        <v>#REF!</v>
      </c>
      <c r="P86" s="32" t="e">
        <f t="shared" ca="1" si="28"/>
        <v>#REF!</v>
      </c>
      <c r="Q86" s="32" t="e">
        <f t="shared" ca="1" si="28"/>
        <v>#REF!</v>
      </c>
      <c r="R86">
        <v>0</v>
      </c>
      <c r="S86" s="29" t="str">
        <f t="shared" si="26"/>
        <v/>
      </c>
      <c r="T86" s="29">
        <f t="shared" si="27"/>
        <v>2025</v>
      </c>
      <c r="U86" s="32" t="e">
        <f t="shared" ca="1" si="22"/>
        <v>#REF!</v>
      </c>
      <c r="V86" s="32" t="e">
        <f t="shared" ca="1" si="22"/>
        <v>#REF!</v>
      </c>
      <c r="W86" s="32" t="e">
        <f t="shared" ca="1" si="22"/>
        <v>#REF!</v>
      </c>
      <c r="X86" s="32" t="e">
        <f t="shared" ca="1" si="22"/>
        <v>#REF!</v>
      </c>
      <c r="Y86" s="1">
        <f t="shared" si="14"/>
        <v>0</v>
      </c>
      <c r="AA86" s="31" t="e">
        <f t="shared" ca="1" si="21"/>
        <v>#REF!</v>
      </c>
      <c r="AC86" s="34" t="e">
        <f t="shared" ca="1" si="15"/>
        <v>#REF!</v>
      </c>
      <c r="AD86" s="34" t="e">
        <f t="shared" ca="1" si="24"/>
        <v>#REF!</v>
      </c>
      <c r="AE86" s="34" t="e">
        <f t="shared" ca="1" si="6"/>
        <v>#REF!</v>
      </c>
    </row>
    <row r="87" spans="1:31" x14ac:dyDescent="0.2">
      <c r="A87" s="29"/>
      <c r="B87" s="29"/>
      <c r="C87" s="29" t="str">
        <f t="shared" si="16"/>
        <v/>
      </c>
      <c r="D87" s="29">
        <f t="shared" si="19"/>
        <v>2030</v>
      </c>
      <c r="E87" s="32" t="e">
        <f t="shared" ca="1" si="28"/>
        <v>#REF!</v>
      </c>
      <c r="F87" s="32" t="e">
        <f t="shared" ca="1" si="28"/>
        <v>#REF!</v>
      </c>
      <c r="G87" s="32" t="e">
        <f t="shared" ca="1" si="28"/>
        <v>#REF!</v>
      </c>
      <c r="H87" s="32" t="e">
        <f t="shared" ca="1" si="28"/>
        <v>#REF!</v>
      </c>
      <c r="I87" s="32" t="e">
        <f t="shared" ca="1" si="28"/>
        <v>#REF!</v>
      </c>
      <c r="J87" s="32" t="e">
        <f t="shared" ca="1" si="28"/>
        <v>#REF!</v>
      </c>
      <c r="K87" s="32" t="e">
        <f t="shared" ca="1" si="28"/>
        <v>#REF!</v>
      </c>
      <c r="L87" s="32" t="e">
        <f t="shared" ca="1" si="28"/>
        <v>#REF!</v>
      </c>
      <c r="M87" s="32" t="e">
        <f t="shared" ca="1" si="28"/>
        <v>#REF!</v>
      </c>
      <c r="N87" s="32" t="e">
        <f t="shared" ca="1" si="28"/>
        <v>#REF!</v>
      </c>
      <c r="O87" s="32" t="e">
        <f t="shared" ca="1" si="28"/>
        <v>#REF!</v>
      </c>
      <c r="P87" s="32" t="e">
        <f t="shared" ca="1" si="28"/>
        <v>#REF!</v>
      </c>
      <c r="Q87" s="32" t="e">
        <f t="shared" ca="1" si="28"/>
        <v>#REF!</v>
      </c>
      <c r="R87">
        <v>0</v>
      </c>
      <c r="S87" s="29" t="str">
        <f t="shared" si="26"/>
        <v/>
      </c>
      <c r="T87" s="29">
        <f t="shared" si="27"/>
        <v>2030</v>
      </c>
      <c r="U87" s="32" t="e">
        <f t="shared" ca="1" si="22"/>
        <v>#REF!</v>
      </c>
      <c r="V87" s="32" t="e">
        <f t="shared" ca="1" si="22"/>
        <v>#REF!</v>
      </c>
      <c r="W87" s="32" t="e">
        <f t="shared" ca="1" si="22"/>
        <v>#REF!</v>
      </c>
      <c r="X87" s="32" t="e">
        <f t="shared" ca="1" si="22"/>
        <v>#REF!</v>
      </c>
      <c r="Y87" s="1" t="e">
        <f t="shared" ca="1" si="14"/>
        <v>#REF!</v>
      </c>
      <c r="AA87" s="31" t="e">
        <f t="shared" ca="1" si="21"/>
        <v>#REF!</v>
      </c>
      <c r="AC87" s="34" t="e">
        <f t="shared" ca="1" si="15"/>
        <v>#REF!</v>
      </c>
      <c r="AD87" s="34" t="e">
        <f t="shared" ca="1" si="24"/>
        <v>#REF!</v>
      </c>
      <c r="AE87" s="34" t="e">
        <f t="shared" ca="1" si="6"/>
        <v>#REF!</v>
      </c>
    </row>
    <row r="88" spans="1:31" x14ac:dyDescent="0.2">
      <c r="A88" s="29"/>
      <c r="B88" s="29"/>
      <c r="C88" s="29" t="str">
        <f t="shared" si="16"/>
        <v/>
      </c>
      <c r="D88" s="29">
        <f t="shared" si="19"/>
        <v>2035</v>
      </c>
      <c r="E88" s="32" t="e">
        <f t="shared" ca="1" si="28"/>
        <v>#REF!</v>
      </c>
      <c r="F88" s="32" t="e">
        <f t="shared" ca="1" si="28"/>
        <v>#REF!</v>
      </c>
      <c r="G88" s="32" t="e">
        <f t="shared" ca="1" si="28"/>
        <v>#REF!</v>
      </c>
      <c r="H88" s="32" t="e">
        <f t="shared" ca="1" si="28"/>
        <v>#REF!</v>
      </c>
      <c r="I88" s="32" t="e">
        <f t="shared" ca="1" si="28"/>
        <v>#REF!</v>
      </c>
      <c r="J88" s="32" t="e">
        <f t="shared" ca="1" si="28"/>
        <v>#REF!</v>
      </c>
      <c r="K88" s="32" t="e">
        <f t="shared" ca="1" si="28"/>
        <v>#REF!</v>
      </c>
      <c r="L88" s="32" t="e">
        <f t="shared" ca="1" si="28"/>
        <v>#REF!</v>
      </c>
      <c r="M88" s="32" t="e">
        <f t="shared" ca="1" si="28"/>
        <v>#REF!</v>
      </c>
      <c r="N88" s="32" t="e">
        <f t="shared" ca="1" si="28"/>
        <v>#REF!</v>
      </c>
      <c r="O88" s="32" t="e">
        <f t="shared" ca="1" si="28"/>
        <v>#REF!</v>
      </c>
      <c r="P88" s="32" t="e">
        <f t="shared" ca="1" si="28"/>
        <v>#REF!</v>
      </c>
      <c r="Q88" s="32" t="e">
        <f t="shared" ca="1" si="28"/>
        <v>#REF!</v>
      </c>
      <c r="R88">
        <v>0</v>
      </c>
      <c r="S88" s="29" t="str">
        <f t="shared" si="26"/>
        <v/>
      </c>
      <c r="T88" s="29">
        <f t="shared" si="27"/>
        <v>2035</v>
      </c>
      <c r="U88" s="32" t="e">
        <f t="shared" ca="1" si="22"/>
        <v>#REF!</v>
      </c>
      <c r="V88" s="32" t="e">
        <f t="shared" ca="1" si="22"/>
        <v>#REF!</v>
      </c>
      <c r="W88" s="32" t="e">
        <f t="shared" ca="1" si="22"/>
        <v>#REF!</v>
      </c>
      <c r="X88" s="32" t="e">
        <f t="shared" ca="1" si="22"/>
        <v>#REF!</v>
      </c>
      <c r="Y88" s="1" t="e">
        <f t="shared" ca="1" si="14"/>
        <v>#REF!</v>
      </c>
      <c r="AA88" s="31" t="e">
        <f t="shared" ca="1" si="21"/>
        <v>#REF!</v>
      </c>
      <c r="AC88" s="34" t="e">
        <f t="shared" ca="1" si="15"/>
        <v>#REF!</v>
      </c>
      <c r="AD88" s="34" t="e">
        <f t="shared" ca="1" si="24"/>
        <v>#REF!</v>
      </c>
      <c r="AE88" s="34" t="e">
        <f t="shared" ca="1" si="6"/>
        <v>#REF!</v>
      </c>
    </row>
    <row r="89" spans="1:31" x14ac:dyDescent="0.2">
      <c r="A89" s="29"/>
      <c r="B89" s="29"/>
      <c r="C89" s="29" t="str">
        <f t="shared" si="16"/>
        <v/>
      </c>
      <c r="D89" s="29">
        <f t="shared" si="19"/>
        <v>2040</v>
      </c>
      <c r="E89" s="32" t="e">
        <f t="shared" ca="1" si="28"/>
        <v>#REF!</v>
      </c>
      <c r="F89" s="32" t="e">
        <f t="shared" ca="1" si="28"/>
        <v>#REF!</v>
      </c>
      <c r="G89" s="32" t="e">
        <f t="shared" ca="1" si="28"/>
        <v>#REF!</v>
      </c>
      <c r="H89" s="32" t="e">
        <f t="shared" ca="1" si="28"/>
        <v>#REF!</v>
      </c>
      <c r="I89" s="32" t="e">
        <f t="shared" ca="1" si="28"/>
        <v>#REF!</v>
      </c>
      <c r="J89" s="32" t="e">
        <f t="shared" ca="1" si="28"/>
        <v>#REF!</v>
      </c>
      <c r="K89" s="32" t="e">
        <f t="shared" ca="1" si="28"/>
        <v>#REF!</v>
      </c>
      <c r="L89" s="32" t="e">
        <f t="shared" ca="1" si="28"/>
        <v>#REF!</v>
      </c>
      <c r="M89" s="32" t="e">
        <f t="shared" ca="1" si="28"/>
        <v>#REF!</v>
      </c>
      <c r="N89" s="32" t="e">
        <f t="shared" ca="1" si="28"/>
        <v>#REF!</v>
      </c>
      <c r="O89" s="32" t="e">
        <f t="shared" ca="1" si="28"/>
        <v>#REF!</v>
      </c>
      <c r="P89" s="32" t="e">
        <f t="shared" ca="1" si="28"/>
        <v>#REF!</v>
      </c>
      <c r="Q89" s="32" t="e">
        <f t="shared" ca="1" si="28"/>
        <v>#REF!</v>
      </c>
      <c r="R89">
        <v>0</v>
      </c>
      <c r="S89" s="29" t="str">
        <f t="shared" si="26"/>
        <v/>
      </c>
      <c r="T89" s="29">
        <f t="shared" si="27"/>
        <v>2040</v>
      </c>
      <c r="U89" s="32" t="e">
        <f t="shared" ca="1" si="22"/>
        <v>#REF!</v>
      </c>
      <c r="V89" s="32" t="e">
        <f t="shared" ca="1" si="22"/>
        <v>#REF!</v>
      </c>
      <c r="W89" s="32" t="e">
        <f t="shared" ca="1" si="22"/>
        <v>#REF!</v>
      </c>
      <c r="X89" s="32" t="e">
        <f t="shared" ca="1" si="22"/>
        <v>#REF!</v>
      </c>
      <c r="Y89" s="1" t="e">
        <f t="shared" ca="1" si="14"/>
        <v>#REF!</v>
      </c>
      <c r="AA89" s="31" t="e">
        <f t="shared" ca="1" si="21"/>
        <v>#REF!</v>
      </c>
      <c r="AC89" s="34" t="e">
        <f t="shared" ca="1" si="15"/>
        <v>#REF!</v>
      </c>
      <c r="AD89" s="34" t="e">
        <f t="shared" ca="1" si="24"/>
        <v>#REF!</v>
      </c>
      <c r="AE89" s="34" t="e">
        <f t="shared" ca="1" si="6"/>
        <v>#REF!</v>
      </c>
    </row>
    <row r="90" spans="1:31" x14ac:dyDescent="0.2">
      <c r="A90" s="29"/>
      <c r="B90" s="29"/>
      <c r="C90" s="29" t="str">
        <f t="shared" si="16"/>
        <v/>
      </c>
      <c r="D90" s="29">
        <f t="shared" si="19"/>
        <v>2045</v>
      </c>
      <c r="E90" s="32" t="e">
        <f t="shared" ca="1" si="28"/>
        <v>#REF!</v>
      </c>
      <c r="F90" s="32" t="e">
        <f t="shared" ca="1" si="28"/>
        <v>#REF!</v>
      </c>
      <c r="G90" s="32" t="e">
        <f t="shared" ca="1" si="28"/>
        <v>#REF!</v>
      </c>
      <c r="H90" s="32" t="e">
        <f t="shared" ca="1" si="28"/>
        <v>#REF!</v>
      </c>
      <c r="I90" s="32" t="e">
        <f t="shared" ca="1" si="28"/>
        <v>#REF!</v>
      </c>
      <c r="J90" s="32" t="e">
        <f t="shared" ca="1" si="28"/>
        <v>#REF!</v>
      </c>
      <c r="K90" s="32" t="e">
        <f t="shared" ca="1" si="28"/>
        <v>#REF!</v>
      </c>
      <c r="L90" s="32" t="e">
        <f t="shared" ca="1" si="28"/>
        <v>#REF!</v>
      </c>
      <c r="M90" s="32" t="e">
        <f t="shared" ca="1" si="28"/>
        <v>#REF!</v>
      </c>
      <c r="N90" s="32" t="e">
        <f t="shared" ca="1" si="28"/>
        <v>#REF!</v>
      </c>
      <c r="O90" s="32" t="e">
        <f t="shared" ca="1" si="28"/>
        <v>#REF!</v>
      </c>
      <c r="P90" s="32" t="e">
        <f t="shared" ca="1" si="28"/>
        <v>#REF!</v>
      </c>
      <c r="Q90" s="32" t="e">
        <f t="shared" ca="1" si="28"/>
        <v>#REF!</v>
      </c>
      <c r="R90">
        <v>0</v>
      </c>
      <c r="S90" s="29" t="str">
        <f t="shared" si="26"/>
        <v/>
      </c>
      <c r="T90" s="29">
        <f t="shared" si="27"/>
        <v>2045</v>
      </c>
      <c r="U90" s="32" t="e">
        <f t="shared" ca="1" si="22"/>
        <v>#REF!</v>
      </c>
      <c r="V90" s="32" t="e">
        <f t="shared" ca="1" si="22"/>
        <v>#REF!</v>
      </c>
      <c r="W90" s="32" t="e">
        <f t="shared" ca="1" si="22"/>
        <v>#REF!</v>
      </c>
      <c r="X90" s="32" t="e">
        <f t="shared" ca="1" si="22"/>
        <v>#REF!</v>
      </c>
      <c r="Y90" s="1" t="e">
        <f t="shared" ca="1" si="14"/>
        <v>#REF!</v>
      </c>
      <c r="AA90" s="31" t="e">
        <f t="shared" ref="AA90:AA121" ca="1" si="29">INDEX(INDIRECT("'"&amp;$B90&amp;"'!BL58:CK58"),MATCH($D90,INDIRECT("'"&amp;$B90&amp;"'!BL42:CK42")))</f>
        <v>#REF!</v>
      </c>
      <c r="AC90" s="34" t="e">
        <f t="shared" ca="1" si="15"/>
        <v>#REF!</v>
      </c>
      <c r="AD90" s="34" t="e">
        <f t="shared" ca="1" si="24"/>
        <v>#REF!</v>
      </c>
      <c r="AE90" s="34" t="e">
        <f t="shared" ca="1" si="6"/>
        <v>#REF!</v>
      </c>
    </row>
    <row r="91" spans="1:31" x14ac:dyDescent="0.2">
      <c r="A91" s="29"/>
      <c r="B91" s="29"/>
      <c r="C91" s="29" t="str">
        <f t="shared" si="16"/>
        <v/>
      </c>
      <c r="D91" s="29">
        <f t="shared" si="19"/>
        <v>2050</v>
      </c>
      <c r="E91" s="32" t="e">
        <f t="shared" ca="1" si="28"/>
        <v>#REF!</v>
      </c>
      <c r="F91" s="32" t="e">
        <f t="shared" ca="1" si="28"/>
        <v>#REF!</v>
      </c>
      <c r="G91" s="32" t="e">
        <f t="shared" ca="1" si="28"/>
        <v>#REF!</v>
      </c>
      <c r="H91" s="32" t="e">
        <f t="shared" ca="1" si="28"/>
        <v>#REF!</v>
      </c>
      <c r="I91" s="32" t="e">
        <f t="shared" ca="1" si="28"/>
        <v>#REF!</v>
      </c>
      <c r="J91" s="32" t="e">
        <f t="shared" ca="1" si="28"/>
        <v>#REF!</v>
      </c>
      <c r="K91" s="32" t="e">
        <f t="shared" ca="1" si="28"/>
        <v>#REF!</v>
      </c>
      <c r="L91" s="32" t="e">
        <f t="shared" ca="1" si="28"/>
        <v>#REF!</v>
      </c>
      <c r="M91" s="32" t="e">
        <f t="shared" ca="1" si="28"/>
        <v>#REF!</v>
      </c>
      <c r="N91" s="32" t="e">
        <f t="shared" ca="1" si="28"/>
        <v>#REF!</v>
      </c>
      <c r="O91" s="32" t="e">
        <f t="shared" ca="1" si="28"/>
        <v>#REF!</v>
      </c>
      <c r="P91" s="32" t="e">
        <f t="shared" ca="1" si="28"/>
        <v>#REF!</v>
      </c>
      <c r="Q91" s="32" t="e">
        <f t="shared" ca="1" si="28"/>
        <v>#REF!</v>
      </c>
      <c r="R91">
        <v>0</v>
      </c>
      <c r="S91" s="29" t="str">
        <f t="shared" si="26"/>
        <v/>
      </c>
      <c r="T91" s="29">
        <f t="shared" si="27"/>
        <v>2050</v>
      </c>
      <c r="U91" s="32" t="e">
        <f t="shared" ref="U91:X122" ca="1" si="30">INDEX(INDIRECT("'"&amp;$B91&amp;"'!summaryCosts"),MATCH(U$31,INDIRECT("'"&amp;$B91&amp;"'!EU43:EU46"),0),MATCH($D91,INDIRECT("'"&amp;$B91&amp;"'!EV42:FU42"),0))</f>
        <v>#REF!</v>
      </c>
      <c r="V91" s="32" t="e">
        <f t="shared" ca="1" si="30"/>
        <v>#REF!</v>
      </c>
      <c r="W91" s="32" t="e">
        <f t="shared" ca="1" si="30"/>
        <v>#REF!</v>
      </c>
      <c r="X91" s="32" t="e">
        <f t="shared" ca="1" si="30"/>
        <v>#REF!</v>
      </c>
      <c r="Y91" s="1" t="e">
        <f t="shared" ref="Y91:Y154" ca="1" si="31">IF(T97=2025,0,(U97-U90)/5)</f>
        <v>#REF!</v>
      </c>
      <c r="AA91" s="31" t="e">
        <f t="shared" ca="1" si="29"/>
        <v>#REF!</v>
      </c>
      <c r="AC91" s="34" t="e">
        <f t="shared" ref="AC91:AC154" ca="1" si="32">SUM(E91:H91)</f>
        <v>#REF!</v>
      </c>
      <c r="AD91" s="34" t="e">
        <f t="shared" ca="1" si="24"/>
        <v>#REF!</v>
      </c>
      <c r="AE91" s="34" t="e">
        <f t="shared" ca="1" si="6"/>
        <v>#REF!</v>
      </c>
    </row>
    <row r="92" spans="1:31" x14ac:dyDescent="0.2">
      <c r="A92" s="29"/>
      <c r="B92" s="29"/>
      <c r="C92" s="29" t="str">
        <f t="shared" si="16"/>
        <v/>
      </c>
      <c r="D92" s="29">
        <f t="shared" si="19"/>
        <v>2025</v>
      </c>
      <c r="E92" s="32" t="e">
        <f t="shared" ref="E92:Q101" ca="1" si="33">INDEX(INDIRECT("'"&amp;$B92&amp;"'!"&amp;$A$1),MATCH(E$31,INDIRECT("'"&amp;$B92&amp;"'!G43:G55"),0),MATCH($D92,INDIRECT("'"&amp;$B92&amp;"'!H42:AG42")))</f>
        <v>#REF!</v>
      </c>
      <c r="F92" s="32" t="e">
        <f t="shared" ca="1" si="33"/>
        <v>#REF!</v>
      </c>
      <c r="G92" s="32" t="e">
        <f t="shared" ca="1" si="33"/>
        <v>#REF!</v>
      </c>
      <c r="H92" s="32" t="e">
        <f t="shared" ca="1" si="33"/>
        <v>#REF!</v>
      </c>
      <c r="I92" s="32" t="e">
        <f t="shared" ca="1" si="33"/>
        <v>#REF!</v>
      </c>
      <c r="J92" s="32" t="e">
        <f t="shared" ca="1" si="33"/>
        <v>#REF!</v>
      </c>
      <c r="K92" s="32" t="e">
        <f t="shared" ca="1" si="33"/>
        <v>#REF!</v>
      </c>
      <c r="L92" s="32" t="e">
        <f t="shared" ca="1" si="33"/>
        <v>#REF!</v>
      </c>
      <c r="M92" s="32" t="e">
        <f t="shared" ca="1" si="33"/>
        <v>#REF!</v>
      </c>
      <c r="N92" s="32" t="e">
        <f t="shared" ca="1" si="33"/>
        <v>#REF!</v>
      </c>
      <c r="O92" s="32" t="e">
        <f t="shared" ca="1" si="33"/>
        <v>#REF!</v>
      </c>
      <c r="P92" s="32" t="e">
        <f t="shared" ca="1" si="33"/>
        <v>#REF!</v>
      </c>
      <c r="Q92" s="32" t="e">
        <f t="shared" ca="1" si="33"/>
        <v>#REF!</v>
      </c>
      <c r="R92">
        <v>0</v>
      </c>
      <c r="S92" s="29" t="str">
        <f t="shared" si="26"/>
        <v/>
      </c>
      <c r="T92" s="29">
        <f t="shared" si="27"/>
        <v>2025</v>
      </c>
      <c r="U92" s="32" t="e">
        <f t="shared" ca="1" si="30"/>
        <v>#REF!</v>
      </c>
      <c r="V92" s="32" t="e">
        <f t="shared" ca="1" si="30"/>
        <v>#REF!</v>
      </c>
      <c r="W92" s="32" t="e">
        <f t="shared" ca="1" si="30"/>
        <v>#REF!</v>
      </c>
      <c r="X92" s="32" t="e">
        <f t="shared" ca="1" si="30"/>
        <v>#REF!</v>
      </c>
      <c r="Y92" s="1">
        <f t="shared" si="31"/>
        <v>0</v>
      </c>
      <c r="AA92" s="31" t="e">
        <f t="shared" ca="1" si="29"/>
        <v>#REF!</v>
      </c>
      <c r="AC92" s="34" t="e">
        <f t="shared" ca="1" si="32"/>
        <v>#REF!</v>
      </c>
      <c r="AD92" s="34" t="e">
        <f t="shared" ca="1" si="24"/>
        <v>#REF!</v>
      </c>
      <c r="AE92" s="34" t="e">
        <f t="shared" ca="1" si="6"/>
        <v>#REF!</v>
      </c>
    </row>
    <row r="93" spans="1:31" x14ac:dyDescent="0.2">
      <c r="A93" s="29"/>
      <c r="B93" s="29"/>
      <c r="C93" s="29" t="str">
        <f t="shared" si="16"/>
        <v/>
      </c>
      <c r="D93" s="29">
        <f t="shared" si="19"/>
        <v>2030</v>
      </c>
      <c r="E93" s="32" t="e">
        <f t="shared" ca="1" si="33"/>
        <v>#REF!</v>
      </c>
      <c r="F93" s="32" t="e">
        <f t="shared" ca="1" si="33"/>
        <v>#REF!</v>
      </c>
      <c r="G93" s="32" t="e">
        <f t="shared" ca="1" si="33"/>
        <v>#REF!</v>
      </c>
      <c r="H93" s="32" t="e">
        <f t="shared" ca="1" si="33"/>
        <v>#REF!</v>
      </c>
      <c r="I93" s="32" t="e">
        <f t="shared" ca="1" si="33"/>
        <v>#REF!</v>
      </c>
      <c r="J93" s="32" t="e">
        <f t="shared" ca="1" si="33"/>
        <v>#REF!</v>
      </c>
      <c r="K93" s="32" t="e">
        <f t="shared" ca="1" si="33"/>
        <v>#REF!</v>
      </c>
      <c r="L93" s="32" t="e">
        <f t="shared" ca="1" si="33"/>
        <v>#REF!</v>
      </c>
      <c r="M93" s="32" t="e">
        <f t="shared" ca="1" si="33"/>
        <v>#REF!</v>
      </c>
      <c r="N93" s="32" t="e">
        <f t="shared" ca="1" si="33"/>
        <v>#REF!</v>
      </c>
      <c r="O93" s="32" t="e">
        <f t="shared" ca="1" si="33"/>
        <v>#REF!</v>
      </c>
      <c r="P93" s="32" t="e">
        <f t="shared" ca="1" si="33"/>
        <v>#REF!</v>
      </c>
      <c r="Q93" s="32" t="e">
        <f t="shared" ca="1" si="33"/>
        <v>#REF!</v>
      </c>
      <c r="R93">
        <v>0</v>
      </c>
      <c r="S93" s="29" t="str">
        <f t="shared" si="26"/>
        <v/>
      </c>
      <c r="T93" s="29">
        <f t="shared" si="27"/>
        <v>2030</v>
      </c>
      <c r="U93" s="32" t="e">
        <f t="shared" ca="1" si="30"/>
        <v>#REF!</v>
      </c>
      <c r="V93" s="32" t="e">
        <f t="shared" ca="1" si="30"/>
        <v>#REF!</v>
      </c>
      <c r="W93" s="32" t="e">
        <f t="shared" ca="1" si="30"/>
        <v>#REF!</v>
      </c>
      <c r="X93" s="32" t="e">
        <f t="shared" ca="1" si="30"/>
        <v>#REF!</v>
      </c>
      <c r="Y93" s="1" t="e">
        <f t="shared" ca="1" si="31"/>
        <v>#REF!</v>
      </c>
      <c r="AA93" s="31" t="e">
        <f t="shared" ca="1" si="29"/>
        <v>#REF!</v>
      </c>
      <c r="AC93" s="34" t="e">
        <f t="shared" ca="1" si="32"/>
        <v>#REF!</v>
      </c>
      <c r="AD93" s="34" t="e">
        <f t="shared" ca="1" si="24"/>
        <v>#REF!</v>
      </c>
      <c r="AE93" s="34" t="e">
        <f t="shared" ca="1" si="6"/>
        <v>#REF!</v>
      </c>
    </row>
    <row r="94" spans="1:31" x14ac:dyDescent="0.2">
      <c r="A94" s="29"/>
      <c r="B94" s="29"/>
      <c r="C94" s="29" t="str">
        <f t="shared" si="16"/>
        <v/>
      </c>
      <c r="D94" s="29">
        <f t="shared" si="19"/>
        <v>2035</v>
      </c>
      <c r="E94" s="32" t="e">
        <f t="shared" ca="1" si="33"/>
        <v>#REF!</v>
      </c>
      <c r="F94" s="32" t="e">
        <f t="shared" ca="1" si="33"/>
        <v>#REF!</v>
      </c>
      <c r="G94" s="32" t="e">
        <f t="shared" ca="1" si="33"/>
        <v>#REF!</v>
      </c>
      <c r="H94" s="32" t="e">
        <f t="shared" ca="1" si="33"/>
        <v>#REF!</v>
      </c>
      <c r="I94" s="32" t="e">
        <f t="shared" ca="1" si="33"/>
        <v>#REF!</v>
      </c>
      <c r="J94" s="32" t="e">
        <f t="shared" ca="1" si="33"/>
        <v>#REF!</v>
      </c>
      <c r="K94" s="32" t="e">
        <f t="shared" ca="1" si="33"/>
        <v>#REF!</v>
      </c>
      <c r="L94" s="32" t="e">
        <f t="shared" ca="1" si="33"/>
        <v>#REF!</v>
      </c>
      <c r="M94" s="32" t="e">
        <f t="shared" ca="1" si="33"/>
        <v>#REF!</v>
      </c>
      <c r="N94" s="32" t="e">
        <f t="shared" ca="1" si="33"/>
        <v>#REF!</v>
      </c>
      <c r="O94" s="32" t="e">
        <f t="shared" ca="1" si="33"/>
        <v>#REF!</v>
      </c>
      <c r="P94" s="32" t="e">
        <f t="shared" ca="1" si="33"/>
        <v>#REF!</v>
      </c>
      <c r="Q94" s="32" t="e">
        <f t="shared" ca="1" si="33"/>
        <v>#REF!</v>
      </c>
      <c r="R94">
        <v>0</v>
      </c>
      <c r="S94" s="29" t="str">
        <f t="shared" si="26"/>
        <v/>
      </c>
      <c r="T94" s="29">
        <f t="shared" si="27"/>
        <v>2035</v>
      </c>
      <c r="U94" s="32" t="e">
        <f t="shared" ca="1" si="30"/>
        <v>#REF!</v>
      </c>
      <c r="V94" s="32" t="e">
        <f t="shared" ca="1" si="30"/>
        <v>#REF!</v>
      </c>
      <c r="W94" s="32" t="e">
        <f t="shared" ca="1" si="30"/>
        <v>#REF!</v>
      </c>
      <c r="X94" s="32" t="e">
        <f t="shared" ca="1" si="30"/>
        <v>#REF!</v>
      </c>
      <c r="Y94" s="1" t="e">
        <f t="shared" ca="1" si="31"/>
        <v>#REF!</v>
      </c>
      <c r="AA94" s="31" t="e">
        <f t="shared" ca="1" si="29"/>
        <v>#REF!</v>
      </c>
      <c r="AC94" s="34" t="e">
        <f t="shared" ca="1" si="32"/>
        <v>#REF!</v>
      </c>
      <c r="AD94" s="34" t="e">
        <f t="shared" ca="1" si="24"/>
        <v>#REF!</v>
      </c>
      <c r="AE94" s="34" t="e">
        <f t="shared" ca="1" si="6"/>
        <v>#REF!</v>
      </c>
    </row>
    <row r="95" spans="1:31" x14ac:dyDescent="0.2">
      <c r="A95" s="29"/>
      <c r="B95" s="29"/>
      <c r="C95" s="29" t="str">
        <f t="shared" si="16"/>
        <v/>
      </c>
      <c r="D95" s="29">
        <f t="shared" si="19"/>
        <v>2040</v>
      </c>
      <c r="E95" s="32" t="e">
        <f t="shared" ca="1" si="33"/>
        <v>#REF!</v>
      </c>
      <c r="F95" s="32" t="e">
        <f t="shared" ca="1" si="33"/>
        <v>#REF!</v>
      </c>
      <c r="G95" s="32" t="e">
        <f t="shared" ca="1" si="33"/>
        <v>#REF!</v>
      </c>
      <c r="H95" s="32" t="e">
        <f t="shared" ca="1" si="33"/>
        <v>#REF!</v>
      </c>
      <c r="I95" s="32" t="e">
        <f t="shared" ca="1" si="33"/>
        <v>#REF!</v>
      </c>
      <c r="J95" s="32" t="e">
        <f t="shared" ca="1" si="33"/>
        <v>#REF!</v>
      </c>
      <c r="K95" s="32" t="e">
        <f t="shared" ca="1" si="33"/>
        <v>#REF!</v>
      </c>
      <c r="L95" s="32" t="e">
        <f t="shared" ca="1" si="33"/>
        <v>#REF!</v>
      </c>
      <c r="M95" s="32" t="e">
        <f t="shared" ca="1" si="33"/>
        <v>#REF!</v>
      </c>
      <c r="N95" s="32" t="e">
        <f t="shared" ca="1" si="33"/>
        <v>#REF!</v>
      </c>
      <c r="O95" s="32" t="e">
        <f t="shared" ca="1" si="33"/>
        <v>#REF!</v>
      </c>
      <c r="P95" s="32" t="e">
        <f t="shared" ca="1" si="33"/>
        <v>#REF!</v>
      </c>
      <c r="Q95" s="32" t="e">
        <f t="shared" ca="1" si="33"/>
        <v>#REF!</v>
      </c>
      <c r="R95">
        <v>0</v>
      </c>
      <c r="S95" s="29" t="str">
        <f t="shared" si="26"/>
        <v/>
      </c>
      <c r="T95" s="29">
        <f t="shared" si="27"/>
        <v>2040</v>
      </c>
      <c r="U95" s="32" t="e">
        <f t="shared" ca="1" si="30"/>
        <v>#REF!</v>
      </c>
      <c r="V95" s="32" t="e">
        <f t="shared" ca="1" si="30"/>
        <v>#REF!</v>
      </c>
      <c r="W95" s="32" t="e">
        <f t="shared" ca="1" si="30"/>
        <v>#REF!</v>
      </c>
      <c r="X95" s="32" t="e">
        <f t="shared" ca="1" si="30"/>
        <v>#REF!</v>
      </c>
      <c r="Y95" s="1" t="e">
        <f t="shared" ca="1" si="31"/>
        <v>#REF!</v>
      </c>
      <c r="AA95" s="31" t="e">
        <f t="shared" ca="1" si="29"/>
        <v>#REF!</v>
      </c>
      <c r="AC95" s="34" t="e">
        <f t="shared" ca="1" si="32"/>
        <v>#REF!</v>
      </c>
      <c r="AD95" s="34" t="e">
        <f t="shared" ref="AD95:AD126" ca="1" si="34">SUM(N95:P95)-125</f>
        <v>#REF!</v>
      </c>
      <c r="AE95" s="34" t="e">
        <f t="shared" ca="1" si="6"/>
        <v>#REF!</v>
      </c>
    </row>
    <row r="96" spans="1:31" x14ac:dyDescent="0.2">
      <c r="A96" s="29"/>
      <c r="B96" s="29"/>
      <c r="C96" s="29" t="str">
        <f t="shared" si="16"/>
        <v/>
      </c>
      <c r="D96" s="29">
        <f t="shared" si="19"/>
        <v>2045</v>
      </c>
      <c r="E96" s="32" t="e">
        <f t="shared" ca="1" si="33"/>
        <v>#REF!</v>
      </c>
      <c r="F96" s="32" t="e">
        <f t="shared" ca="1" si="33"/>
        <v>#REF!</v>
      </c>
      <c r="G96" s="32" t="e">
        <f t="shared" ca="1" si="33"/>
        <v>#REF!</v>
      </c>
      <c r="H96" s="32" t="e">
        <f t="shared" ca="1" si="33"/>
        <v>#REF!</v>
      </c>
      <c r="I96" s="32" t="e">
        <f t="shared" ca="1" si="33"/>
        <v>#REF!</v>
      </c>
      <c r="J96" s="32" t="e">
        <f t="shared" ca="1" si="33"/>
        <v>#REF!</v>
      </c>
      <c r="K96" s="32" t="e">
        <f t="shared" ca="1" si="33"/>
        <v>#REF!</v>
      </c>
      <c r="L96" s="32" t="e">
        <f t="shared" ca="1" si="33"/>
        <v>#REF!</v>
      </c>
      <c r="M96" s="32" t="e">
        <f t="shared" ca="1" si="33"/>
        <v>#REF!</v>
      </c>
      <c r="N96" s="32" t="e">
        <f t="shared" ca="1" si="33"/>
        <v>#REF!</v>
      </c>
      <c r="O96" s="32" t="e">
        <f t="shared" ca="1" si="33"/>
        <v>#REF!</v>
      </c>
      <c r="P96" s="32" t="e">
        <f t="shared" ca="1" si="33"/>
        <v>#REF!</v>
      </c>
      <c r="Q96" s="32" t="e">
        <f t="shared" ca="1" si="33"/>
        <v>#REF!</v>
      </c>
      <c r="R96">
        <v>0</v>
      </c>
      <c r="S96" s="29" t="str">
        <f t="shared" si="26"/>
        <v/>
      </c>
      <c r="T96" s="29">
        <f t="shared" si="27"/>
        <v>2045</v>
      </c>
      <c r="U96" s="32" t="e">
        <f t="shared" ca="1" si="30"/>
        <v>#REF!</v>
      </c>
      <c r="V96" s="32" t="e">
        <f t="shared" ca="1" si="30"/>
        <v>#REF!</v>
      </c>
      <c r="W96" s="32" t="e">
        <f t="shared" ca="1" si="30"/>
        <v>#REF!</v>
      </c>
      <c r="X96" s="32" t="e">
        <f t="shared" ca="1" si="30"/>
        <v>#REF!</v>
      </c>
      <c r="Y96" s="1" t="e">
        <f t="shared" ca="1" si="31"/>
        <v>#REF!</v>
      </c>
      <c r="AA96" s="31" t="e">
        <f t="shared" ca="1" si="29"/>
        <v>#REF!</v>
      </c>
      <c r="AC96" s="34" t="e">
        <f t="shared" ca="1" si="32"/>
        <v>#REF!</v>
      </c>
      <c r="AD96" s="34" t="e">
        <f t="shared" ca="1" si="34"/>
        <v>#REF!</v>
      </c>
      <c r="AE96" s="34" t="e">
        <f t="shared" ref="AE96:AE159" ca="1" si="35">SUM(L96:M96)</f>
        <v>#REF!</v>
      </c>
    </row>
    <row r="97" spans="1:31" x14ac:dyDescent="0.2">
      <c r="A97" s="29"/>
      <c r="B97" s="29"/>
      <c r="C97" s="29" t="str">
        <f t="shared" si="16"/>
        <v/>
      </c>
      <c r="D97" s="29">
        <f t="shared" si="19"/>
        <v>2050</v>
      </c>
      <c r="E97" s="32" t="e">
        <f t="shared" ca="1" si="33"/>
        <v>#REF!</v>
      </c>
      <c r="F97" s="32" t="e">
        <f t="shared" ca="1" si="33"/>
        <v>#REF!</v>
      </c>
      <c r="G97" s="32" t="e">
        <f t="shared" ca="1" si="33"/>
        <v>#REF!</v>
      </c>
      <c r="H97" s="32" t="e">
        <f t="shared" ca="1" si="33"/>
        <v>#REF!</v>
      </c>
      <c r="I97" s="32" t="e">
        <f t="shared" ca="1" si="33"/>
        <v>#REF!</v>
      </c>
      <c r="J97" s="32" t="e">
        <f t="shared" ca="1" si="33"/>
        <v>#REF!</v>
      </c>
      <c r="K97" s="32" t="e">
        <f t="shared" ca="1" si="33"/>
        <v>#REF!</v>
      </c>
      <c r="L97" s="32" t="e">
        <f t="shared" ca="1" si="33"/>
        <v>#REF!</v>
      </c>
      <c r="M97" s="32" t="e">
        <f t="shared" ca="1" si="33"/>
        <v>#REF!</v>
      </c>
      <c r="N97" s="32" t="e">
        <f t="shared" ca="1" si="33"/>
        <v>#REF!</v>
      </c>
      <c r="O97" s="32" t="e">
        <f t="shared" ca="1" si="33"/>
        <v>#REF!</v>
      </c>
      <c r="P97" s="32" t="e">
        <f t="shared" ca="1" si="33"/>
        <v>#REF!</v>
      </c>
      <c r="Q97" s="32" t="e">
        <f t="shared" ca="1" si="33"/>
        <v>#REF!</v>
      </c>
      <c r="R97">
        <v>0</v>
      </c>
      <c r="S97" s="29" t="str">
        <f t="shared" si="26"/>
        <v/>
      </c>
      <c r="T97" s="29">
        <f t="shared" si="27"/>
        <v>2050</v>
      </c>
      <c r="U97" s="32" t="e">
        <f t="shared" ca="1" si="30"/>
        <v>#REF!</v>
      </c>
      <c r="V97" s="32" t="e">
        <f t="shared" ca="1" si="30"/>
        <v>#REF!</v>
      </c>
      <c r="W97" s="32" t="e">
        <f t="shared" ca="1" si="30"/>
        <v>#REF!</v>
      </c>
      <c r="X97" s="32" t="e">
        <f t="shared" ca="1" si="30"/>
        <v>#REF!</v>
      </c>
      <c r="Y97" s="1" t="e">
        <f t="shared" ca="1" si="31"/>
        <v>#REF!</v>
      </c>
      <c r="AA97" s="31" t="e">
        <f t="shared" ca="1" si="29"/>
        <v>#REF!</v>
      </c>
      <c r="AC97" s="34" t="e">
        <f t="shared" ca="1" si="32"/>
        <v>#REF!</v>
      </c>
      <c r="AD97" s="34" t="e">
        <f t="shared" ca="1" si="34"/>
        <v>#REF!</v>
      </c>
      <c r="AE97" s="34" t="e">
        <f t="shared" ca="1" si="35"/>
        <v>#REF!</v>
      </c>
    </row>
    <row r="98" spans="1:31" x14ac:dyDescent="0.2">
      <c r="A98" s="29"/>
      <c r="B98" s="29"/>
      <c r="C98" s="29" t="str">
        <f t="shared" si="16"/>
        <v/>
      </c>
      <c r="D98" s="29">
        <f t="shared" si="19"/>
        <v>2025</v>
      </c>
      <c r="E98" s="32" t="e">
        <f t="shared" ca="1" si="33"/>
        <v>#REF!</v>
      </c>
      <c r="F98" s="32" t="e">
        <f t="shared" ca="1" si="33"/>
        <v>#REF!</v>
      </c>
      <c r="G98" s="32" t="e">
        <f t="shared" ca="1" si="33"/>
        <v>#REF!</v>
      </c>
      <c r="H98" s="32" t="e">
        <f t="shared" ca="1" si="33"/>
        <v>#REF!</v>
      </c>
      <c r="I98" s="32" t="e">
        <f t="shared" ca="1" si="33"/>
        <v>#REF!</v>
      </c>
      <c r="J98" s="32" t="e">
        <f t="shared" ca="1" si="33"/>
        <v>#REF!</v>
      </c>
      <c r="K98" s="32" t="e">
        <f t="shared" ca="1" si="33"/>
        <v>#REF!</v>
      </c>
      <c r="L98" s="32" t="e">
        <f t="shared" ca="1" si="33"/>
        <v>#REF!</v>
      </c>
      <c r="M98" s="32" t="e">
        <f t="shared" ca="1" si="33"/>
        <v>#REF!</v>
      </c>
      <c r="N98" s="32" t="e">
        <f t="shared" ca="1" si="33"/>
        <v>#REF!</v>
      </c>
      <c r="O98" s="32" t="e">
        <f t="shared" ca="1" si="33"/>
        <v>#REF!</v>
      </c>
      <c r="P98" s="32" t="e">
        <f t="shared" ca="1" si="33"/>
        <v>#REF!</v>
      </c>
      <c r="Q98" s="32" t="e">
        <f t="shared" ca="1" si="33"/>
        <v>#REF!</v>
      </c>
      <c r="R98">
        <v>0</v>
      </c>
      <c r="S98" s="29" t="str">
        <f t="shared" si="26"/>
        <v/>
      </c>
      <c r="T98" s="29">
        <f t="shared" si="27"/>
        <v>2025</v>
      </c>
      <c r="U98" s="32" t="e">
        <f t="shared" ca="1" si="30"/>
        <v>#REF!</v>
      </c>
      <c r="V98" s="32" t="e">
        <f t="shared" ca="1" si="30"/>
        <v>#REF!</v>
      </c>
      <c r="W98" s="32" t="e">
        <f t="shared" ca="1" si="30"/>
        <v>#REF!</v>
      </c>
      <c r="X98" s="32" t="e">
        <f t="shared" ca="1" si="30"/>
        <v>#REF!</v>
      </c>
      <c r="Y98" s="1">
        <f t="shared" si="31"/>
        <v>0</v>
      </c>
      <c r="AA98" s="31" t="e">
        <f t="shared" ca="1" si="29"/>
        <v>#REF!</v>
      </c>
      <c r="AC98" s="34" t="e">
        <f t="shared" ca="1" si="32"/>
        <v>#REF!</v>
      </c>
      <c r="AD98" s="34" t="e">
        <f t="shared" ca="1" si="34"/>
        <v>#REF!</v>
      </c>
      <c r="AE98" s="34" t="e">
        <f t="shared" ca="1" si="35"/>
        <v>#REF!</v>
      </c>
    </row>
    <row r="99" spans="1:31" x14ac:dyDescent="0.2">
      <c r="A99" s="29"/>
      <c r="B99" s="29"/>
      <c r="C99" s="29" t="str">
        <f t="shared" si="16"/>
        <v/>
      </c>
      <c r="D99" s="29">
        <f t="shared" si="19"/>
        <v>2030</v>
      </c>
      <c r="E99" s="32" t="e">
        <f t="shared" ca="1" si="33"/>
        <v>#REF!</v>
      </c>
      <c r="F99" s="32" t="e">
        <f t="shared" ca="1" si="33"/>
        <v>#REF!</v>
      </c>
      <c r="G99" s="32" t="e">
        <f t="shared" ca="1" si="33"/>
        <v>#REF!</v>
      </c>
      <c r="H99" s="32" t="e">
        <f t="shared" ca="1" si="33"/>
        <v>#REF!</v>
      </c>
      <c r="I99" s="32" t="e">
        <f t="shared" ca="1" si="33"/>
        <v>#REF!</v>
      </c>
      <c r="J99" s="32" t="e">
        <f t="shared" ca="1" si="33"/>
        <v>#REF!</v>
      </c>
      <c r="K99" s="32" t="e">
        <f t="shared" ca="1" si="33"/>
        <v>#REF!</v>
      </c>
      <c r="L99" s="32" t="e">
        <f t="shared" ca="1" si="33"/>
        <v>#REF!</v>
      </c>
      <c r="M99" s="32" t="e">
        <f t="shared" ca="1" si="33"/>
        <v>#REF!</v>
      </c>
      <c r="N99" s="32" t="e">
        <f t="shared" ca="1" si="33"/>
        <v>#REF!</v>
      </c>
      <c r="O99" s="32" t="e">
        <f t="shared" ca="1" si="33"/>
        <v>#REF!</v>
      </c>
      <c r="P99" s="32" t="e">
        <f t="shared" ca="1" si="33"/>
        <v>#REF!</v>
      </c>
      <c r="Q99" s="32" t="e">
        <f t="shared" ca="1" si="33"/>
        <v>#REF!</v>
      </c>
      <c r="R99">
        <v>0</v>
      </c>
      <c r="S99" s="29" t="str">
        <f t="shared" si="26"/>
        <v/>
      </c>
      <c r="T99" s="29">
        <f t="shared" si="27"/>
        <v>2030</v>
      </c>
      <c r="U99" s="32" t="e">
        <f t="shared" ca="1" si="30"/>
        <v>#REF!</v>
      </c>
      <c r="V99" s="32" t="e">
        <f t="shared" ca="1" si="30"/>
        <v>#REF!</v>
      </c>
      <c r="W99" s="32" t="e">
        <f t="shared" ca="1" si="30"/>
        <v>#REF!</v>
      </c>
      <c r="X99" s="32" t="e">
        <f t="shared" ca="1" si="30"/>
        <v>#REF!</v>
      </c>
      <c r="Y99" s="1" t="e">
        <f t="shared" ca="1" si="31"/>
        <v>#REF!</v>
      </c>
      <c r="AA99" s="31" t="e">
        <f t="shared" ca="1" si="29"/>
        <v>#REF!</v>
      </c>
      <c r="AC99" s="34" t="e">
        <f t="shared" ca="1" si="32"/>
        <v>#REF!</v>
      </c>
      <c r="AD99" s="34" t="e">
        <f t="shared" ca="1" si="34"/>
        <v>#REF!</v>
      </c>
      <c r="AE99" s="34" t="e">
        <f t="shared" ca="1" si="35"/>
        <v>#REF!</v>
      </c>
    </row>
    <row r="100" spans="1:31" x14ac:dyDescent="0.2">
      <c r="A100" s="29"/>
      <c r="B100" s="29"/>
      <c r="C100" s="29" t="str">
        <f t="shared" si="16"/>
        <v/>
      </c>
      <c r="D100" s="29">
        <f t="shared" si="19"/>
        <v>2035</v>
      </c>
      <c r="E100" s="32" t="e">
        <f t="shared" ca="1" si="33"/>
        <v>#REF!</v>
      </c>
      <c r="F100" s="32" t="e">
        <f t="shared" ca="1" si="33"/>
        <v>#REF!</v>
      </c>
      <c r="G100" s="32" t="e">
        <f t="shared" ca="1" si="33"/>
        <v>#REF!</v>
      </c>
      <c r="H100" s="32" t="e">
        <f t="shared" ca="1" si="33"/>
        <v>#REF!</v>
      </c>
      <c r="I100" s="32" t="e">
        <f t="shared" ca="1" si="33"/>
        <v>#REF!</v>
      </c>
      <c r="J100" s="32" t="e">
        <f t="shared" ca="1" si="33"/>
        <v>#REF!</v>
      </c>
      <c r="K100" s="32" t="e">
        <f t="shared" ca="1" si="33"/>
        <v>#REF!</v>
      </c>
      <c r="L100" s="32" t="e">
        <f t="shared" ca="1" si="33"/>
        <v>#REF!</v>
      </c>
      <c r="M100" s="32" t="e">
        <f t="shared" ca="1" si="33"/>
        <v>#REF!</v>
      </c>
      <c r="N100" s="32" t="e">
        <f t="shared" ca="1" si="33"/>
        <v>#REF!</v>
      </c>
      <c r="O100" s="32" t="e">
        <f t="shared" ca="1" si="33"/>
        <v>#REF!</v>
      </c>
      <c r="P100" s="32" t="e">
        <f t="shared" ca="1" si="33"/>
        <v>#REF!</v>
      </c>
      <c r="Q100" s="32" t="e">
        <f t="shared" ca="1" si="33"/>
        <v>#REF!</v>
      </c>
      <c r="R100">
        <v>0</v>
      </c>
      <c r="S100" s="29" t="str">
        <f t="shared" si="26"/>
        <v/>
      </c>
      <c r="T100" s="29">
        <f t="shared" si="27"/>
        <v>2035</v>
      </c>
      <c r="U100" s="32" t="e">
        <f t="shared" ca="1" si="30"/>
        <v>#REF!</v>
      </c>
      <c r="V100" s="32" t="e">
        <f t="shared" ca="1" si="30"/>
        <v>#REF!</v>
      </c>
      <c r="W100" s="32" t="e">
        <f t="shared" ca="1" si="30"/>
        <v>#REF!</v>
      </c>
      <c r="X100" s="32" t="e">
        <f t="shared" ca="1" si="30"/>
        <v>#REF!</v>
      </c>
      <c r="Y100" s="1" t="e">
        <f t="shared" ca="1" si="31"/>
        <v>#REF!</v>
      </c>
      <c r="AA100" s="31" t="e">
        <f t="shared" ca="1" si="29"/>
        <v>#REF!</v>
      </c>
      <c r="AC100" s="34" t="e">
        <f t="shared" ca="1" si="32"/>
        <v>#REF!</v>
      </c>
      <c r="AD100" s="34" t="e">
        <f t="shared" ca="1" si="34"/>
        <v>#REF!</v>
      </c>
      <c r="AE100" s="34" t="e">
        <f t="shared" ca="1" si="35"/>
        <v>#REF!</v>
      </c>
    </row>
    <row r="101" spans="1:31" x14ac:dyDescent="0.2">
      <c r="A101" s="29"/>
      <c r="B101" s="29"/>
      <c r="C101" s="29" t="str">
        <f t="shared" si="16"/>
        <v/>
      </c>
      <c r="D101" s="29">
        <f t="shared" si="19"/>
        <v>2040</v>
      </c>
      <c r="E101" s="32" t="e">
        <f t="shared" ca="1" si="33"/>
        <v>#REF!</v>
      </c>
      <c r="F101" s="32" t="e">
        <f t="shared" ca="1" si="33"/>
        <v>#REF!</v>
      </c>
      <c r="G101" s="32" t="e">
        <f t="shared" ca="1" si="33"/>
        <v>#REF!</v>
      </c>
      <c r="H101" s="32" t="e">
        <f t="shared" ca="1" si="33"/>
        <v>#REF!</v>
      </c>
      <c r="I101" s="32" t="e">
        <f t="shared" ca="1" si="33"/>
        <v>#REF!</v>
      </c>
      <c r="J101" s="32" t="e">
        <f t="shared" ca="1" si="33"/>
        <v>#REF!</v>
      </c>
      <c r="K101" s="32" t="e">
        <f t="shared" ca="1" si="33"/>
        <v>#REF!</v>
      </c>
      <c r="L101" s="32" t="e">
        <f t="shared" ca="1" si="33"/>
        <v>#REF!</v>
      </c>
      <c r="M101" s="32" t="e">
        <f t="shared" ca="1" si="33"/>
        <v>#REF!</v>
      </c>
      <c r="N101" s="32" t="e">
        <f t="shared" ca="1" si="33"/>
        <v>#REF!</v>
      </c>
      <c r="O101" s="32" t="e">
        <f t="shared" ca="1" si="33"/>
        <v>#REF!</v>
      </c>
      <c r="P101" s="32" t="e">
        <f t="shared" ca="1" si="33"/>
        <v>#REF!</v>
      </c>
      <c r="Q101" s="32" t="e">
        <f t="shared" ca="1" si="33"/>
        <v>#REF!</v>
      </c>
      <c r="R101">
        <v>0</v>
      </c>
      <c r="S101" s="29" t="str">
        <f t="shared" si="26"/>
        <v/>
      </c>
      <c r="T101" s="29">
        <f t="shared" si="27"/>
        <v>2040</v>
      </c>
      <c r="U101" s="32" t="e">
        <f t="shared" ca="1" si="30"/>
        <v>#REF!</v>
      </c>
      <c r="V101" s="32" t="e">
        <f t="shared" ca="1" si="30"/>
        <v>#REF!</v>
      </c>
      <c r="W101" s="32" t="e">
        <f t="shared" ca="1" si="30"/>
        <v>#REF!</v>
      </c>
      <c r="X101" s="32" t="e">
        <f t="shared" ca="1" si="30"/>
        <v>#REF!</v>
      </c>
      <c r="Y101" s="1" t="e">
        <f t="shared" ca="1" si="31"/>
        <v>#REF!</v>
      </c>
      <c r="AA101" s="31" t="e">
        <f t="shared" ca="1" si="29"/>
        <v>#REF!</v>
      </c>
      <c r="AC101" s="34" t="e">
        <f t="shared" ca="1" si="32"/>
        <v>#REF!</v>
      </c>
      <c r="AD101" s="34" t="e">
        <f t="shared" ca="1" si="34"/>
        <v>#REF!</v>
      </c>
      <c r="AE101" s="34" t="e">
        <f t="shared" ca="1" si="35"/>
        <v>#REF!</v>
      </c>
    </row>
    <row r="102" spans="1:31" x14ac:dyDescent="0.2">
      <c r="A102" s="29"/>
      <c r="B102" s="29"/>
      <c r="C102" s="29" t="str">
        <f t="shared" si="16"/>
        <v/>
      </c>
      <c r="D102" s="29">
        <f t="shared" si="19"/>
        <v>2045</v>
      </c>
      <c r="E102" s="32" t="e">
        <f t="shared" ref="E102:Q111" ca="1" si="36">INDEX(INDIRECT("'"&amp;$B102&amp;"'!"&amp;$A$1),MATCH(E$31,INDIRECT("'"&amp;$B102&amp;"'!G43:G55"),0),MATCH($D102,INDIRECT("'"&amp;$B102&amp;"'!H42:AG42")))</f>
        <v>#REF!</v>
      </c>
      <c r="F102" s="32" t="e">
        <f t="shared" ca="1" si="36"/>
        <v>#REF!</v>
      </c>
      <c r="G102" s="32" t="e">
        <f t="shared" ca="1" si="36"/>
        <v>#REF!</v>
      </c>
      <c r="H102" s="32" t="e">
        <f t="shared" ca="1" si="36"/>
        <v>#REF!</v>
      </c>
      <c r="I102" s="32" t="e">
        <f t="shared" ca="1" si="36"/>
        <v>#REF!</v>
      </c>
      <c r="J102" s="32" t="e">
        <f t="shared" ca="1" si="36"/>
        <v>#REF!</v>
      </c>
      <c r="K102" s="32" t="e">
        <f t="shared" ca="1" si="36"/>
        <v>#REF!</v>
      </c>
      <c r="L102" s="32" t="e">
        <f t="shared" ca="1" si="36"/>
        <v>#REF!</v>
      </c>
      <c r="M102" s="32" t="e">
        <f t="shared" ca="1" si="36"/>
        <v>#REF!</v>
      </c>
      <c r="N102" s="32" t="e">
        <f t="shared" ca="1" si="36"/>
        <v>#REF!</v>
      </c>
      <c r="O102" s="32" t="e">
        <f t="shared" ca="1" si="36"/>
        <v>#REF!</v>
      </c>
      <c r="P102" s="32" t="e">
        <f t="shared" ca="1" si="36"/>
        <v>#REF!</v>
      </c>
      <c r="Q102" s="32" t="e">
        <f t="shared" ca="1" si="36"/>
        <v>#REF!</v>
      </c>
      <c r="R102">
        <v>0</v>
      </c>
      <c r="S102" s="29" t="str">
        <f t="shared" si="26"/>
        <v/>
      </c>
      <c r="T102" s="29">
        <f t="shared" si="27"/>
        <v>2045</v>
      </c>
      <c r="U102" s="32" t="e">
        <f t="shared" ca="1" si="30"/>
        <v>#REF!</v>
      </c>
      <c r="V102" s="32" t="e">
        <f t="shared" ca="1" si="30"/>
        <v>#REF!</v>
      </c>
      <c r="W102" s="32" t="e">
        <f t="shared" ca="1" si="30"/>
        <v>#REF!</v>
      </c>
      <c r="X102" s="32" t="e">
        <f t="shared" ca="1" si="30"/>
        <v>#REF!</v>
      </c>
      <c r="Y102" s="1" t="e">
        <f t="shared" ca="1" si="31"/>
        <v>#REF!</v>
      </c>
      <c r="AA102" s="31" t="e">
        <f t="shared" ca="1" si="29"/>
        <v>#REF!</v>
      </c>
      <c r="AC102" s="34" t="e">
        <f t="shared" ca="1" si="32"/>
        <v>#REF!</v>
      </c>
      <c r="AD102" s="34" t="e">
        <f t="shared" ca="1" si="34"/>
        <v>#REF!</v>
      </c>
      <c r="AE102" s="34" t="e">
        <f t="shared" ca="1" si="35"/>
        <v>#REF!</v>
      </c>
    </row>
    <row r="103" spans="1:31" x14ac:dyDescent="0.2">
      <c r="A103" s="29"/>
      <c r="B103" s="29"/>
      <c r="C103" s="29" t="str">
        <f t="shared" ref="C103:C166" si="37">IF(B103=B102,"",B103)</f>
        <v/>
      </c>
      <c r="D103" s="29">
        <f t="shared" si="19"/>
        <v>2050</v>
      </c>
      <c r="E103" s="32" t="e">
        <f t="shared" ca="1" si="36"/>
        <v>#REF!</v>
      </c>
      <c r="F103" s="32" t="e">
        <f t="shared" ca="1" si="36"/>
        <v>#REF!</v>
      </c>
      <c r="G103" s="32" t="e">
        <f t="shared" ca="1" si="36"/>
        <v>#REF!</v>
      </c>
      <c r="H103" s="32" t="e">
        <f t="shared" ca="1" si="36"/>
        <v>#REF!</v>
      </c>
      <c r="I103" s="32" t="e">
        <f t="shared" ca="1" si="36"/>
        <v>#REF!</v>
      </c>
      <c r="J103" s="32" t="e">
        <f t="shared" ca="1" si="36"/>
        <v>#REF!</v>
      </c>
      <c r="K103" s="32" t="e">
        <f t="shared" ca="1" si="36"/>
        <v>#REF!</v>
      </c>
      <c r="L103" s="32" t="e">
        <f t="shared" ca="1" si="36"/>
        <v>#REF!</v>
      </c>
      <c r="M103" s="32" t="e">
        <f t="shared" ca="1" si="36"/>
        <v>#REF!</v>
      </c>
      <c r="N103" s="32" t="e">
        <f t="shared" ca="1" si="36"/>
        <v>#REF!</v>
      </c>
      <c r="O103" s="32" t="e">
        <f t="shared" ca="1" si="36"/>
        <v>#REF!</v>
      </c>
      <c r="P103" s="32" t="e">
        <f t="shared" ca="1" si="36"/>
        <v>#REF!</v>
      </c>
      <c r="Q103" s="32" t="e">
        <f t="shared" ca="1" si="36"/>
        <v>#REF!</v>
      </c>
      <c r="R103">
        <v>0</v>
      </c>
      <c r="S103" s="29" t="str">
        <f t="shared" si="26"/>
        <v/>
      </c>
      <c r="T103" s="29">
        <f t="shared" si="27"/>
        <v>2050</v>
      </c>
      <c r="U103" s="32" t="e">
        <f t="shared" ca="1" si="30"/>
        <v>#REF!</v>
      </c>
      <c r="V103" s="32" t="e">
        <f t="shared" ca="1" si="30"/>
        <v>#REF!</v>
      </c>
      <c r="W103" s="32" t="e">
        <f t="shared" ca="1" si="30"/>
        <v>#REF!</v>
      </c>
      <c r="X103" s="32" t="e">
        <f t="shared" ca="1" si="30"/>
        <v>#REF!</v>
      </c>
      <c r="Y103" s="1" t="e">
        <f t="shared" ca="1" si="31"/>
        <v>#REF!</v>
      </c>
      <c r="AA103" s="31" t="e">
        <f t="shared" ca="1" si="29"/>
        <v>#REF!</v>
      </c>
      <c r="AC103" s="34" t="e">
        <f t="shared" ca="1" si="32"/>
        <v>#REF!</v>
      </c>
      <c r="AD103" s="34" t="e">
        <f t="shared" ca="1" si="34"/>
        <v>#REF!</v>
      </c>
      <c r="AE103" s="34" t="e">
        <f t="shared" ca="1" si="35"/>
        <v>#REF!</v>
      </c>
    </row>
    <row r="104" spans="1:31" x14ac:dyDescent="0.2">
      <c r="A104" s="29"/>
      <c r="B104" s="29"/>
      <c r="C104" s="29" t="str">
        <f t="shared" si="37"/>
        <v/>
      </c>
      <c r="D104" s="29">
        <f t="shared" si="19"/>
        <v>2025</v>
      </c>
      <c r="E104" s="32" t="e">
        <f t="shared" ca="1" si="36"/>
        <v>#REF!</v>
      </c>
      <c r="F104" s="32" t="e">
        <f t="shared" ca="1" si="36"/>
        <v>#REF!</v>
      </c>
      <c r="G104" s="32" t="e">
        <f t="shared" ca="1" si="36"/>
        <v>#REF!</v>
      </c>
      <c r="H104" s="32" t="e">
        <f t="shared" ca="1" si="36"/>
        <v>#REF!</v>
      </c>
      <c r="I104" s="32" t="e">
        <f t="shared" ca="1" si="36"/>
        <v>#REF!</v>
      </c>
      <c r="J104" s="32" t="e">
        <f t="shared" ca="1" si="36"/>
        <v>#REF!</v>
      </c>
      <c r="K104" s="32" t="e">
        <f t="shared" ca="1" si="36"/>
        <v>#REF!</v>
      </c>
      <c r="L104" s="32" t="e">
        <f t="shared" ca="1" si="36"/>
        <v>#REF!</v>
      </c>
      <c r="M104" s="32" t="e">
        <f t="shared" ca="1" si="36"/>
        <v>#REF!</v>
      </c>
      <c r="N104" s="32" t="e">
        <f t="shared" ca="1" si="36"/>
        <v>#REF!</v>
      </c>
      <c r="O104" s="32" t="e">
        <f t="shared" ca="1" si="36"/>
        <v>#REF!</v>
      </c>
      <c r="P104" s="32" t="e">
        <f t="shared" ca="1" si="36"/>
        <v>#REF!</v>
      </c>
      <c r="Q104" s="32" t="e">
        <f t="shared" ca="1" si="36"/>
        <v>#REF!</v>
      </c>
      <c r="R104">
        <v>0</v>
      </c>
      <c r="S104" s="29" t="str">
        <f t="shared" si="26"/>
        <v/>
      </c>
      <c r="T104" s="29">
        <f t="shared" si="27"/>
        <v>2025</v>
      </c>
      <c r="U104" s="32" t="e">
        <f t="shared" ca="1" si="30"/>
        <v>#REF!</v>
      </c>
      <c r="V104" s="32" t="e">
        <f t="shared" ca="1" si="30"/>
        <v>#REF!</v>
      </c>
      <c r="W104" s="32" t="e">
        <f t="shared" ca="1" si="30"/>
        <v>#REF!</v>
      </c>
      <c r="X104" s="32" t="e">
        <f t="shared" ca="1" si="30"/>
        <v>#REF!</v>
      </c>
      <c r="Y104" s="1">
        <f t="shared" si="31"/>
        <v>0</v>
      </c>
      <c r="AA104" s="31" t="e">
        <f t="shared" ca="1" si="29"/>
        <v>#REF!</v>
      </c>
      <c r="AC104" s="34" t="e">
        <f t="shared" ca="1" si="32"/>
        <v>#REF!</v>
      </c>
      <c r="AD104" s="34" t="e">
        <f t="shared" ca="1" si="34"/>
        <v>#REF!</v>
      </c>
      <c r="AE104" s="34" t="e">
        <f t="shared" ca="1" si="35"/>
        <v>#REF!</v>
      </c>
    </row>
    <row r="105" spans="1:31" x14ac:dyDescent="0.2">
      <c r="A105" s="29"/>
      <c r="B105" s="29"/>
      <c r="C105" s="29" t="str">
        <f t="shared" si="37"/>
        <v/>
      </c>
      <c r="D105" s="29">
        <f t="shared" si="19"/>
        <v>2030</v>
      </c>
      <c r="E105" s="32" t="e">
        <f t="shared" ca="1" si="36"/>
        <v>#REF!</v>
      </c>
      <c r="F105" s="32" t="e">
        <f t="shared" ca="1" si="36"/>
        <v>#REF!</v>
      </c>
      <c r="G105" s="32" t="e">
        <f t="shared" ca="1" si="36"/>
        <v>#REF!</v>
      </c>
      <c r="H105" s="32" t="e">
        <f t="shared" ca="1" si="36"/>
        <v>#REF!</v>
      </c>
      <c r="I105" s="32" t="e">
        <f t="shared" ca="1" si="36"/>
        <v>#REF!</v>
      </c>
      <c r="J105" s="32" t="e">
        <f t="shared" ca="1" si="36"/>
        <v>#REF!</v>
      </c>
      <c r="K105" s="32" t="e">
        <f t="shared" ca="1" si="36"/>
        <v>#REF!</v>
      </c>
      <c r="L105" s="32" t="e">
        <f t="shared" ca="1" si="36"/>
        <v>#REF!</v>
      </c>
      <c r="M105" s="32" t="e">
        <f t="shared" ca="1" si="36"/>
        <v>#REF!</v>
      </c>
      <c r="N105" s="32" t="e">
        <f t="shared" ca="1" si="36"/>
        <v>#REF!</v>
      </c>
      <c r="O105" s="32" t="e">
        <f t="shared" ca="1" si="36"/>
        <v>#REF!</v>
      </c>
      <c r="P105" s="32" t="e">
        <f t="shared" ca="1" si="36"/>
        <v>#REF!</v>
      </c>
      <c r="Q105" s="32" t="e">
        <f t="shared" ca="1" si="36"/>
        <v>#REF!</v>
      </c>
      <c r="R105">
        <v>0</v>
      </c>
      <c r="S105" s="29" t="str">
        <f t="shared" si="26"/>
        <v/>
      </c>
      <c r="T105" s="29">
        <f t="shared" si="27"/>
        <v>2030</v>
      </c>
      <c r="U105" s="32" t="e">
        <f t="shared" ca="1" si="30"/>
        <v>#REF!</v>
      </c>
      <c r="V105" s="32" t="e">
        <f t="shared" ca="1" si="30"/>
        <v>#REF!</v>
      </c>
      <c r="W105" s="32" t="e">
        <f t="shared" ca="1" si="30"/>
        <v>#REF!</v>
      </c>
      <c r="X105" s="32" t="e">
        <f t="shared" ca="1" si="30"/>
        <v>#REF!</v>
      </c>
      <c r="Y105" s="1" t="e">
        <f t="shared" ca="1" si="31"/>
        <v>#REF!</v>
      </c>
      <c r="AA105" s="31" t="e">
        <f t="shared" ca="1" si="29"/>
        <v>#REF!</v>
      </c>
      <c r="AC105" s="34" t="e">
        <f t="shared" ca="1" si="32"/>
        <v>#REF!</v>
      </c>
      <c r="AD105" s="34" t="e">
        <f t="shared" ca="1" si="34"/>
        <v>#REF!</v>
      </c>
      <c r="AE105" s="34" t="e">
        <f t="shared" ca="1" si="35"/>
        <v>#REF!</v>
      </c>
    </row>
    <row r="106" spans="1:31" x14ac:dyDescent="0.2">
      <c r="A106" s="29"/>
      <c r="B106" s="29"/>
      <c r="C106" s="29" t="str">
        <f t="shared" si="37"/>
        <v/>
      </c>
      <c r="D106" s="29">
        <f t="shared" si="19"/>
        <v>2035</v>
      </c>
      <c r="E106" s="32" t="e">
        <f t="shared" ca="1" si="36"/>
        <v>#REF!</v>
      </c>
      <c r="F106" s="32" t="e">
        <f t="shared" ca="1" si="36"/>
        <v>#REF!</v>
      </c>
      <c r="G106" s="32" t="e">
        <f t="shared" ca="1" si="36"/>
        <v>#REF!</v>
      </c>
      <c r="H106" s="32" t="e">
        <f t="shared" ca="1" si="36"/>
        <v>#REF!</v>
      </c>
      <c r="I106" s="32" t="e">
        <f t="shared" ca="1" si="36"/>
        <v>#REF!</v>
      </c>
      <c r="J106" s="32" t="e">
        <f t="shared" ca="1" si="36"/>
        <v>#REF!</v>
      </c>
      <c r="K106" s="32" t="e">
        <f t="shared" ca="1" si="36"/>
        <v>#REF!</v>
      </c>
      <c r="L106" s="32" t="e">
        <f t="shared" ca="1" si="36"/>
        <v>#REF!</v>
      </c>
      <c r="M106" s="32" t="e">
        <f t="shared" ca="1" si="36"/>
        <v>#REF!</v>
      </c>
      <c r="N106" s="32" t="e">
        <f t="shared" ca="1" si="36"/>
        <v>#REF!</v>
      </c>
      <c r="O106" s="32" t="e">
        <f t="shared" ca="1" si="36"/>
        <v>#REF!</v>
      </c>
      <c r="P106" s="32" t="e">
        <f t="shared" ca="1" si="36"/>
        <v>#REF!</v>
      </c>
      <c r="Q106" s="32" t="e">
        <f t="shared" ca="1" si="36"/>
        <v>#REF!</v>
      </c>
      <c r="R106">
        <v>0</v>
      </c>
      <c r="S106" s="29" t="str">
        <f t="shared" si="26"/>
        <v/>
      </c>
      <c r="T106" s="29">
        <f t="shared" si="27"/>
        <v>2035</v>
      </c>
      <c r="U106" s="32" t="e">
        <f t="shared" ca="1" si="30"/>
        <v>#REF!</v>
      </c>
      <c r="V106" s="32" t="e">
        <f t="shared" ca="1" si="30"/>
        <v>#REF!</v>
      </c>
      <c r="W106" s="32" t="e">
        <f t="shared" ca="1" si="30"/>
        <v>#REF!</v>
      </c>
      <c r="X106" s="32" t="e">
        <f t="shared" ca="1" si="30"/>
        <v>#REF!</v>
      </c>
      <c r="Y106" s="1" t="e">
        <f t="shared" ca="1" si="31"/>
        <v>#REF!</v>
      </c>
      <c r="AA106" s="31" t="e">
        <f t="shared" ca="1" si="29"/>
        <v>#REF!</v>
      </c>
      <c r="AC106" s="34" t="e">
        <f t="shared" ca="1" si="32"/>
        <v>#REF!</v>
      </c>
      <c r="AD106" s="34" t="e">
        <f t="shared" ca="1" si="34"/>
        <v>#REF!</v>
      </c>
      <c r="AE106" s="34" t="e">
        <f t="shared" ca="1" si="35"/>
        <v>#REF!</v>
      </c>
    </row>
    <row r="107" spans="1:31" x14ac:dyDescent="0.2">
      <c r="A107" s="29"/>
      <c r="B107" s="29"/>
      <c r="C107" s="29" t="str">
        <f t="shared" si="37"/>
        <v/>
      </c>
      <c r="D107" s="29">
        <f t="shared" si="19"/>
        <v>2040</v>
      </c>
      <c r="E107" s="32" t="e">
        <f t="shared" ca="1" si="36"/>
        <v>#REF!</v>
      </c>
      <c r="F107" s="32" t="e">
        <f t="shared" ca="1" si="36"/>
        <v>#REF!</v>
      </c>
      <c r="G107" s="32" t="e">
        <f t="shared" ca="1" si="36"/>
        <v>#REF!</v>
      </c>
      <c r="H107" s="32" t="e">
        <f t="shared" ca="1" si="36"/>
        <v>#REF!</v>
      </c>
      <c r="I107" s="32" t="e">
        <f t="shared" ca="1" si="36"/>
        <v>#REF!</v>
      </c>
      <c r="J107" s="32" t="e">
        <f t="shared" ca="1" si="36"/>
        <v>#REF!</v>
      </c>
      <c r="K107" s="32" t="e">
        <f t="shared" ca="1" si="36"/>
        <v>#REF!</v>
      </c>
      <c r="L107" s="32" t="e">
        <f t="shared" ca="1" si="36"/>
        <v>#REF!</v>
      </c>
      <c r="M107" s="32" t="e">
        <f t="shared" ca="1" si="36"/>
        <v>#REF!</v>
      </c>
      <c r="N107" s="32" t="e">
        <f t="shared" ca="1" si="36"/>
        <v>#REF!</v>
      </c>
      <c r="O107" s="32" t="e">
        <f t="shared" ca="1" si="36"/>
        <v>#REF!</v>
      </c>
      <c r="P107" s="32" t="e">
        <f t="shared" ca="1" si="36"/>
        <v>#REF!</v>
      </c>
      <c r="Q107" s="32" t="e">
        <f t="shared" ca="1" si="36"/>
        <v>#REF!</v>
      </c>
      <c r="R107">
        <v>0</v>
      </c>
      <c r="S107" s="29" t="str">
        <f t="shared" si="26"/>
        <v/>
      </c>
      <c r="T107" s="29">
        <f t="shared" si="27"/>
        <v>2040</v>
      </c>
      <c r="U107" s="32" t="e">
        <f t="shared" ca="1" si="30"/>
        <v>#REF!</v>
      </c>
      <c r="V107" s="32" t="e">
        <f t="shared" ca="1" si="30"/>
        <v>#REF!</v>
      </c>
      <c r="W107" s="32" t="e">
        <f t="shared" ca="1" si="30"/>
        <v>#REF!</v>
      </c>
      <c r="X107" s="32" t="e">
        <f t="shared" ca="1" si="30"/>
        <v>#REF!</v>
      </c>
      <c r="Y107" s="1" t="e">
        <f t="shared" ca="1" si="31"/>
        <v>#REF!</v>
      </c>
      <c r="AA107" s="31" t="e">
        <f t="shared" ca="1" si="29"/>
        <v>#REF!</v>
      </c>
      <c r="AC107" s="34" t="e">
        <f t="shared" ca="1" si="32"/>
        <v>#REF!</v>
      </c>
      <c r="AD107" s="34" t="e">
        <f t="shared" ca="1" si="34"/>
        <v>#REF!</v>
      </c>
      <c r="AE107" s="34" t="e">
        <f t="shared" ca="1" si="35"/>
        <v>#REF!</v>
      </c>
    </row>
    <row r="108" spans="1:31" x14ac:dyDescent="0.2">
      <c r="A108" s="29"/>
      <c r="B108" s="29"/>
      <c r="C108" s="29" t="str">
        <f t="shared" si="37"/>
        <v/>
      </c>
      <c r="D108" s="29">
        <f t="shared" si="19"/>
        <v>2045</v>
      </c>
      <c r="E108" s="32" t="e">
        <f t="shared" ca="1" si="36"/>
        <v>#REF!</v>
      </c>
      <c r="F108" s="32" t="e">
        <f t="shared" ca="1" si="36"/>
        <v>#REF!</v>
      </c>
      <c r="G108" s="32" t="e">
        <f t="shared" ca="1" si="36"/>
        <v>#REF!</v>
      </c>
      <c r="H108" s="32" t="e">
        <f t="shared" ca="1" si="36"/>
        <v>#REF!</v>
      </c>
      <c r="I108" s="32" t="e">
        <f t="shared" ca="1" si="36"/>
        <v>#REF!</v>
      </c>
      <c r="J108" s="32" t="e">
        <f t="shared" ca="1" si="36"/>
        <v>#REF!</v>
      </c>
      <c r="K108" s="32" t="e">
        <f t="shared" ca="1" si="36"/>
        <v>#REF!</v>
      </c>
      <c r="L108" s="32" t="e">
        <f t="shared" ca="1" si="36"/>
        <v>#REF!</v>
      </c>
      <c r="M108" s="32" t="e">
        <f t="shared" ca="1" si="36"/>
        <v>#REF!</v>
      </c>
      <c r="N108" s="32" t="e">
        <f t="shared" ca="1" si="36"/>
        <v>#REF!</v>
      </c>
      <c r="O108" s="32" t="e">
        <f t="shared" ca="1" si="36"/>
        <v>#REF!</v>
      </c>
      <c r="P108" s="32" t="e">
        <f t="shared" ca="1" si="36"/>
        <v>#REF!</v>
      </c>
      <c r="Q108" s="32" t="e">
        <f t="shared" ca="1" si="36"/>
        <v>#REF!</v>
      </c>
      <c r="R108">
        <v>0</v>
      </c>
      <c r="S108" s="29" t="str">
        <f t="shared" si="26"/>
        <v/>
      </c>
      <c r="T108" s="29">
        <f t="shared" si="27"/>
        <v>2045</v>
      </c>
      <c r="U108" s="32" t="e">
        <f t="shared" ca="1" si="30"/>
        <v>#REF!</v>
      </c>
      <c r="V108" s="32" t="e">
        <f t="shared" ca="1" si="30"/>
        <v>#REF!</v>
      </c>
      <c r="W108" s="32" t="e">
        <f t="shared" ca="1" si="30"/>
        <v>#REF!</v>
      </c>
      <c r="X108" s="32" t="e">
        <f t="shared" ca="1" si="30"/>
        <v>#REF!</v>
      </c>
      <c r="Y108" s="1" t="e">
        <f t="shared" ca="1" si="31"/>
        <v>#REF!</v>
      </c>
      <c r="AA108" s="31" t="e">
        <f t="shared" ca="1" si="29"/>
        <v>#REF!</v>
      </c>
      <c r="AC108" s="34" t="e">
        <f t="shared" ca="1" si="32"/>
        <v>#REF!</v>
      </c>
      <c r="AD108" s="34" t="e">
        <f t="shared" ca="1" si="34"/>
        <v>#REF!</v>
      </c>
      <c r="AE108" s="34" t="e">
        <f t="shared" ca="1" si="35"/>
        <v>#REF!</v>
      </c>
    </row>
    <row r="109" spans="1:31" x14ac:dyDescent="0.2">
      <c r="A109" s="29"/>
      <c r="B109" s="29"/>
      <c r="C109" s="29" t="str">
        <f t="shared" si="37"/>
        <v/>
      </c>
      <c r="D109" s="29">
        <f t="shared" ref="D109:D172" si="38">D103</f>
        <v>2050</v>
      </c>
      <c r="E109" s="32" t="e">
        <f t="shared" ca="1" si="36"/>
        <v>#REF!</v>
      </c>
      <c r="F109" s="32" t="e">
        <f t="shared" ca="1" si="36"/>
        <v>#REF!</v>
      </c>
      <c r="G109" s="32" t="e">
        <f t="shared" ca="1" si="36"/>
        <v>#REF!</v>
      </c>
      <c r="H109" s="32" t="e">
        <f t="shared" ca="1" si="36"/>
        <v>#REF!</v>
      </c>
      <c r="I109" s="32" t="e">
        <f t="shared" ca="1" si="36"/>
        <v>#REF!</v>
      </c>
      <c r="J109" s="32" t="e">
        <f t="shared" ca="1" si="36"/>
        <v>#REF!</v>
      </c>
      <c r="K109" s="32" t="e">
        <f t="shared" ca="1" si="36"/>
        <v>#REF!</v>
      </c>
      <c r="L109" s="32" t="e">
        <f t="shared" ca="1" si="36"/>
        <v>#REF!</v>
      </c>
      <c r="M109" s="32" t="e">
        <f t="shared" ca="1" si="36"/>
        <v>#REF!</v>
      </c>
      <c r="N109" s="32" t="e">
        <f t="shared" ca="1" si="36"/>
        <v>#REF!</v>
      </c>
      <c r="O109" s="32" t="e">
        <f t="shared" ca="1" si="36"/>
        <v>#REF!</v>
      </c>
      <c r="P109" s="32" t="e">
        <f t="shared" ca="1" si="36"/>
        <v>#REF!</v>
      </c>
      <c r="Q109" s="32" t="e">
        <f t="shared" ca="1" si="36"/>
        <v>#REF!</v>
      </c>
      <c r="R109">
        <v>0</v>
      </c>
      <c r="S109" s="29" t="str">
        <f t="shared" si="26"/>
        <v/>
      </c>
      <c r="T109" s="29">
        <f t="shared" si="27"/>
        <v>2050</v>
      </c>
      <c r="U109" s="32" t="e">
        <f t="shared" ca="1" si="30"/>
        <v>#REF!</v>
      </c>
      <c r="V109" s="32" t="e">
        <f t="shared" ca="1" si="30"/>
        <v>#REF!</v>
      </c>
      <c r="W109" s="32" t="e">
        <f t="shared" ca="1" si="30"/>
        <v>#REF!</v>
      </c>
      <c r="X109" s="32" t="e">
        <f t="shared" ca="1" si="30"/>
        <v>#REF!</v>
      </c>
      <c r="Y109" s="1" t="e">
        <f t="shared" ca="1" si="31"/>
        <v>#REF!</v>
      </c>
      <c r="AA109" s="31" t="e">
        <f t="shared" ca="1" si="29"/>
        <v>#REF!</v>
      </c>
      <c r="AC109" s="34" t="e">
        <f t="shared" ca="1" si="32"/>
        <v>#REF!</v>
      </c>
      <c r="AD109" s="34" t="e">
        <f t="shared" ca="1" si="34"/>
        <v>#REF!</v>
      </c>
      <c r="AE109" s="34" t="e">
        <f t="shared" ca="1" si="35"/>
        <v>#REF!</v>
      </c>
    </row>
    <row r="110" spans="1:31" x14ac:dyDescent="0.2">
      <c r="A110" s="29"/>
      <c r="C110" s="29" t="str">
        <f t="shared" si="37"/>
        <v/>
      </c>
      <c r="D110" s="29">
        <f t="shared" si="38"/>
        <v>2025</v>
      </c>
      <c r="E110" s="32" t="e">
        <f t="shared" ca="1" si="36"/>
        <v>#REF!</v>
      </c>
      <c r="F110" s="32" t="e">
        <f t="shared" ca="1" si="36"/>
        <v>#REF!</v>
      </c>
      <c r="G110" s="32" t="e">
        <f t="shared" ca="1" si="36"/>
        <v>#REF!</v>
      </c>
      <c r="H110" s="32" t="e">
        <f t="shared" ca="1" si="36"/>
        <v>#REF!</v>
      </c>
      <c r="I110" s="32" t="e">
        <f t="shared" ca="1" si="36"/>
        <v>#REF!</v>
      </c>
      <c r="J110" s="32" t="e">
        <f t="shared" ca="1" si="36"/>
        <v>#REF!</v>
      </c>
      <c r="K110" s="32" t="e">
        <f t="shared" ca="1" si="36"/>
        <v>#REF!</v>
      </c>
      <c r="L110" s="32" t="e">
        <f t="shared" ca="1" si="36"/>
        <v>#REF!</v>
      </c>
      <c r="M110" s="32" t="e">
        <f t="shared" ca="1" si="36"/>
        <v>#REF!</v>
      </c>
      <c r="N110" s="32" t="e">
        <f t="shared" ca="1" si="36"/>
        <v>#REF!</v>
      </c>
      <c r="O110" s="32" t="e">
        <f t="shared" ca="1" si="36"/>
        <v>#REF!</v>
      </c>
      <c r="P110" s="32" t="e">
        <f t="shared" ca="1" si="36"/>
        <v>#REF!</v>
      </c>
      <c r="Q110" s="32" t="e">
        <f t="shared" ca="1" si="36"/>
        <v>#REF!</v>
      </c>
      <c r="R110">
        <v>0</v>
      </c>
      <c r="S110" s="29" t="str">
        <f t="shared" si="26"/>
        <v/>
      </c>
      <c r="T110" s="29">
        <f t="shared" si="27"/>
        <v>2025</v>
      </c>
      <c r="U110" s="32" t="e">
        <f t="shared" ca="1" si="30"/>
        <v>#REF!</v>
      </c>
      <c r="V110" s="32" t="e">
        <f t="shared" ca="1" si="30"/>
        <v>#REF!</v>
      </c>
      <c r="W110" s="32" t="e">
        <f t="shared" ca="1" si="30"/>
        <v>#REF!</v>
      </c>
      <c r="X110" s="32" t="e">
        <f t="shared" ca="1" si="30"/>
        <v>#REF!</v>
      </c>
      <c r="Y110" s="1">
        <f t="shared" si="31"/>
        <v>0</v>
      </c>
      <c r="AA110" s="31" t="e">
        <f t="shared" ca="1" si="29"/>
        <v>#REF!</v>
      </c>
      <c r="AC110" s="34" t="e">
        <f t="shared" ca="1" si="32"/>
        <v>#REF!</v>
      </c>
      <c r="AD110" s="34" t="e">
        <f t="shared" ca="1" si="34"/>
        <v>#REF!</v>
      </c>
      <c r="AE110" s="34" t="e">
        <f t="shared" ca="1" si="35"/>
        <v>#REF!</v>
      </c>
    </row>
    <row r="111" spans="1:31" x14ac:dyDescent="0.2">
      <c r="A111" s="29"/>
      <c r="C111" s="29" t="str">
        <f t="shared" si="37"/>
        <v/>
      </c>
      <c r="D111" s="29">
        <f t="shared" si="38"/>
        <v>2030</v>
      </c>
      <c r="E111" s="32" t="e">
        <f t="shared" ca="1" si="36"/>
        <v>#REF!</v>
      </c>
      <c r="F111" s="32" t="e">
        <f t="shared" ca="1" si="36"/>
        <v>#REF!</v>
      </c>
      <c r="G111" s="32" t="e">
        <f t="shared" ca="1" si="36"/>
        <v>#REF!</v>
      </c>
      <c r="H111" s="32" t="e">
        <f t="shared" ca="1" si="36"/>
        <v>#REF!</v>
      </c>
      <c r="I111" s="32" t="e">
        <f t="shared" ca="1" si="36"/>
        <v>#REF!</v>
      </c>
      <c r="J111" s="32" t="e">
        <f t="shared" ca="1" si="36"/>
        <v>#REF!</v>
      </c>
      <c r="K111" s="32" t="e">
        <f t="shared" ca="1" si="36"/>
        <v>#REF!</v>
      </c>
      <c r="L111" s="32" t="e">
        <f t="shared" ca="1" si="36"/>
        <v>#REF!</v>
      </c>
      <c r="M111" s="32" t="e">
        <f t="shared" ca="1" si="36"/>
        <v>#REF!</v>
      </c>
      <c r="N111" s="32" t="e">
        <f t="shared" ca="1" si="36"/>
        <v>#REF!</v>
      </c>
      <c r="O111" s="32" t="e">
        <f t="shared" ca="1" si="36"/>
        <v>#REF!</v>
      </c>
      <c r="P111" s="32" t="e">
        <f t="shared" ca="1" si="36"/>
        <v>#REF!</v>
      </c>
      <c r="Q111" s="32" t="e">
        <f t="shared" ca="1" si="36"/>
        <v>#REF!</v>
      </c>
      <c r="R111">
        <v>0</v>
      </c>
      <c r="S111" s="29" t="str">
        <f t="shared" si="26"/>
        <v/>
      </c>
      <c r="T111" s="29">
        <f t="shared" si="27"/>
        <v>2030</v>
      </c>
      <c r="U111" s="32" t="e">
        <f t="shared" ca="1" si="30"/>
        <v>#REF!</v>
      </c>
      <c r="V111" s="32" t="e">
        <f t="shared" ca="1" si="30"/>
        <v>#REF!</v>
      </c>
      <c r="W111" s="32" t="e">
        <f t="shared" ca="1" si="30"/>
        <v>#REF!</v>
      </c>
      <c r="X111" s="32" t="e">
        <f t="shared" ca="1" si="30"/>
        <v>#REF!</v>
      </c>
      <c r="Y111" s="1" t="e">
        <f t="shared" ca="1" si="31"/>
        <v>#REF!</v>
      </c>
      <c r="AA111" s="31" t="e">
        <f t="shared" ca="1" si="29"/>
        <v>#REF!</v>
      </c>
      <c r="AC111" s="34" t="e">
        <f t="shared" ca="1" si="32"/>
        <v>#REF!</v>
      </c>
      <c r="AD111" s="34" t="e">
        <f t="shared" ca="1" si="34"/>
        <v>#REF!</v>
      </c>
      <c r="AE111" s="34" t="e">
        <f t="shared" ca="1" si="35"/>
        <v>#REF!</v>
      </c>
    </row>
    <row r="112" spans="1:31" x14ac:dyDescent="0.2">
      <c r="A112" s="29"/>
      <c r="C112" s="29" t="str">
        <f t="shared" si="37"/>
        <v/>
      </c>
      <c r="D112" s="29">
        <f t="shared" si="38"/>
        <v>2035</v>
      </c>
      <c r="E112" s="32" t="e">
        <f t="shared" ref="E112:Q121" ca="1" si="39">INDEX(INDIRECT("'"&amp;$B112&amp;"'!"&amp;$A$1),MATCH(E$31,INDIRECT("'"&amp;$B112&amp;"'!G43:G55"),0),MATCH($D112,INDIRECT("'"&amp;$B112&amp;"'!H42:AG42")))</f>
        <v>#REF!</v>
      </c>
      <c r="F112" s="32" t="e">
        <f t="shared" ca="1" si="39"/>
        <v>#REF!</v>
      </c>
      <c r="G112" s="32" t="e">
        <f t="shared" ca="1" si="39"/>
        <v>#REF!</v>
      </c>
      <c r="H112" s="32" t="e">
        <f t="shared" ca="1" si="39"/>
        <v>#REF!</v>
      </c>
      <c r="I112" s="32" t="e">
        <f t="shared" ca="1" si="39"/>
        <v>#REF!</v>
      </c>
      <c r="J112" s="32" t="e">
        <f t="shared" ca="1" si="39"/>
        <v>#REF!</v>
      </c>
      <c r="K112" s="32" t="e">
        <f t="shared" ca="1" si="39"/>
        <v>#REF!</v>
      </c>
      <c r="L112" s="32" t="e">
        <f t="shared" ca="1" si="39"/>
        <v>#REF!</v>
      </c>
      <c r="M112" s="32" t="e">
        <f t="shared" ca="1" si="39"/>
        <v>#REF!</v>
      </c>
      <c r="N112" s="32" t="e">
        <f t="shared" ca="1" si="39"/>
        <v>#REF!</v>
      </c>
      <c r="O112" s="32" t="e">
        <f t="shared" ca="1" si="39"/>
        <v>#REF!</v>
      </c>
      <c r="P112" s="32" t="e">
        <f t="shared" ca="1" si="39"/>
        <v>#REF!</v>
      </c>
      <c r="Q112" s="32" t="e">
        <f t="shared" ca="1" si="39"/>
        <v>#REF!</v>
      </c>
      <c r="R112">
        <v>0</v>
      </c>
      <c r="S112" s="29" t="str">
        <f t="shared" si="26"/>
        <v/>
      </c>
      <c r="T112" s="29">
        <f t="shared" si="27"/>
        <v>2035</v>
      </c>
      <c r="U112" s="32" t="e">
        <f t="shared" ca="1" si="30"/>
        <v>#REF!</v>
      </c>
      <c r="V112" s="32" t="e">
        <f t="shared" ca="1" si="30"/>
        <v>#REF!</v>
      </c>
      <c r="W112" s="32" t="e">
        <f t="shared" ca="1" si="30"/>
        <v>#REF!</v>
      </c>
      <c r="X112" s="32" t="e">
        <f t="shared" ca="1" si="30"/>
        <v>#REF!</v>
      </c>
      <c r="Y112" s="1" t="e">
        <f t="shared" ca="1" si="31"/>
        <v>#REF!</v>
      </c>
      <c r="AA112" s="31" t="e">
        <f t="shared" ca="1" si="29"/>
        <v>#REF!</v>
      </c>
      <c r="AC112" s="34" t="e">
        <f t="shared" ca="1" si="32"/>
        <v>#REF!</v>
      </c>
      <c r="AD112" s="34" t="e">
        <f t="shared" ca="1" si="34"/>
        <v>#REF!</v>
      </c>
      <c r="AE112" s="34" t="e">
        <f t="shared" ca="1" si="35"/>
        <v>#REF!</v>
      </c>
    </row>
    <row r="113" spans="1:31" x14ac:dyDescent="0.2">
      <c r="A113" s="29"/>
      <c r="C113" s="29" t="str">
        <f t="shared" si="37"/>
        <v/>
      </c>
      <c r="D113" s="29">
        <f t="shared" si="38"/>
        <v>2040</v>
      </c>
      <c r="E113" s="32" t="e">
        <f t="shared" ca="1" si="39"/>
        <v>#REF!</v>
      </c>
      <c r="F113" s="32" t="e">
        <f t="shared" ca="1" si="39"/>
        <v>#REF!</v>
      </c>
      <c r="G113" s="32" t="e">
        <f t="shared" ca="1" si="39"/>
        <v>#REF!</v>
      </c>
      <c r="H113" s="32" t="e">
        <f t="shared" ca="1" si="39"/>
        <v>#REF!</v>
      </c>
      <c r="I113" s="32" t="e">
        <f t="shared" ca="1" si="39"/>
        <v>#REF!</v>
      </c>
      <c r="J113" s="32" t="e">
        <f t="shared" ca="1" si="39"/>
        <v>#REF!</v>
      </c>
      <c r="K113" s="32" t="e">
        <f t="shared" ca="1" si="39"/>
        <v>#REF!</v>
      </c>
      <c r="L113" s="32" t="e">
        <f t="shared" ca="1" si="39"/>
        <v>#REF!</v>
      </c>
      <c r="M113" s="32" t="e">
        <f t="shared" ca="1" si="39"/>
        <v>#REF!</v>
      </c>
      <c r="N113" s="32" t="e">
        <f t="shared" ca="1" si="39"/>
        <v>#REF!</v>
      </c>
      <c r="O113" s="32" t="e">
        <f t="shared" ca="1" si="39"/>
        <v>#REF!</v>
      </c>
      <c r="P113" s="32" t="e">
        <f t="shared" ca="1" si="39"/>
        <v>#REF!</v>
      </c>
      <c r="Q113" s="32" t="e">
        <f t="shared" ca="1" si="39"/>
        <v>#REF!</v>
      </c>
      <c r="R113">
        <v>0</v>
      </c>
      <c r="S113" s="29" t="str">
        <f t="shared" si="26"/>
        <v/>
      </c>
      <c r="T113" s="29">
        <f t="shared" si="27"/>
        <v>2040</v>
      </c>
      <c r="U113" s="32" t="e">
        <f t="shared" ca="1" si="30"/>
        <v>#REF!</v>
      </c>
      <c r="V113" s="32" t="e">
        <f t="shared" ca="1" si="30"/>
        <v>#REF!</v>
      </c>
      <c r="W113" s="32" t="e">
        <f t="shared" ca="1" si="30"/>
        <v>#REF!</v>
      </c>
      <c r="X113" s="32" t="e">
        <f t="shared" ca="1" si="30"/>
        <v>#REF!</v>
      </c>
      <c r="Y113" s="1" t="e">
        <f t="shared" ca="1" si="31"/>
        <v>#REF!</v>
      </c>
      <c r="AA113" s="31" t="e">
        <f t="shared" ca="1" si="29"/>
        <v>#REF!</v>
      </c>
      <c r="AC113" s="34" t="e">
        <f t="shared" ca="1" si="32"/>
        <v>#REF!</v>
      </c>
      <c r="AD113" s="34" t="e">
        <f t="shared" ca="1" si="34"/>
        <v>#REF!</v>
      </c>
      <c r="AE113" s="34" t="e">
        <f t="shared" ca="1" si="35"/>
        <v>#REF!</v>
      </c>
    </row>
    <row r="114" spans="1:31" x14ac:dyDescent="0.2">
      <c r="A114" s="29"/>
      <c r="C114" s="29" t="str">
        <f t="shared" si="37"/>
        <v/>
      </c>
      <c r="D114" s="29">
        <f t="shared" si="38"/>
        <v>2045</v>
      </c>
      <c r="E114" s="32" t="e">
        <f t="shared" ca="1" si="39"/>
        <v>#REF!</v>
      </c>
      <c r="F114" s="32" t="e">
        <f t="shared" ca="1" si="39"/>
        <v>#REF!</v>
      </c>
      <c r="G114" s="32" t="e">
        <f t="shared" ca="1" si="39"/>
        <v>#REF!</v>
      </c>
      <c r="H114" s="32" t="e">
        <f t="shared" ca="1" si="39"/>
        <v>#REF!</v>
      </c>
      <c r="I114" s="32" t="e">
        <f t="shared" ca="1" si="39"/>
        <v>#REF!</v>
      </c>
      <c r="J114" s="32" t="e">
        <f t="shared" ca="1" si="39"/>
        <v>#REF!</v>
      </c>
      <c r="K114" s="32" t="e">
        <f t="shared" ca="1" si="39"/>
        <v>#REF!</v>
      </c>
      <c r="L114" s="32" t="e">
        <f t="shared" ca="1" si="39"/>
        <v>#REF!</v>
      </c>
      <c r="M114" s="32" t="e">
        <f t="shared" ca="1" si="39"/>
        <v>#REF!</v>
      </c>
      <c r="N114" s="32" t="e">
        <f t="shared" ca="1" si="39"/>
        <v>#REF!</v>
      </c>
      <c r="O114" s="32" t="e">
        <f t="shared" ca="1" si="39"/>
        <v>#REF!</v>
      </c>
      <c r="P114" s="32" t="e">
        <f t="shared" ca="1" si="39"/>
        <v>#REF!</v>
      </c>
      <c r="Q114" s="32" t="e">
        <f t="shared" ca="1" si="39"/>
        <v>#REF!</v>
      </c>
      <c r="R114">
        <v>0</v>
      </c>
      <c r="S114" s="29" t="str">
        <f t="shared" si="26"/>
        <v/>
      </c>
      <c r="T114" s="29">
        <f t="shared" si="27"/>
        <v>2045</v>
      </c>
      <c r="U114" s="32" t="e">
        <f t="shared" ca="1" si="30"/>
        <v>#REF!</v>
      </c>
      <c r="V114" s="32" t="e">
        <f t="shared" ca="1" si="30"/>
        <v>#REF!</v>
      </c>
      <c r="W114" s="32" t="e">
        <f t="shared" ca="1" si="30"/>
        <v>#REF!</v>
      </c>
      <c r="X114" s="32" t="e">
        <f t="shared" ca="1" si="30"/>
        <v>#REF!</v>
      </c>
      <c r="Y114" s="1" t="e">
        <f t="shared" ca="1" si="31"/>
        <v>#REF!</v>
      </c>
      <c r="AA114" s="31" t="e">
        <f t="shared" ca="1" si="29"/>
        <v>#REF!</v>
      </c>
      <c r="AC114" s="34" t="e">
        <f t="shared" ca="1" si="32"/>
        <v>#REF!</v>
      </c>
      <c r="AD114" s="34" t="e">
        <f t="shared" ca="1" si="34"/>
        <v>#REF!</v>
      </c>
      <c r="AE114" s="34" t="e">
        <f t="shared" ca="1" si="35"/>
        <v>#REF!</v>
      </c>
    </row>
    <row r="115" spans="1:31" x14ac:dyDescent="0.2">
      <c r="A115" s="29"/>
      <c r="C115" s="29" t="str">
        <f t="shared" si="37"/>
        <v/>
      </c>
      <c r="D115" s="29">
        <f t="shared" si="38"/>
        <v>2050</v>
      </c>
      <c r="E115" s="32" t="e">
        <f t="shared" ca="1" si="39"/>
        <v>#REF!</v>
      </c>
      <c r="F115" s="32" t="e">
        <f t="shared" ca="1" si="39"/>
        <v>#REF!</v>
      </c>
      <c r="G115" s="32" t="e">
        <f t="shared" ca="1" si="39"/>
        <v>#REF!</v>
      </c>
      <c r="H115" s="32" t="e">
        <f t="shared" ca="1" si="39"/>
        <v>#REF!</v>
      </c>
      <c r="I115" s="32" t="e">
        <f t="shared" ca="1" si="39"/>
        <v>#REF!</v>
      </c>
      <c r="J115" s="32" t="e">
        <f t="shared" ca="1" si="39"/>
        <v>#REF!</v>
      </c>
      <c r="K115" s="32" t="e">
        <f t="shared" ca="1" si="39"/>
        <v>#REF!</v>
      </c>
      <c r="L115" s="32" t="e">
        <f t="shared" ca="1" si="39"/>
        <v>#REF!</v>
      </c>
      <c r="M115" s="32" t="e">
        <f t="shared" ca="1" si="39"/>
        <v>#REF!</v>
      </c>
      <c r="N115" s="32" t="e">
        <f t="shared" ca="1" si="39"/>
        <v>#REF!</v>
      </c>
      <c r="O115" s="32" t="e">
        <f t="shared" ca="1" si="39"/>
        <v>#REF!</v>
      </c>
      <c r="P115" s="32" t="e">
        <f t="shared" ca="1" si="39"/>
        <v>#REF!</v>
      </c>
      <c r="Q115" s="32" t="e">
        <f t="shared" ca="1" si="39"/>
        <v>#REF!</v>
      </c>
      <c r="R115">
        <v>0</v>
      </c>
      <c r="S115" s="29" t="str">
        <f t="shared" si="26"/>
        <v/>
      </c>
      <c r="T115" s="29">
        <f t="shared" si="27"/>
        <v>2050</v>
      </c>
      <c r="U115" s="32" t="e">
        <f t="shared" ca="1" si="30"/>
        <v>#REF!</v>
      </c>
      <c r="V115" s="32" t="e">
        <f t="shared" ca="1" si="30"/>
        <v>#REF!</v>
      </c>
      <c r="W115" s="32" t="e">
        <f t="shared" ca="1" si="30"/>
        <v>#REF!</v>
      </c>
      <c r="X115" s="32" t="e">
        <f t="shared" ca="1" si="30"/>
        <v>#REF!</v>
      </c>
      <c r="Y115" s="1" t="e">
        <f t="shared" ca="1" si="31"/>
        <v>#REF!</v>
      </c>
      <c r="AA115" s="31" t="e">
        <f t="shared" ca="1" si="29"/>
        <v>#REF!</v>
      </c>
      <c r="AC115" s="34" t="e">
        <f t="shared" ca="1" si="32"/>
        <v>#REF!</v>
      </c>
      <c r="AD115" s="34" t="e">
        <f t="shared" ca="1" si="34"/>
        <v>#REF!</v>
      </c>
      <c r="AE115" s="34" t="e">
        <f t="shared" ca="1" si="35"/>
        <v>#REF!</v>
      </c>
    </row>
    <row r="116" spans="1:31" x14ac:dyDescent="0.2">
      <c r="A116" s="29"/>
      <c r="C116" s="29" t="str">
        <f t="shared" si="37"/>
        <v/>
      </c>
      <c r="D116" s="29">
        <f t="shared" si="38"/>
        <v>2025</v>
      </c>
      <c r="E116" s="32" t="e">
        <f t="shared" ca="1" si="39"/>
        <v>#REF!</v>
      </c>
      <c r="F116" s="32" t="e">
        <f t="shared" ca="1" si="39"/>
        <v>#REF!</v>
      </c>
      <c r="G116" s="32" t="e">
        <f t="shared" ca="1" si="39"/>
        <v>#REF!</v>
      </c>
      <c r="H116" s="32" t="e">
        <f t="shared" ca="1" si="39"/>
        <v>#REF!</v>
      </c>
      <c r="I116" s="32" t="e">
        <f t="shared" ca="1" si="39"/>
        <v>#REF!</v>
      </c>
      <c r="J116" s="32" t="e">
        <f t="shared" ca="1" si="39"/>
        <v>#REF!</v>
      </c>
      <c r="K116" s="32" t="e">
        <f t="shared" ca="1" si="39"/>
        <v>#REF!</v>
      </c>
      <c r="L116" s="32" t="e">
        <f t="shared" ca="1" si="39"/>
        <v>#REF!</v>
      </c>
      <c r="M116" s="32" t="e">
        <f t="shared" ca="1" si="39"/>
        <v>#REF!</v>
      </c>
      <c r="N116" s="32" t="e">
        <f t="shared" ca="1" si="39"/>
        <v>#REF!</v>
      </c>
      <c r="O116" s="32" t="e">
        <f t="shared" ca="1" si="39"/>
        <v>#REF!</v>
      </c>
      <c r="P116" s="32" t="e">
        <f t="shared" ca="1" si="39"/>
        <v>#REF!</v>
      </c>
      <c r="Q116" s="32" t="e">
        <f t="shared" ca="1" si="39"/>
        <v>#REF!</v>
      </c>
      <c r="R116">
        <v>0</v>
      </c>
      <c r="S116" s="29" t="str">
        <f t="shared" si="26"/>
        <v/>
      </c>
      <c r="T116" s="29">
        <f t="shared" si="27"/>
        <v>2025</v>
      </c>
      <c r="U116" s="32" t="e">
        <f t="shared" ca="1" si="30"/>
        <v>#REF!</v>
      </c>
      <c r="V116" s="32" t="e">
        <f t="shared" ca="1" si="30"/>
        <v>#REF!</v>
      </c>
      <c r="W116" s="32" t="e">
        <f t="shared" ca="1" si="30"/>
        <v>#REF!</v>
      </c>
      <c r="X116" s="32" t="e">
        <f t="shared" ca="1" si="30"/>
        <v>#REF!</v>
      </c>
      <c r="Y116" s="1">
        <f t="shared" si="31"/>
        <v>0</v>
      </c>
      <c r="AA116" s="31" t="e">
        <f t="shared" ca="1" si="29"/>
        <v>#REF!</v>
      </c>
      <c r="AC116" s="34" t="e">
        <f t="shared" ca="1" si="32"/>
        <v>#REF!</v>
      </c>
      <c r="AD116" s="34" t="e">
        <f t="shared" ca="1" si="34"/>
        <v>#REF!</v>
      </c>
      <c r="AE116" s="34" t="e">
        <f t="shared" ca="1" si="35"/>
        <v>#REF!</v>
      </c>
    </row>
    <row r="117" spans="1:31" x14ac:dyDescent="0.2">
      <c r="A117" s="29"/>
      <c r="C117" s="29" t="str">
        <f t="shared" si="37"/>
        <v/>
      </c>
      <c r="D117" s="29">
        <f t="shared" si="38"/>
        <v>2030</v>
      </c>
      <c r="E117" s="32" t="e">
        <f t="shared" ca="1" si="39"/>
        <v>#REF!</v>
      </c>
      <c r="F117" s="32" t="e">
        <f t="shared" ca="1" si="39"/>
        <v>#REF!</v>
      </c>
      <c r="G117" s="32" t="e">
        <f t="shared" ca="1" si="39"/>
        <v>#REF!</v>
      </c>
      <c r="H117" s="32" t="e">
        <f t="shared" ca="1" si="39"/>
        <v>#REF!</v>
      </c>
      <c r="I117" s="32" t="e">
        <f t="shared" ca="1" si="39"/>
        <v>#REF!</v>
      </c>
      <c r="J117" s="32" t="e">
        <f t="shared" ca="1" si="39"/>
        <v>#REF!</v>
      </c>
      <c r="K117" s="32" t="e">
        <f t="shared" ca="1" si="39"/>
        <v>#REF!</v>
      </c>
      <c r="L117" s="32" t="e">
        <f t="shared" ca="1" si="39"/>
        <v>#REF!</v>
      </c>
      <c r="M117" s="32" t="e">
        <f t="shared" ca="1" si="39"/>
        <v>#REF!</v>
      </c>
      <c r="N117" s="32" t="e">
        <f t="shared" ca="1" si="39"/>
        <v>#REF!</v>
      </c>
      <c r="O117" s="32" t="e">
        <f t="shared" ca="1" si="39"/>
        <v>#REF!</v>
      </c>
      <c r="P117" s="32" t="e">
        <f t="shared" ca="1" si="39"/>
        <v>#REF!</v>
      </c>
      <c r="Q117" s="32" t="e">
        <f t="shared" ca="1" si="39"/>
        <v>#REF!</v>
      </c>
      <c r="R117">
        <v>0</v>
      </c>
      <c r="S117" s="29" t="str">
        <f t="shared" si="26"/>
        <v/>
      </c>
      <c r="T117" s="29">
        <f t="shared" si="27"/>
        <v>2030</v>
      </c>
      <c r="U117" s="32" t="e">
        <f t="shared" ca="1" si="30"/>
        <v>#REF!</v>
      </c>
      <c r="V117" s="32" t="e">
        <f t="shared" ca="1" si="30"/>
        <v>#REF!</v>
      </c>
      <c r="W117" s="32" t="e">
        <f t="shared" ca="1" si="30"/>
        <v>#REF!</v>
      </c>
      <c r="X117" s="32" t="e">
        <f t="shared" ca="1" si="30"/>
        <v>#REF!</v>
      </c>
      <c r="Y117" s="1" t="e">
        <f t="shared" ca="1" si="31"/>
        <v>#REF!</v>
      </c>
      <c r="AA117" s="31" t="e">
        <f t="shared" ca="1" si="29"/>
        <v>#REF!</v>
      </c>
      <c r="AC117" s="34" t="e">
        <f t="shared" ca="1" si="32"/>
        <v>#REF!</v>
      </c>
      <c r="AD117" s="34" t="e">
        <f t="shared" ca="1" si="34"/>
        <v>#REF!</v>
      </c>
      <c r="AE117" s="34" t="e">
        <f t="shared" ca="1" si="35"/>
        <v>#REF!</v>
      </c>
    </row>
    <row r="118" spans="1:31" x14ac:dyDescent="0.2">
      <c r="A118" s="29"/>
      <c r="C118" s="29" t="str">
        <f t="shared" si="37"/>
        <v/>
      </c>
      <c r="D118" s="29">
        <f t="shared" si="38"/>
        <v>2035</v>
      </c>
      <c r="E118" s="32" t="e">
        <f t="shared" ca="1" si="39"/>
        <v>#REF!</v>
      </c>
      <c r="F118" s="32" t="e">
        <f t="shared" ca="1" si="39"/>
        <v>#REF!</v>
      </c>
      <c r="G118" s="32" t="e">
        <f t="shared" ca="1" si="39"/>
        <v>#REF!</v>
      </c>
      <c r="H118" s="32" t="e">
        <f t="shared" ca="1" si="39"/>
        <v>#REF!</v>
      </c>
      <c r="I118" s="32" t="e">
        <f t="shared" ca="1" si="39"/>
        <v>#REF!</v>
      </c>
      <c r="J118" s="32" t="e">
        <f t="shared" ca="1" si="39"/>
        <v>#REF!</v>
      </c>
      <c r="K118" s="32" t="e">
        <f t="shared" ca="1" si="39"/>
        <v>#REF!</v>
      </c>
      <c r="L118" s="32" t="e">
        <f t="shared" ca="1" si="39"/>
        <v>#REF!</v>
      </c>
      <c r="M118" s="32" t="e">
        <f t="shared" ca="1" si="39"/>
        <v>#REF!</v>
      </c>
      <c r="N118" s="32" t="e">
        <f t="shared" ca="1" si="39"/>
        <v>#REF!</v>
      </c>
      <c r="O118" s="32" t="e">
        <f t="shared" ca="1" si="39"/>
        <v>#REF!</v>
      </c>
      <c r="P118" s="32" t="e">
        <f t="shared" ca="1" si="39"/>
        <v>#REF!</v>
      </c>
      <c r="Q118" s="32" t="e">
        <f t="shared" ca="1" si="39"/>
        <v>#REF!</v>
      </c>
      <c r="R118">
        <v>0</v>
      </c>
      <c r="S118" s="29" t="str">
        <f t="shared" si="26"/>
        <v/>
      </c>
      <c r="T118" s="29">
        <f t="shared" si="27"/>
        <v>2035</v>
      </c>
      <c r="U118" s="32" t="e">
        <f t="shared" ca="1" si="30"/>
        <v>#REF!</v>
      </c>
      <c r="V118" s="32" t="e">
        <f t="shared" ca="1" si="30"/>
        <v>#REF!</v>
      </c>
      <c r="W118" s="32" t="e">
        <f t="shared" ca="1" si="30"/>
        <v>#REF!</v>
      </c>
      <c r="X118" s="32" t="e">
        <f t="shared" ca="1" si="30"/>
        <v>#REF!</v>
      </c>
      <c r="Y118" s="1" t="e">
        <f t="shared" ca="1" si="31"/>
        <v>#REF!</v>
      </c>
      <c r="AA118" s="31" t="e">
        <f t="shared" ca="1" si="29"/>
        <v>#REF!</v>
      </c>
      <c r="AC118" s="34" t="e">
        <f t="shared" ca="1" si="32"/>
        <v>#REF!</v>
      </c>
      <c r="AD118" s="34" t="e">
        <f t="shared" ca="1" si="34"/>
        <v>#REF!</v>
      </c>
      <c r="AE118" s="34" t="e">
        <f t="shared" ca="1" si="35"/>
        <v>#REF!</v>
      </c>
    </row>
    <row r="119" spans="1:31" x14ac:dyDescent="0.2">
      <c r="A119" s="29"/>
      <c r="C119" s="29" t="str">
        <f t="shared" si="37"/>
        <v/>
      </c>
      <c r="D119" s="29">
        <f t="shared" si="38"/>
        <v>2040</v>
      </c>
      <c r="E119" s="32" t="e">
        <f t="shared" ca="1" si="39"/>
        <v>#REF!</v>
      </c>
      <c r="F119" s="32" t="e">
        <f t="shared" ca="1" si="39"/>
        <v>#REF!</v>
      </c>
      <c r="G119" s="32" t="e">
        <f t="shared" ca="1" si="39"/>
        <v>#REF!</v>
      </c>
      <c r="H119" s="32" t="e">
        <f t="shared" ca="1" si="39"/>
        <v>#REF!</v>
      </c>
      <c r="I119" s="32" t="e">
        <f t="shared" ca="1" si="39"/>
        <v>#REF!</v>
      </c>
      <c r="J119" s="32" t="e">
        <f t="shared" ca="1" si="39"/>
        <v>#REF!</v>
      </c>
      <c r="K119" s="32" t="e">
        <f t="shared" ca="1" si="39"/>
        <v>#REF!</v>
      </c>
      <c r="L119" s="32" t="e">
        <f t="shared" ca="1" si="39"/>
        <v>#REF!</v>
      </c>
      <c r="M119" s="32" t="e">
        <f t="shared" ca="1" si="39"/>
        <v>#REF!</v>
      </c>
      <c r="N119" s="32" t="e">
        <f t="shared" ca="1" si="39"/>
        <v>#REF!</v>
      </c>
      <c r="O119" s="32" t="e">
        <f t="shared" ca="1" si="39"/>
        <v>#REF!</v>
      </c>
      <c r="P119" s="32" t="e">
        <f t="shared" ca="1" si="39"/>
        <v>#REF!</v>
      </c>
      <c r="Q119" s="32" t="e">
        <f t="shared" ca="1" si="39"/>
        <v>#REF!</v>
      </c>
      <c r="R119">
        <v>0</v>
      </c>
      <c r="S119" s="29" t="str">
        <f t="shared" si="26"/>
        <v/>
      </c>
      <c r="T119" s="29">
        <f t="shared" si="27"/>
        <v>2040</v>
      </c>
      <c r="U119" s="32" t="e">
        <f t="shared" ca="1" si="30"/>
        <v>#REF!</v>
      </c>
      <c r="V119" s="32" t="e">
        <f t="shared" ca="1" si="30"/>
        <v>#REF!</v>
      </c>
      <c r="W119" s="32" t="e">
        <f t="shared" ca="1" si="30"/>
        <v>#REF!</v>
      </c>
      <c r="X119" s="32" t="e">
        <f t="shared" ca="1" si="30"/>
        <v>#REF!</v>
      </c>
      <c r="Y119" s="1" t="e">
        <f t="shared" ca="1" si="31"/>
        <v>#REF!</v>
      </c>
      <c r="AA119" s="31" t="e">
        <f t="shared" ca="1" si="29"/>
        <v>#REF!</v>
      </c>
      <c r="AC119" s="34" t="e">
        <f t="shared" ca="1" si="32"/>
        <v>#REF!</v>
      </c>
      <c r="AD119" s="34" t="e">
        <f t="shared" ca="1" si="34"/>
        <v>#REF!</v>
      </c>
      <c r="AE119" s="34" t="e">
        <f t="shared" ca="1" si="35"/>
        <v>#REF!</v>
      </c>
    </row>
    <row r="120" spans="1:31" x14ac:dyDescent="0.2">
      <c r="A120" s="29"/>
      <c r="C120" s="29" t="str">
        <f t="shared" si="37"/>
        <v/>
      </c>
      <c r="D120" s="29">
        <f t="shared" si="38"/>
        <v>2045</v>
      </c>
      <c r="E120" s="32" t="e">
        <f t="shared" ca="1" si="39"/>
        <v>#REF!</v>
      </c>
      <c r="F120" s="32" t="e">
        <f t="shared" ca="1" si="39"/>
        <v>#REF!</v>
      </c>
      <c r="G120" s="32" t="e">
        <f t="shared" ca="1" si="39"/>
        <v>#REF!</v>
      </c>
      <c r="H120" s="32" t="e">
        <f t="shared" ca="1" si="39"/>
        <v>#REF!</v>
      </c>
      <c r="I120" s="32" t="e">
        <f t="shared" ca="1" si="39"/>
        <v>#REF!</v>
      </c>
      <c r="J120" s="32" t="e">
        <f t="shared" ca="1" si="39"/>
        <v>#REF!</v>
      </c>
      <c r="K120" s="32" t="e">
        <f t="shared" ca="1" si="39"/>
        <v>#REF!</v>
      </c>
      <c r="L120" s="32" t="e">
        <f t="shared" ca="1" si="39"/>
        <v>#REF!</v>
      </c>
      <c r="M120" s="32" t="e">
        <f t="shared" ca="1" si="39"/>
        <v>#REF!</v>
      </c>
      <c r="N120" s="32" t="e">
        <f t="shared" ca="1" si="39"/>
        <v>#REF!</v>
      </c>
      <c r="O120" s="32" t="e">
        <f t="shared" ca="1" si="39"/>
        <v>#REF!</v>
      </c>
      <c r="P120" s="32" t="e">
        <f t="shared" ca="1" si="39"/>
        <v>#REF!</v>
      </c>
      <c r="Q120" s="32" t="e">
        <f t="shared" ca="1" si="39"/>
        <v>#REF!</v>
      </c>
      <c r="R120">
        <v>0</v>
      </c>
      <c r="S120" s="29" t="str">
        <f t="shared" si="26"/>
        <v/>
      </c>
      <c r="T120" s="29">
        <f t="shared" si="27"/>
        <v>2045</v>
      </c>
      <c r="U120" s="32" t="e">
        <f t="shared" ca="1" si="30"/>
        <v>#REF!</v>
      </c>
      <c r="V120" s="32" t="e">
        <f t="shared" ca="1" si="30"/>
        <v>#REF!</v>
      </c>
      <c r="W120" s="32" t="e">
        <f t="shared" ca="1" si="30"/>
        <v>#REF!</v>
      </c>
      <c r="X120" s="32" t="e">
        <f t="shared" ca="1" si="30"/>
        <v>#REF!</v>
      </c>
      <c r="Y120" s="1" t="e">
        <f t="shared" ca="1" si="31"/>
        <v>#REF!</v>
      </c>
      <c r="AA120" s="31" t="e">
        <f t="shared" ca="1" si="29"/>
        <v>#REF!</v>
      </c>
      <c r="AC120" s="34" t="e">
        <f t="shared" ca="1" si="32"/>
        <v>#REF!</v>
      </c>
      <c r="AD120" s="34" t="e">
        <f t="shared" ca="1" si="34"/>
        <v>#REF!</v>
      </c>
      <c r="AE120" s="34" t="e">
        <f t="shared" ca="1" si="35"/>
        <v>#REF!</v>
      </c>
    </row>
    <row r="121" spans="1:31" x14ac:dyDescent="0.2">
      <c r="A121" s="29"/>
      <c r="C121" s="29" t="str">
        <f t="shared" si="37"/>
        <v/>
      </c>
      <c r="D121" s="29">
        <f t="shared" si="38"/>
        <v>2050</v>
      </c>
      <c r="E121" s="32" t="e">
        <f t="shared" ca="1" si="39"/>
        <v>#REF!</v>
      </c>
      <c r="F121" s="32" t="e">
        <f t="shared" ca="1" si="39"/>
        <v>#REF!</v>
      </c>
      <c r="G121" s="32" t="e">
        <f t="shared" ca="1" si="39"/>
        <v>#REF!</v>
      </c>
      <c r="H121" s="32" t="e">
        <f t="shared" ca="1" si="39"/>
        <v>#REF!</v>
      </c>
      <c r="I121" s="32" t="e">
        <f t="shared" ca="1" si="39"/>
        <v>#REF!</v>
      </c>
      <c r="J121" s="32" t="e">
        <f t="shared" ca="1" si="39"/>
        <v>#REF!</v>
      </c>
      <c r="K121" s="32" t="e">
        <f t="shared" ca="1" si="39"/>
        <v>#REF!</v>
      </c>
      <c r="L121" s="32" t="e">
        <f t="shared" ca="1" si="39"/>
        <v>#REF!</v>
      </c>
      <c r="M121" s="32" t="e">
        <f t="shared" ca="1" si="39"/>
        <v>#REF!</v>
      </c>
      <c r="N121" s="32" t="e">
        <f t="shared" ca="1" si="39"/>
        <v>#REF!</v>
      </c>
      <c r="O121" s="32" t="e">
        <f t="shared" ca="1" si="39"/>
        <v>#REF!</v>
      </c>
      <c r="P121" s="32" t="e">
        <f t="shared" ca="1" si="39"/>
        <v>#REF!</v>
      </c>
      <c r="Q121" s="32" t="e">
        <f t="shared" ca="1" si="39"/>
        <v>#REF!</v>
      </c>
      <c r="R121">
        <v>0</v>
      </c>
      <c r="S121" s="29" t="str">
        <f t="shared" si="26"/>
        <v/>
      </c>
      <c r="T121" s="29">
        <f t="shared" si="27"/>
        <v>2050</v>
      </c>
      <c r="U121" s="32" t="e">
        <f t="shared" ca="1" si="30"/>
        <v>#REF!</v>
      </c>
      <c r="V121" s="32" t="e">
        <f t="shared" ca="1" si="30"/>
        <v>#REF!</v>
      </c>
      <c r="W121" s="32" t="e">
        <f t="shared" ca="1" si="30"/>
        <v>#REF!</v>
      </c>
      <c r="X121" s="32" t="e">
        <f t="shared" ca="1" si="30"/>
        <v>#REF!</v>
      </c>
      <c r="Y121" s="1" t="e">
        <f t="shared" ca="1" si="31"/>
        <v>#REF!</v>
      </c>
      <c r="AA121" s="31" t="e">
        <f t="shared" ca="1" si="29"/>
        <v>#REF!</v>
      </c>
      <c r="AC121" s="34" t="e">
        <f t="shared" ca="1" si="32"/>
        <v>#REF!</v>
      </c>
      <c r="AD121" s="34" t="e">
        <f t="shared" ca="1" si="34"/>
        <v>#REF!</v>
      </c>
      <c r="AE121" s="34" t="e">
        <f t="shared" ca="1" si="35"/>
        <v>#REF!</v>
      </c>
    </row>
    <row r="122" spans="1:31" x14ac:dyDescent="0.2">
      <c r="A122" s="29"/>
      <c r="C122" s="29" t="str">
        <f t="shared" si="37"/>
        <v/>
      </c>
      <c r="D122" s="29">
        <f t="shared" si="38"/>
        <v>2025</v>
      </c>
      <c r="E122" s="32" t="e">
        <f t="shared" ref="E122:Q131" ca="1" si="40">INDEX(INDIRECT("'"&amp;$B122&amp;"'!"&amp;$A$1),MATCH(E$31,INDIRECT("'"&amp;$B122&amp;"'!G43:G55"),0),MATCH($D122,INDIRECT("'"&amp;$B122&amp;"'!H42:AG42")))</f>
        <v>#REF!</v>
      </c>
      <c r="F122" s="32" t="e">
        <f t="shared" ca="1" si="40"/>
        <v>#REF!</v>
      </c>
      <c r="G122" s="32" t="e">
        <f t="shared" ca="1" si="40"/>
        <v>#REF!</v>
      </c>
      <c r="H122" s="32" t="e">
        <f t="shared" ca="1" si="40"/>
        <v>#REF!</v>
      </c>
      <c r="I122" s="32" t="e">
        <f t="shared" ca="1" si="40"/>
        <v>#REF!</v>
      </c>
      <c r="J122" s="32" t="e">
        <f t="shared" ca="1" si="40"/>
        <v>#REF!</v>
      </c>
      <c r="K122" s="32" t="e">
        <f t="shared" ca="1" si="40"/>
        <v>#REF!</v>
      </c>
      <c r="L122" s="32" t="e">
        <f t="shared" ca="1" si="40"/>
        <v>#REF!</v>
      </c>
      <c r="M122" s="32" t="e">
        <f t="shared" ca="1" si="40"/>
        <v>#REF!</v>
      </c>
      <c r="N122" s="32" t="e">
        <f t="shared" ca="1" si="40"/>
        <v>#REF!</v>
      </c>
      <c r="O122" s="32" t="e">
        <f t="shared" ca="1" si="40"/>
        <v>#REF!</v>
      </c>
      <c r="P122" s="32" t="e">
        <f t="shared" ca="1" si="40"/>
        <v>#REF!</v>
      </c>
      <c r="Q122" s="32" t="e">
        <f t="shared" ca="1" si="40"/>
        <v>#REF!</v>
      </c>
      <c r="R122">
        <v>0</v>
      </c>
      <c r="S122" s="29" t="str">
        <f t="shared" si="26"/>
        <v/>
      </c>
      <c r="T122" s="29">
        <f t="shared" si="27"/>
        <v>2025</v>
      </c>
      <c r="U122" s="32" t="e">
        <f t="shared" ca="1" si="30"/>
        <v>#REF!</v>
      </c>
      <c r="V122" s="32" t="e">
        <f t="shared" ca="1" si="30"/>
        <v>#REF!</v>
      </c>
      <c r="W122" s="32" t="e">
        <f t="shared" ca="1" si="30"/>
        <v>#REF!</v>
      </c>
      <c r="X122" s="32" t="e">
        <f t="shared" ca="1" si="30"/>
        <v>#REF!</v>
      </c>
      <c r="Y122" s="1">
        <f t="shared" si="31"/>
        <v>0</v>
      </c>
      <c r="AA122" s="31" t="e">
        <f t="shared" ref="AA122:AA153" ca="1" si="41">INDEX(INDIRECT("'"&amp;$B122&amp;"'!BL58:CK58"),MATCH($D122,INDIRECT("'"&amp;$B122&amp;"'!BL42:CK42")))</f>
        <v>#REF!</v>
      </c>
      <c r="AC122" s="34" t="e">
        <f t="shared" ca="1" si="32"/>
        <v>#REF!</v>
      </c>
      <c r="AD122" s="34" t="e">
        <f t="shared" ca="1" si="34"/>
        <v>#REF!</v>
      </c>
      <c r="AE122" s="34" t="e">
        <f t="shared" ca="1" si="35"/>
        <v>#REF!</v>
      </c>
    </row>
    <row r="123" spans="1:31" x14ac:dyDescent="0.2">
      <c r="A123" s="29"/>
      <c r="C123" s="29" t="str">
        <f t="shared" si="37"/>
        <v/>
      </c>
      <c r="D123" s="29">
        <f t="shared" si="38"/>
        <v>2030</v>
      </c>
      <c r="E123" s="32" t="e">
        <f t="shared" ca="1" si="40"/>
        <v>#REF!</v>
      </c>
      <c r="F123" s="32" t="e">
        <f t="shared" ca="1" si="40"/>
        <v>#REF!</v>
      </c>
      <c r="G123" s="32" t="e">
        <f t="shared" ca="1" si="40"/>
        <v>#REF!</v>
      </c>
      <c r="H123" s="32" t="e">
        <f t="shared" ca="1" si="40"/>
        <v>#REF!</v>
      </c>
      <c r="I123" s="32" t="e">
        <f t="shared" ca="1" si="40"/>
        <v>#REF!</v>
      </c>
      <c r="J123" s="32" t="e">
        <f t="shared" ca="1" si="40"/>
        <v>#REF!</v>
      </c>
      <c r="K123" s="32" t="e">
        <f t="shared" ca="1" si="40"/>
        <v>#REF!</v>
      </c>
      <c r="L123" s="32" t="e">
        <f t="shared" ca="1" si="40"/>
        <v>#REF!</v>
      </c>
      <c r="M123" s="32" t="e">
        <f t="shared" ca="1" si="40"/>
        <v>#REF!</v>
      </c>
      <c r="N123" s="32" t="e">
        <f t="shared" ca="1" si="40"/>
        <v>#REF!</v>
      </c>
      <c r="O123" s="32" t="e">
        <f t="shared" ca="1" si="40"/>
        <v>#REF!</v>
      </c>
      <c r="P123" s="32" t="e">
        <f t="shared" ca="1" si="40"/>
        <v>#REF!</v>
      </c>
      <c r="Q123" s="32" t="e">
        <f t="shared" ca="1" si="40"/>
        <v>#REF!</v>
      </c>
      <c r="R123">
        <v>0</v>
      </c>
      <c r="S123" s="29" t="str">
        <f t="shared" si="26"/>
        <v/>
      </c>
      <c r="T123" s="29">
        <f t="shared" si="27"/>
        <v>2030</v>
      </c>
      <c r="U123" s="32" t="e">
        <f t="shared" ref="U123:X154" ca="1" si="42">INDEX(INDIRECT("'"&amp;$B123&amp;"'!summaryCosts"),MATCH(U$31,INDIRECT("'"&amp;$B123&amp;"'!EU43:EU46"),0),MATCH($D123,INDIRECT("'"&amp;$B123&amp;"'!EV42:FU42"),0))</f>
        <v>#REF!</v>
      </c>
      <c r="V123" s="32" t="e">
        <f t="shared" ca="1" si="42"/>
        <v>#REF!</v>
      </c>
      <c r="W123" s="32" t="e">
        <f t="shared" ca="1" si="42"/>
        <v>#REF!</v>
      </c>
      <c r="X123" s="32" t="e">
        <f t="shared" ca="1" si="42"/>
        <v>#REF!</v>
      </c>
      <c r="Y123" s="1" t="e">
        <f t="shared" ca="1" si="31"/>
        <v>#REF!</v>
      </c>
      <c r="AA123" s="31" t="e">
        <f t="shared" ca="1" si="41"/>
        <v>#REF!</v>
      </c>
      <c r="AC123" s="34" t="e">
        <f t="shared" ca="1" si="32"/>
        <v>#REF!</v>
      </c>
      <c r="AD123" s="34" t="e">
        <f t="shared" ca="1" si="34"/>
        <v>#REF!</v>
      </c>
      <c r="AE123" s="34" t="e">
        <f t="shared" ca="1" si="35"/>
        <v>#REF!</v>
      </c>
    </row>
    <row r="124" spans="1:31" x14ac:dyDescent="0.2">
      <c r="A124" s="29"/>
      <c r="C124" s="29" t="str">
        <f t="shared" si="37"/>
        <v/>
      </c>
      <c r="D124" s="29">
        <f t="shared" si="38"/>
        <v>2035</v>
      </c>
      <c r="E124" s="32" t="e">
        <f t="shared" ca="1" si="40"/>
        <v>#REF!</v>
      </c>
      <c r="F124" s="32" t="e">
        <f t="shared" ca="1" si="40"/>
        <v>#REF!</v>
      </c>
      <c r="G124" s="32" t="e">
        <f t="shared" ca="1" si="40"/>
        <v>#REF!</v>
      </c>
      <c r="H124" s="32" t="e">
        <f t="shared" ca="1" si="40"/>
        <v>#REF!</v>
      </c>
      <c r="I124" s="32" t="e">
        <f t="shared" ca="1" si="40"/>
        <v>#REF!</v>
      </c>
      <c r="J124" s="32" t="e">
        <f t="shared" ca="1" si="40"/>
        <v>#REF!</v>
      </c>
      <c r="K124" s="32" t="e">
        <f t="shared" ca="1" si="40"/>
        <v>#REF!</v>
      </c>
      <c r="L124" s="32" t="e">
        <f t="shared" ca="1" si="40"/>
        <v>#REF!</v>
      </c>
      <c r="M124" s="32" t="e">
        <f t="shared" ca="1" si="40"/>
        <v>#REF!</v>
      </c>
      <c r="N124" s="32" t="e">
        <f t="shared" ca="1" si="40"/>
        <v>#REF!</v>
      </c>
      <c r="O124" s="32" t="e">
        <f t="shared" ca="1" si="40"/>
        <v>#REF!</v>
      </c>
      <c r="P124" s="32" t="e">
        <f t="shared" ca="1" si="40"/>
        <v>#REF!</v>
      </c>
      <c r="Q124" s="32" t="e">
        <f t="shared" ca="1" si="40"/>
        <v>#REF!</v>
      </c>
      <c r="R124">
        <v>0</v>
      </c>
      <c r="S124" s="29" t="str">
        <f t="shared" si="26"/>
        <v/>
      </c>
      <c r="T124" s="29">
        <f t="shared" si="27"/>
        <v>2035</v>
      </c>
      <c r="U124" s="32" t="e">
        <f t="shared" ca="1" si="42"/>
        <v>#REF!</v>
      </c>
      <c r="V124" s="32" t="e">
        <f t="shared" ca="1" si="42"/>
        <v>#REF!</v>
      </c>
      <c r="W124" s="32" t="e">
        <f t="shared" ca="1" si="42"/>
        <v>#REF!</v>
      </c>
      <c r="X124" s="32" t="e">
        <f t="shared" ca="1" si="42"/>
        <v>#REF!</v>
      </c>
      <c r="Y124" s="1" t="e">
        <f t="shared" ca="1" si="31"/>
        <v>#REF!</v>
      </c>
      <c r="AA124" s="31" t="e">
        <f t="shared" ca="1" si="41"/>
        <v>#REF!</v>
      </c>
      <c r="AC124" s="34" t="e">
        <f t="shared" ca="1" si="32"/>
        <v>#REF!</v>
      </c>
      <c r="AD124" s="34" t="e">
        <f t="shared" ca="1" si="34"/>
        <v>#REF!</v>
      </c>
      <c r="AE124" s="34" t="e">
        <f t="shared" ca="1" si="35"/>
        <v>#REF!</v>
      </c>
    </row>
    <row r="125" spans="1:31" x14ac:dyDescent="0.2">
      <c r="A125" s="29"/>
      <c r="C125" s="29" t="str">
        <f t="shared" si="37"/>
        <v/>
      </c>
      <c r="D125" s="29">
        <f t="shared" si="38"/>
        <v>2040</v>
      </c>
      <c r="E125" s="32" t="e">
        <f t="shared" ca="1" si="40"/>
        <v>#REF!</v>
      </c>
      <c r="F125" s="32" t="e">
        <f t="shared" ca="1" si="40"/>
        <v>#REF!</v>
      </c>
      <c r="G125" s="32" t="e">
        <f t="shared" ca="1" si="40"/>
        <v>#REF!</v>
      </c>
      <c r="H125" s="32" t="e">
        <f t="shared" ca="1" si="40"/>
        <v>#REF!</v>
      </c>
      <c r="I125" s="32" t="e">
        <f t="shared" ca="1" si="40"/>
        <v>#REF!</v>
      </c>
      <c r="J125" s="32" t="e">
        <f t="shared" ca="1" si="40"/>
        <v>#REF!</v>
      </c>
      <c r="K125" s="32" t="e">
        <f t="shared" ca="1" si="40"/>
        <v>#REF!</v>
      </c>
      <c r="L125" s="32" t="e">
        <f t="shared" ca="1" si="40"/>
        <v>#REF!</v>
      </c>
      <c r="M125" s="32" t="e">
        <f t="shared" ca="1" si="40"/>
        <v>#REF!</v>
      </c>
      <c r="N125" s="32" t="e">
        <f t="shared" ca="1" si="40"/>
        <v>#REF!</v>
      </c>
      <c r="O125" s="32" t="e">
        <f t="shared" ca="1" si="40"/>
        <v>#REF!</v>
      </c>
      <c r="P125" s="32" t="e">
        <f t="shared" ca="1" si="40"/>
        <v>#REF!</v>
      </c>
      <c r="Q125" s="32" t="e">
        <f t="shared" ca="1" si="40"/>
        <v>#REF!</v>
      </c>
      <c r="R125">
        <v>0</v>
      </c>
      <c r="S125" s="29" t="str">
        <f t="shared" si="26"/>
        <v/>
      </c>
      <c r="T125" s="29">
        <f t="shared" si="27"/>
        <v>2040</v>
      </c>
      <c r="U125" s="32" t="e">
        <f t="shared" ca="1" si="42"/>
        <v>#REF!</v>
      </c>
      <c r="V125" s="32" t="e">
        <f t="shared" ca="1" si="42"/>
        <v>#REF!</v>
      </c>
      <c r="W125" s="32" t="e">
        <f t="shared" ca="1" si="42"/>
        <v>#REF!</v>
      </c>
      <c r="X125" s="32" t="e">
        <f t="shared" ca="1" si="42"/>
        <v>#REF!</v>
      </c>
      <c r="Y125" s="1" t="e">
        <f t="shared" ca="1" si="31"/>
        <v>#REF!</v>
      </c>
      <c r="AA125" s="31" t="e">
        <f t="shared" ca="1" si="41"/>
        <v>#REF!</v>
      </c>
      <c r="AC125" s="34" t="e">
        <f t="shared" ca="1" si="32"/>
        <v>#REF!</v>
      </c>
      <c r="AD125" s="34" t="e">
        <f t="shared" ca="1" si="34"/>
        <v>#REF!</v>
      </c>
      <c r="AE125" s="34" t="e">
        <f t="shared" ca="1" si="35"/>
        <v>#REF!</v>
      </c>
    </row>
    <row r="126" spans="1:31" x14ac:dyDescent="0.2">
      <c r="A126" s="29"/>
      <c r="C126" s="29" t="str">
        <f t="shared" si="37"/>
        <v/>
      </c>
      <c r="D126" s="29">
        <f t="shared" si="38"/>
        <v>2045</v>
      </c>
      <c r="E126" s="32" t="e">
        <f t="shared" ca="1" si="40"/>
        <v>#REF!</v>
      </c>
      <c r="F126" s="32" t="e">
        <f t="shared" ca="1" si="40"/>
        <v>#REF!</v>
      </c>
      <c r="G126" s="32" t="e">
        <f t="shared" ca="1" si="40"/>
        <v>#REF!</v>
      </c>
      <c r="H126" s="32" t="e">
        <f t="shared" ca="1" si="40"/>
        <v>#REF!</v>
      </c>
      <c r="I126" s="32" t="e">
        <f t="shared" ca="1" si="40"/>
        <v>#REF!</v>
      </c>
      <c r="J126" s="32" t="e">
        <f t="shared" ca="1" si="40"/>
        <v>#REF!</v>
      </c>
      <c r="K126" s="32" t="e">
        <f t="shared" ca="1" si="40"/>
        <v>#REF!</v>
      </c>
      <c r="L126" s="32" t="e">
        <f t="shared" ca="1" si="40"/>
        <v>#REF!</v>
      </c>
      <c r="M126" s="32" t="e">
        <f t="shared" ca="1" si="40"/>
        <v>#REF!</v>
      </c>
      <c r="N126" s="32" t="e">
        <f t="shared" ca="1" si="40"/>
        <v>#REF!</v>
      </c>
      <c r="O126" s="32" t="e">
        <f t="shared" ca="1" si="40"/>
        <v>#REF!</v>
      </c>
      <c r="P126" s="32" t="e">
        <f t="shared" ca="1" si="40"/>
        <v>#REF!</v>
      </c>
      <c r="Q126" s="32" t="e">
        <f t="shared" ca="1" si="40"/>
        <v>#REF!</v>
      </c>
      <c r="R126">
        <v>0</v>
      </c>
      <c r="S126" s="29" t="str">
        <f t="shared" si="26"/>
        <v/>
      </c>
      <c r="T126" s="29">
        <f t="shared" si="27"/>
        <v>2045</v>
      </c>
      <c r="U126" s="32" t="e">
        <f t="shared" ca="1" si="42"/>
        <v>#REF!</v>
      </c>
      <c r="V126" s="32" t="e">
        <f t="shared" ca="1" si="42"/>
        <v>#REF!</v>
      </c>
      <c r="W126" s="32" t="e">
        <f t="shared" ca="1" si="42"/>
        <v>#REF!</v>
      </c>
      <c r="X126" s="32" t="e">
        <f t="shared" ca="1" si="42"/>
        <v>#REF!</v>
      </c>
      <c r="Y126" s="1" t="e">
        <f t="shared" ca="1" si="31"/>
        <v>#REF!</v>
      </c>
      <c r="AA126" s="31" t="e">
        <f t="shared" ca="1" si="41"/>
        <v>#REF!</v>
      </c>
      <c r="AC126" s="34" t="e">
        <f t="shared" ca="1" si="32"/>
        <v>#REF!</v>
      </c>
      <c r="AD126" s="34" t="e">
        <f t="shared" ca="1" si="34"/>
        <v>#REF!</v>
      </c>
      <c r="AE126" s="34" t="e">
        <f t="shared" ca="1" si="35"/>
        <v>#REF!</v>
      </c>
    </row>
    <row r="127" spans="1:31" x14ac:dyDescent="0.2">
      <c r="A127" s="29"/>
      <c r="C127" s="29" t="str">
        <f t="shared" si="37"/>
        <v/>
      </c>
      <c r="D127" s="29">
        <f t="shared" si="38"/>
        <v>2050</v>
      </c>
      <c r="E127" s="32" t="e">
        <f t="shared" ca="1" si="40"/>
        <v>#REF!</v>
      </c>
      <c r="F127" s="32" t="e">
        <f t="shared" ca="1" si="40"/>
        <v>#REF!</v>
      </c>
      <c r="G127" s="32" t="e">
        <f t="shared" ca="1" si="40"/>
        <v>#REF!</v>
      </c>
      <c r="H127" s="32" t="e">
        <f t="shared" ca="1" si="40"/>
        <v>#REF!</v>
      </c>
      <c r="I127" s="32" t="e">
        <f t="shared" ca="1" si="40"/>
        <v>#REF!</v>
      </c>
      <c r="J127" s="32" t="e">
        <f t="shared" ca="1" si="40"/>
        <v>#REF!</v>
      </c>
      <c r="K127" s="32" t="e">
        <f t="shared" ca="1" si="40"/>
        <v>#REF!</v>
      </c>
      <c r="L127" s="32" t="e">
        <f t="shared" ca="1" si="40"/>
        <v>#REF!</v>
      </c>
      <c r="M127" s="32" t="e">
        <f t="shared" ca="1" si="40"/>
        <v>#REF!</v>
      </c>
      <c r="N127" s="32" t="e">
        <f t="shared" ca="1" si="40"/>
        <v>#REF!</v>
      </c>
      <c r="O127" s="32" t="e">
        <f t="shared" ca="1" si="40"/>
        <v>#REF!</v>
      </c>
      <c r="P127" s="32" t="e">
        <f t="shared" ca="1" si="40"/>
        <v>#REF!</v>
      </c>
      <c r="Q127" s="32" t="e">
        <f t="shared" ca="1" si="40"/>
        <v>#REF!</v>
      </c>
      <c r="R127">
        <v>0</v>
      </c>
      <c r="S127" s="29" t="str">
        <f t="shared" si="26"/>
        <v/>
      </c>
      <c r="T127" s="29">
        <f t="shared" si="27"/>
        <v>2050</v>
      </c>
      <c r="U127" s="32" t="e">
        <f t="shared" ca="1" si="42"/>
        <v>#REF!</v>
      </c>
      <c r="V127" s="32" t="e">
        <f t="shared" ca="1" si="42"/>
        <v>#REF!</v>
      </c>
      <c r="W127" s="32" t="e">
        <f t="shared" ca="1" si="42"/>
        <v>#REF!</v>
      </c>
      <c r="X127" s="32" t="e">
        <f t="shared" ca="1" si="42"/>
        <v>#REF!</v>
      </c>
      <c r="Y127" s="1" t="e">
        <f t="shared" ca="1" si="31"/>
        <v>#REF!</v>
      </c>
      <c r="AA127" s="31" t="e">
        <f t="shared" ca="1" si="41"/>
        <v>#REF!</v>
      </c>
      <c r="AC127" s="34" t="e">
        <f t="shared" ca="1" si="32"/>
        <v>#REF!</v>
      </c>
      <c r="AD127" s="34" t="e">
        <f t="shared" ref="AD127:AD158" ca="1" si="43">SUM(N127:P127)-125</f>
        <v>#REF!</v>
      </c>
      <c r="AE127" s="34" t="e">
        <f t="shared" ca="1" si="35"/>
        <v>#REF!</v>
      </c>
    </row>
    <row r="128" spans="1:31" x14ac:dyDescent="0.2">
      <c r="A128" s="29"/>
      <c r="C128" s="29" t="str">
        <f t="shared" si="37"/>
        <v/>
      </c>
      <c r="D128" s="29">
        <f t="shared" si="38"/>
        <v>2025</v>
      </c>
      <c r="E128" s="32" t="e">
        <f t="shared" ca="1" si="40"/>
        <v>#REF!</v>
      </c>
      <c r="F128" s="32" t="e">
        <f t="shared" ca="1" si="40"/>
        <v>#REF!</v>
      </c>
      <c r="G128" s="32" t="e">
        <f t="shared" ca="1" si="40"/>
        <v>#REF!</v>
      </c>
      <c r="H128" s="32" t="e">
        <f t="shared" ca="1" si="40"/>
        <v>#REF!</v>
      </c>
      <c r="I128" s="32" t="e">
        <f t="shared" ca="1" si="40"/>
        <v>#REF!</v>
      </c>
      <c r="J128" s="32" t="e">
        <f t="shared" ca="1" si="40"/>
        <v>#REF!</v>
      </c>
      <c r="K128" s="32" t="e">
        <f t="shared" ca="1" si="40"/>
        <v>#REF!</v>
      </c>
      <c r="L128" s="32" t="e">
        <f t="shared" ca="1" si="40"/>
        <v>#REF!</v>
      </c>
      <c r="M128" s="32" t="e">
        <f t="shared" ca="1" si="40"/>
        <v>#REF!</v>
      </c>
      <c r="N128" s="32" t="e">
        <f t="shared" ca="1" si="40"/>
        <v>#REF!</v>
      </c>
      <c r="O128" s="32" t="e">
        <f t="shared" ca="1" si="40"/>
        <v>#REF!</v>
      </c>
      <c r="P128" s="32" t="e">
        <f t="shared" ca="1" si="40"/>
        <v>#REF!</v>
      </c>
      <c r="Q128" s="32" t="e">
        <f t="shared" ca="1" si="40"/>
        <v>#REF!</v>
      </c>
      <c r="R128">
        <v>0</v>
      </c>
      <c r="S128" s="29" t="str">
        <f t="shared" ref="S128:S145" si="44">C128</f>
        <v/>
      </c>
      <c r="T128" s="29">
        <f t="shared" ref="T128:T145" si="45">D128</f>
        <v>2025</v>
      </c>
      <c r="U128" s="32" t="e">
        <f t="shared" ca="1" si="42"/>
        <v>#REF!</v>
      </c>
      <c r="V128" s="32" t="e">
        <f t="shared" ca="1" si="42"/>
        <v>#REF!</v>
      </c>
      <c r="W128" s="32" t="e">
        <f t="shared" ca="1" si="42"/>
        <v>#REF!</v>
      </c>
      <c r="X128" s="32" t="e">
        <f t="shared" ca="1" si="42"/>
        <v>#REF!</v>
      </c>
      <c r="Y128" s="1">
        <f t="shared" si="31"/>
        <v>0</v>
      </c>
      <c r="AA128" s="31" t="e">
        <f t="shared" ca="1" si="41"/>
        <v>#REF!</v>
      </c>
      <c r="AC128" s="34" t="e">
        <f t="shared" ca="1" si="32"/>
        <v>#REF!</v>
      </c>
      <c r="AD128" s="34" t="e">
        <f t="shared" ca="1" si="43"/>
        <v>#REF!</v>
      </c>
      <c r="AE128" s="34" t="e">
        <f t="shared" ca="1" si="35"/>
        <v>#REF!</v>
      </c>
    </row>
    <row r="129" spans="1:31" x14ac:dyDescent="0.2">
      <c r="A129" s="29"/>
      <c r="C129" s="29" t="str">
        <f t="shared" si="37"/>
        <v/>
      </c>
      <c r="D129" s="29">
        <f t="shared" si="38"/>
        <v>2030</v>
      </c>
      <c r="E129" s="32" t="e">
        <f t="shared" ca="1" si="40"/>
        <v>#REF!</v>
      </c>
      <c r="F129" s="32" t="e">
        <f t="shared" ca="1" si="40"/>
        <v>#REF!</v>
      </c>
      <c r="G129" s="32" t="e">
        <f t="shared" ca="1" si="40"/>
        <v>#REF!</v>
      </c>
      <c r="H129" s="32" t="e">
        <f t="shared" ca="1" si="40"/>
        <v>#REF!</v>
      </c>
      <c r="I129" s="32" t="e">
        <f t="shared" ca="1" si="40"/>
        <v>#REF!</v>
      </c>
      <c r="J129" s="32" t="e">
        <f t="shared" ca="1" si="40"/>
        <v>#REF!</v>
      </c>
      <c r="K129" s="32" t="e">
        <f t="shared" ca="1" si="40"/>
        <v>#REF!</v>
      </c>
      <c r="L129" s="32" t="e">
        <f t="shared" ca="1" si="40"/>
        <v>#REF!</v>
      </c>
      <c r="M129" s="32" t="e">
        <f t="shared" ca="1" si="40"/>
        <v>#REF!</v>
      </c>
      <c r="N129" s="32" t="e">
        <f t="shared" ca="1" si="40"/>
        <v>#REF!</v>
      </c>
      <c r="O129" s="32" t="e">
        <f t="shared" ca="1" si="40"/>
        <v>#REF!</v>
      </c>
      <c r="P129" s="32" t="e">
        <f t="shared" ca="1" si="40"/>
        <v>#REF!</v>
      </c>
      <c r="Q129" s="32" t="e">
        <f t="shared" ca="1" si="40"/>
        <v>#REF!</v>
      </c>
      <c r="R129">
        <v>0</v>
      </c>
      <c r="S129" s="29" t="str">
        <f t="shared" si="44"/>
        <v/>
      </c>
      <c r="T129" s="29">
        <f t="shared" si="45"/>
        <v>2030</v>
      </c>
      <c r="U129" s="32" t="e">
        <f t="shared" ca="1" si="42"/>
        <v>#REF!</v>
      </c>
      <c r="V129" s="32" t="e">
        <f t="shared" ca="1" si="42"/>
        <v>#REF!</v>
      </c>
      <c r="W129" s="32" t="e">
        <f t="shared" ca="1" si="42"/>
        <v>#REF!</v>
      </c>
      <c r="X129" s="32" t="e">
        <f t="shared" ca="1" si="42"/>
        <v>#REF!</v>
      </c>
      <c r="Y129" s="1" t="e">
        <f t="shared" ca="1" si="31"/>
        <v>#REF!</v>
      </c>
      <c r="AA129" s="31" t="e">
        <f t="shared" ca="1" si="41"/>
        <v>#REF!</v>
      </c>
      <c r="AC129" s="34" t="e">
        <f t="shared" ca="1" si="32"/>
        <v>#REF!</v>
      </c>
      <c r="AD129" s="34" t="e">
        <f t="shared" ca="1" si="43"/>
        <v>#REF!</v>
      </c>
      <c r="AE129" s="34" t="e">
        <f t="shared" ca="1" si="35"/>
        <v>#REF!</v>
      </c>
    </row>
    <row r="130" spans="1:31" x14ac:dyDescent="0.2">
      <c r="A130" s="29"/>
      <c r="C130" s="29" t="str">
        <f t="shared" si="37"/>
        <v/>
      </c>
      <c r="D130" s="29">
        <f t="shared" si="38"/>
        <v>2035</v>
      </c>
      <c r="E130" s="32" t="e">
        <f t="shared" ca="1" si="40"/>
        <v>#REF!</v>
      </c>
      <c r="F130" s="32" t="e">
        <f t="shared" ca="1" si="40"/>
        <v>#REF!</v>
      </c>
      <c r="G130" s="32" t="e">
        <f t="shared" ca="1" si="40"/>
        <v>#REF!</v>
      </c>
      <c r="H130" s="32" t="e">
        <f t="shared" ca="1" si="40"/>
        <v>#REF!</v>
      </c>
      <c r="I130" s="32" t="e">
        <f t="shared" ca="1" si="40"/>
        <v>#REF!</v>
      </c>
      <c r="J130" s="32" t="e">
        <f t="shared" ca="1" si="40"/>
        <v>#REF!</v>
      </c>
      <c r="K130" s="32" t="e">
        <f t="shared" ca="1" si="40"/>
        <v>#REF!</v>
      </c>
      <c r="L130" s="32" t="e">
        <f t="shared" ca="1" si="40"/>
        <v>#REF!</v>
      </c>
      <c r="M130" s="32" t="e">
        <f t="shared" ca="1" si="40"/>
        <v>#REF!</v>
      </c>
      <c r="N130" s="32" t="e">
        <f t="shared" ca="1" si="40"/>
        <v>#REF!</v>
      </c>
      <c r="O130" s="32" t="e">
        <f t="shared" ca="1" si="40"/>
        <v>#REF!</v>
      </c>
      <c r="P130" s="32" t="e">
        <f t="shared" ca="1" si="40"/>
        <v>#REF!</v>
      </c>
      <c r="Q130" s="32" t="e">
        <f t="shared" ca="1" si="40"/>
        <v>#REF!</v>
      </c>
      <c r="R130">
        <v>0</v>
      </c>
      <c r="S130" s="29" t="str">
        <f t="shared" si="44"/>
        <v/>
      </c>
      <c r="T130" s="29">
        <f t="shared" si="45"/>
        <v>2035</v>
      </c>
      <c r="U130" s="32" t="e">
        <f t="shared" ca="1" si="42"/>
        <v>#REF!</v>
      </c>
      <c r="V130" s="32" t="e">
        <f t="shared" ca="1" si="42"/>
        <v>#REF!</v>
      </c>
      <c r="W130" s="32" t="e">
        <f t="shared" ca="1" si="42"/>
        <v>#REF!</v>
      </c>
      <c r="X130" s="32" t="e">
        <f t="shared" ca="1" si="42"/>
        <v>#REF!</v>
      </c>
      <c r="Y130" s="1" t="e">
        <f t="shared" ca="1" si="31"/>
        <v>#REF!</v>
      </c>
      <c r="AA130" s="31" t="e">
        <f t="shared" ca="1" si="41"/>
        <v>#REF!</v>
      </c>
      <c r="AC130" s="34" t="e">
        <f t="shared" ca="1" si="32"/>
        <v>#REF!</v>
      </c>
      <c r="AD130" s="34" t="e">
        <f t="shared" ca="1" si="43"/>
        <v>#REF!</v>
      </c>
      <c r="AE130" s="34" t="e">
        <f t="shared" ca="1" si="35"/>
        <v>#REF!</v>
      </c>
    </row>
    <row r="131" spans="1:31" x14ac:dyDescent="0.2">
      <c r="A131" s="29"/>
      <c r="C131" s="29" t="str">
        <f t="shared" si="37"/>
        <v/>
      </c>
      <c r="D131" s="29">
        <f t="shared" si="38"/>
        <v>2040</v>
      </c>
      <c r="E131" s="32" t="e">
        <f t="shared" ca="1" si="40"/>
        <v>#REF!</v>
      </c>
      <c r="F131" s="32" t="e">
        <f t="shared" ca="1" si="40"/>
        <v>#REF!</v>
      </c>
      <c r="G131" s="32" t="e">
        <f t="shared" ca="1" si="40"/>
        <v>#REF!</v>
      </c>
      <c r="H131" s="32" t="e">
        <f t="shared" ca="1" si="40"/>
        <v>#REF!</v>
      </c>
      <c r="I131" s="32" t="e">
        <f t="shared" ca="1" si="40"/>
        <v>#REF!</v>
      </c>
      <c r="J131" s="32" t="e">
        <f t="shared" ca="1" si="40"/>
        <v>#REF!</v>
      </c>
      <c r="K131" s="32" t="e">
        <f t="shared" ca="1" si="40"/>
        <v>#REF!</v>
      </c>
      <c r="L131" s="32" t="e">
        <f t="shared" ca="1" si="40"/>
        <v>#REF!</v>
      </c>
      <c r="M131" s="32" t="e">
        <f t="shared" ca="1" si="40"/>
        <v>#REF!</v>
      </c>
      <c r="N131" s="32" t="e">
        <f t="shared" ca="1" si="40"/>
        <v>#REF!</v>
      </c>
      <c r="O131" s="32" t="e">
        <f t="shared" ca="1" si="40"/>
        <v>#REF!</v>
      </c>
      <c r="P131" s="32" t="e">
        <f t="shared" ca="1" si="40"/>
        <v>#REF!</v>
      </c>
      <c r="Q131" s="32" t="e">
        <f t="shared" ca="1" si="40"/>
        <v>#REF!</v>
      </c>
      <c r="R131">
        <v>0</v>
      </c>
      <c r="S131" s="29" t="str">
        <f t="shared" si="44"/>
        <v/>
      </c>
      <c r="T131" s="29">
        <f t="shared" si="45"/>
        <v>2040</v>
      </c>
      <c r="U131" s="32" t="e">
        <f t="shared" ca="1" si="42"/>
        <v>#REF!</v>
      </c>
      <c r="V131" s="32" t="e">
        <f t="shared" ca="1" si="42"/>
        <v>#REF!</v>
      </c>
      <c r="W131" s="32" t="e">
        <f t="shared" ca="1" si="42"/>
        <v>#REF!</v>
      </c>
      <c r="X131" s="32" t="e">
        <f t="shared" ca="1" si="42"/>
        <v>#REF!</v>
      </c>
      <c r="Y131" s="1" t="e">
        <f t="shared" ca="1" si="31"/>
        <v>#REF!</v>
      </c>
      <c r="AA131" s="31" t="e">
        <f t="shared" ca="1" si="41"/>
        <v>#REF!</v>
      </c>
      <c r="AC131" s="34" t="e">
        <f t="shared" ca="1" si="32"/>
        <v>#REF!</v>
      </c>
      <c r="AD131" s="34" t="e">
        <f t="shared" ca="1" si="43"/>
        <v>#REF!</v>
      </c>
      <c r="AE131" s="34" t="e">
        <f t="shared" ca="1" si="35"/>
        <v>#REF!</v>
      </c>
    </row>
    <row r="132" spans="1:31" x14ac:dyDescent="0.2">
      <c r="A132" s="29"/>
      <c r="C132" s="29" t="str">
        <f t="shared" si="37"/>
        <v/>
      </c>
      <c r="D132" s="29">
        <f t="shared" si="38"/>
        <v>2045</v>
      </c>
      <c r="E132" s="32" t="e">
        <f t="shared" ref="E132:Q141" ca="1" si="46">INDEX(INDIRECT("'"&amp;$B132&amp;"'!"&amp;$A$1),MATCH(E$31,INDIRECT("'"&amp;$B132&amp;"'!G43:G55"),0),MATCH($D132,INDIRECT("'"&amp;$B132&amp;"'!H42:AG42")))</f>
        <v>#REF!</v>
      </c>
      <c r="F132" s="32" t="e">
        <f t="shared" ca="1" si="46"/>
        <v>#REF!</v>
      </c>
      <c r="G132" s="32" t="e">
        <f t="shared" ca="1" si="46"/>
        <v>#REF!</v>
      </c>
      <c r="H132" s="32" t="e">
        <f t="shared" ca="1" si="46"/>
        <v>#REF!</v>
      </c>
      <c r="I132" s="32" t="e">
        <f t="shared" ca="1" si="46"/>
        <v>#REF!</v>
      </c>
      <c r="J132" s="32" t="e">
        <f t="shared" ca="1" si="46"/>
        <v>#REF!</v>
      </c>
      <c r="K132" s="32" t="e">
        <f t="shared" ca="1" si="46"/>
        <v>#REF!</v>
      </c>
      <c r="L132" s="32" t="e">
        <f t="shared" ca="1" si="46"/>
        <v>#REF!</v>
      </c>
      <c r="M132" s="32" t="e">
        <f t="shared" ca="1" si="46"/>
        <v>#REF!</v>
      </c>
      <c r="N132" s="32" t="e">
        <f t="shared" ca="1" si="46"/>
        <v>#REF!</v>
      </c>
      <c r="O132" s="32" t="e">
        <f t="shared" ca="1" si="46"/>
        <v>#REF!</v>
      </c>
      <c r="P132" s="32" t="e">
        <f t="shared" ca="1" si="46"/>
        <v>#REF!</v>
      </c>
      <c r="Q132" s="32" t="e">
        <f t="shared" ca="1" si="46"/>
        <v>#REF!</v>
      </c>
      <c r="R132">
        <v>0</v>
      </c>
      <c r="S132" s="29" t="str">
        <f t="shared" si="44"/>
        <v/>
      </c>
      <c r="T132" s="29">
        <f t="shared" si="45"/>
        <v>2045</v>
      </c>
      <c r="U132" s="32" t="e">
        <f t="shared" ca="1" si="42"/>
        <v>#REF!</v>
      </c>
      <c r="V132" s="32" t="e">
        <f t="shared" ca="1" si="42"/>
        <v>#REF!</v>
      </c>
      <c r="W132" s="32" t="e">
        <f t="shared" ca="1" si="42"/>
        <v>#REF!</v>
      </c>
      <c r="X132" s="32" t="e">
        <f t="shared" ca="1" si="42"/>
        <v>#REF!</v>
      </c>
      <c r="Y132" s="1" t="e">
        <f t="shared" ca="1" si="31"/>
        <v>#REF!</v>
      </c>
      <c r="AA132" s="31" t="e">
        <f t="shared" ca="1" si="41"/>
        <v>#REF!</v>
      </c>
      <c r="AC132" s="34" t="e">
        <f t="shared" ca="1" si="32"/>
        <v>#REF!</v>
      </c>
      <c r="AD132" s="34" t="e">
        <f t="shared" ca="1" si="43"/>
        <v>#REF!</v>
      </c>
      <c r="AE132" s="34" t="e">
        <f t="shared" ca="1" si="35"/>
        <v>#REF!</v>
      </c>
    </row>
    <row r="133" spans="1:31" x14ac:dyDescent="0.2">
      <c r="A133" s="29"/>
      <c r="C133" s="29" t="str">
        <f t="shared" si="37"/>
        <v/>
      </c>
      <c r="D133" s="29">
        <f t="shared" si="38"/>
        <v>2050</v>
      </c>
      <c r="E133" s="32" t="e">
        <f t="shared" ca="1" si="46"/>
        <v>#REF!</v>
      </c>
      <c r="F133" s="32" t="e">
        <f t="shared" ca="1" si="46"/>
        <v>#REF!</v>
      </c>
      <c r="G133" s="32" t="e">
        <f t="shared" ca="1" si="46"/>
        <v>#REF!</v>
      </c>
      <c r="H133" s="32" t="e">
        <f t="shared" ca="1" si="46"/>
        <v>#REF!</v>
      </c>
      <c r="I133" s="32" t="e">
        <f t="shared" ca="1" si="46"/>
        <v>#REF!</v>
      </c>
      <c r="J133" s="32" t="e">
        <f t="shared" ca="1" si="46"/>
        <v>#REF!</v>
      </c>
      <c r="K133" s="32" t="e">
        <f t="shared" ca="1" si="46"/>
        <v>#REF!</v>
      </c>
      <c r="L133" s="32" t="e">
        <f t="shared" ca="1" si="46"/>
        <v>#REF!</v>
      </c>
      <c r="M133" s="32" t="e">
        <f t="shared" ca="1" si="46"/>
        <v>#REF!</v>
      </c>
      <c r="N133" s="32" t="e">
        <f t="shared" ca="1" si="46"/>
        <v>#REF!</v>
      </c>
      <c r="O133" s="32" t="e">
        <f t="shared" ca="1" si="46"/>
        <v>#REF!</v>
      </c>
      <c r="P133" s="32" t="e">
        <f t="shared" ca="1" si="46"/>
        <v>#REF!</v>
      </c>
      <c r="Q133" s="32" t="e">
        <f t="shared" ca="1" si="46"/>
        <v>#REF!</v>
      </c>
      <c r="R133">
        <v>0</v>
      </c>
      <c r="S133" s="29" t="str">
        <f t="shared" si="44"/>
        <v/>
      </c>
      <c r="T133" s="29">
        <f t="shared" si="45"/>
        <v>2050</v>
      </c>
      <c r="U133" s="32" t="e">
        <f t="shared" ca="1" si="42"/>
        <v>#REF!</v>
      </c>
      <c r="V133" s="32" t="e">
        <f t="shared" ca="1" si="42"/>
        <v>#REF!</v>
      </c>
      <c r="W133" s="32" t="e">
        <f t="shared" ca="1" si="42"/>
        <v>#REF!</v>
      </c>
      <c r="X133" s="32" t="e">
        <f t="shared" ca="1" si="42"/>
        <v>#REF!</v>
      </c>
      <c r="Y133" s="1" t="e">
        <f t="shared" ca="1" si="31"/>
        <v>#REF!</v>
      </c>
      <c r="AA133" s="31" t="e">
        <f t="shared" ca="1" si="41"/>
        <v>#REF!</v>
      </c>
      <c r="AC133" s="34" t="e">
        <f t="shared" ca="1" si="32"/>
        <v>#REF!</v>
      </c>
      <c r="AD133" s="34" t="e">
        <f t="shared" ca="1" si="43"/>
        <v>#REF!</v>
      </c>
      <c r="AE133" s="34" t="e">
        <f t="shared" ca="1" si="35"/>
        <v>#REF!</v>
      </c>
    </row>
    <row r="134" spans="1:31" x14ac:dyDescent="0.2">
      <c r="A134" s="29"/>
      <c r="C134" s="29" t="str">
        <f t="shared" si="37"/>
        <v/>
      </c>
      <c r="D134" s="29">
        <f t="shared" si="38"/>
        <v>2025</v>
      </c>
      <c r="E134" s="32" t="e">
        <f t="shared" ca="1" si="46"/>
        <v>#REF!</v>
      </c>
      <c r="F134" s="32" t="e">
        <f t="shared" ca="1" si="46"/>
        <v>#REF!</v>
      </c>
      <c r="G134" s="32" t="e">
        <f t="shared" ca="1" si="46"/>
        <v>#REF!</v>
      </c>
      <c r="H134" s="32" t="e">
        <f t="shared" ca="1" si="46"/>
        <v>#REF!</v>
      </c>
      <c r="I134" s="32" t="e">
        <f t="shared" ca="1" si="46"/>
        <v>#REF!</v>
      </c>
      <c r="J134" s="32" t="e">
        <f t="shared" ca="1" si="46"/>
        <v>#REF!</v>
      </c>
      <c r="K134" s="32" t="e">
        <f t="shared" ca="1" si="46"/>
        <v>#REF!</v>
      </c>
      <c r="L134" s="32" t="e">
        <f t="shared" ca="1" si="46"/>
        <v>#REF!</v>
      </c>
      <c r="M134" s="32" t="e">
        <f t="shared" ca="1" si="46"/>
        <v>#REF!</v>
      </c>
      <c r="N134" s="32" t="e">
        <f t="shared" ca="1" si="46"/>
        <v>#REF!</v>
      </c>
      <c r="O134" s="32" t="e">
        <f t="shared" ca="1" si="46"/>
        <v>#REF!</v>
      </c>
      <c r="P134" s="32" t="e">
        <f t="shared" ca="1" si="46"/>
        <v>#REF!</v>
      </c>
      <c r="Q134" s="32" t="e">
        <f t="shared" ca="1" si="46"/>
        <v>#REF!</v>
      </c>
      <c r="R134">
        <v>0</v>
      </c>
      <c r="S134" s="29" t="str">
        <f t="shared" si="44"/>
        <v/>
      </c>
      <c r="T134" s="29">
        <f t="shared" si="45"/>
        <v>2025</v>
      </c>
      <c r="U134" s="32" t="e">
        <f t="shared" ca="1" si="42"/>
        <v>#REF!</v>
      </c>
      <c r="V134" s="32" t="e">
        <f t="shared" ca="1" si="42"/>
        <v>#REF!</v>
      </c>
      <c r="W134" s="32" t="e">
        <f t="shared" ca="1" si="42"/>
        <v>#REF!</v>
      </c>
      <c r="X134" s="32" t="e">
        <f t="shared" ca="1" si="42"/>
        <v>#REF!</v>
      </c>
      <c r="Y134" s="1">
        <f t="shared" si="31"/>
        <v>0</v>
      </c>
      <c r="AA134" s="31" t="e">
        <f t="shared" ca="1" si="41"/>
        <v>#REF!</v>
      </c>
      <c r="AC134" s="34" t="e">
        <f t="shared" ca="1" si="32"/>
        <v>#REF!</v>
      </c>
      <c r="AD134" s="34" t="e">
        <f t="shared" ca="1" si="43"/>
        <v>#REF!</v>
      </c>
      <c r="AE134" s="34" t="e">
        <f t="shared" ca="1" si="35"/>
        <v>#REF!</v>
      </c>
    </row>
    <row r="135" spans="1:31" x14ac:dyDescent="0.2">
      <c r="A135" s="29"/>
      <c r="C135" s="29" t="str">
        <f t="shared" si="37"/>
        <v/>
      </c>
      <c r="D135" s="29">
        <f t="shared" si="38"/>
        <v>2030</v>
      </c>
      <c r="E135" s="32" t="e">
        <f t="shared" ca="1" si="46"/>
        <v>#REF!</v>
      </c>
      <c r="F135" s="32" t="e">
        <f t="shared" ca="1" si="46"/>
        <v>#REF!</v>
      </c>
      <c r="G135" s="32" t="e">
        <f t="shared" ca="1" si="46"/>
        <v>#REF!</v>
      </c>
      <c r="H135" s="32" t="e">
        <f t="shared" ca="1" si="46"/>
        <v>#REF!</v>
      </c>
      <c r="I135" s="32" t="e">
        <f t="shared" ca="1" si="46"/>
        <v>#REF!</v>
      </c>
      <c r="J135" s="32" t="e">
        <f t="shared" ca="1" si="46"/>
        <v>#REF!</v>
      </c>
      <c r="K135" s="32" t="e">
        <f t="shared" ca="1" si="46"/>
        <v>#REF!</v>
      </c>
      <c r="L135" s="32" t="e">
        <f t="shared" ca="1" si="46"/>
        <v>#REF!</v>
      </c>
      <c r="M135" s="32" t="e">
        <f t="shared" ca="1" si="46"/>
        <v>#REF!</v>
      </c>
      <c r="N135" s="32" t="e">
        <f t="shared" ca="1" si="46"/>
        <v>#REF!</v>
      </c>
      <c r="O135" s="32" t="e">
        <f t="shared" ca="1" si="46"/>
        <v>#REF!</v>
      </c>
      <c r="P135" s="32" t="e">
        <f t="shared" ca="1" si="46"/>
        <v>#REF!</v>
      </c>
      <c r="Q135" s="32" t="e">
        <f t="shared" ca="1" si="46"/>
        <v>#REF!</v>
      </c>
      <c r="R135">
        <v>0</v>
      </c>
      <c r="S135" s="29" t="str">
        <f t="shared" si="44"/>
        <v/>
      </c>
      <c r="T135" s="29">
        <f t="shared" si="45"/>
        <v>2030</v>
      </c>
      <c r="U135" s="32" t="e">
        <f t="shared" ca="1" si="42"/>
        <v>#REF!</v>
      </c>
      <c r="V135" s="32" t="e">
        <f t="shared" ca="1" si="42"/>
        <v>#REF!</v>
      </c>
      <c r="W135" s="32" t="e">
        <f t="shared" ca="1" si="42"/>
        <v>#REF!</v>
      </c>
      <c r="X135" s="32" t="e">
        <f t="shared" ca="1" si="42"/>
        <v>#REF!</v>
      </c>
      <c r="Y135" s="1" t="e">
        <f t="shared" ca="1" si="31"/>
        <v>#REF!</v>
      </c>
      <c r="AA135" s="31" t="e">
        <f t="shared" ca="1" si="41"/>
        <v>#REF!</v>
      </c>
      <c r="AC135" s="34" t="e">
        <f t="shared" ca="1" si="32"/>
        <v>#REF!</v>
      </c>
      <c r="AD135" s="34" t="e">
        <f t="shared" ca="1" si="43"/>
        <v>#REF!</v>
      </c>
      <c r="AE135" s="34" t="e">
        <f t="shared" ca="1" si="35"/>
        <v>#REF!</v>
      </c>
    </row>
    <row r="136" spans="1:31" x14ac:dyDescent="0.2">
      <c r="A136" s="29"/>
      <c r="C136" s="29" t="str">
        <f t="shared" si="37"/>
        <v/>
      </c>
      <c r="D136" s="29">
        <f t="shared" si="38"/>
        <v>2035</v>
      </c>
      <c r="E136" s="32" t="e">
        <f t="shared" ca="1" si="46"/>
        <v>#REF!</v>
      </c>
      <c r="F136" s="32" t="e">
        <f t="shared" ca="1" si="46"/>
        <v>#REF!</v>
      </c>
      <c r="G136" s="32" t="e">
        <f t="shared" ca="1" si="46"/>
        <v>#REF!</v>
      </c>
      <c r="H136" s="32" t="e">
        <f t="shared" ca="1" si="46"/>
        <v>#REF!</v>
      </c>
      <c r="I136" s="32" t="e">
        <f t="shared" ca="1" si="46"/>
        <v>#REF!</v>
      </c>
      <c r="J136" s="32" t="e">
        <f t="shared" ca="1" si="46"/>
        <v>#REF!</v>
      </c>
      <c r="K136" s="32" t="e">
        <f t="shared" ca="1" si="46"/>
        <v>#REF!</v>
      </c>
      <c r="L136" s="32" t="e">
        <f t="shared" ca="1" si="46"/>
        <v>#REF!</v>
      </c>
      <c r="M136" s="32" t="e">
        <f t="shared" ca="1" si="46"/>
        <v>#REF!</v>
      </c>
      <c r="N136" s="32" t="e">
        <f t="shared" ca="1" si="46"/>
        <v>#REF!</v>
      </c>
      <c r="O136" s="32" t="e">
        <f t="shared" ca="1" si="46"/>
        <v>#REF!</v>
      </c>
      <c r="P136" s="32" t="e">
        <f t="shared" ca="1" si="46"/>
        <v>#REF!</v>
      </c>
      <c r="Q136" s="32" t="e">
        <f t="shared" ca="1" si="46"/>
        <v>#REF!</v>
      </c>
      <c r="R136">
        <v>0</v>
      </c>
      <c r="S136" s="29" t="str">
        <f t="shared" si="44"/>
        <v/>
      </c>
      <c r="T136" s="29">
        <f t="shared" si="45"/>
        <v>2035</v>
      </c>
      <c r="U136" s="32" t="e">
        <f t="shared" ca="1" si="42"/>
        <v>#REF!</v>
      </c>
      <c r="V136" s="32" t="e">
        <f t="shared" ca="1" si="42"/>
        <v>#REF!</v>
      </c>
      <c r="W136" s="32" t="e">
        <f t="shared" ca="1" si="42"/>
        <v>#REF!</v>
      </c>
      <c r="X136" s="32" t="e">
        <f t="shared" ca="1" si="42"/>
        <v>#REF!</v>
      </c>
      <c r="Y136" s="1" t="e">
        <f t="shared" ca="1" si="31"/>
        <v>#REF!</v>
      </c>
      <c r="AA136" s="31" t="e">
        <f t="shared" ca="1" si="41"/>
        <v>#REF!</v>
      </c>
      <c r="AC136" s="34" t="e">
        <f t="shared" ca="1" si="32"/>
        <v>#REF!</v>
      </c>
      <c r="AD136" s="34" t="e">
        <f t="shared" ca="1" si="43"/>
        <v>#REF!</v>
      </c>
      <c r="AE136" s="34" t="e">
        <f t="shared" ca="1" si="35"/>
        <v>#REF!</v>
      </c>
    </row>
    <row r="137" spans="1:31" x14ac:dyDescent="0.2">
      <c r="A137" s="29"/>
      <c r="C137" s="29" t="str">
        <f t="shared" si="37"/>
        <v/>
      </c>
      <c r="D137" s="29">
        <f t="shared" si="38"/>
        <v>2040</v>
      </c>
      <c r="E137" s="32" t="e">
        <f t="shared" ca="1" si="46"/>
        <v>#REF!</v>
      </c>
      <c r="F137" s="32" t="e">
        <f t="shared" ca="1" si="46"/>
        <v>#REF!</v>
      </c>
      <c r="G137" s="32" t="e">
        <f t="shared" ca="1" si="46"/>
        <v>#REF!</v>
      </c>
      <c r="H137" s="32" t="e">
        <f t="shared" ca="1" si="46"/>
        <v>#REF!</v>
      </c>
      <c r="I137" s="32" t="e">
        <f t="shared" ca="1" si="46"/>
        <v>#REF!</v>
      </c>
      <c r="J137" s="32" t="e">
        <f t="shared" ca="1" si="46"/>
        <v>#REF!</v>
      </c>
      <c r="K137" s="32" t="e">
        <f t="shared" ca="1" si="46"/>
        <v>#REF!</v>
      </c>
      <c r="L137" s="32" t="e">
        <f t="shared" ca="1" si="46"/>
        <v>#REF!</v>
      </c>
      <c r="M137" s="32" t="e">
        <f t="shared" ca="1" si="46"/>
        <v>#REF!</v>
      </c>
      <c r="N137" s="32" t="e">
        <f t="shared" ca="1" si="46"/>
        <v>#REF!</v>
      </c>
      <c r="O137" s="32" t="e">
        <f t="shared" ca="1" si="46"/>
        <v>#REF!</v>
      </c>
      <c r="P137" s="32" t="e">
        <f t="shared" ca="1" si="46"/>
        <v>#REF!</v>
      </c>
      <c r="Q137" s="32" t="e">
        <f t="shared" ca="1" si="46"/>
        <v>#REF!</v>
      </c>
      <c r="R137">
        <v>0</v>
      </c>
      <c r="S137" s="29" t="str">
        <f t="shared" si="44"/>
        <v/>
      </c>
      <c r="T137" s="29">
        <f t="shared" si="45"/>
        <v>2040</v>
      </c>
      <c r="U137" s="32" t="e">
        <f t="shared" ca="1" si="42"/>
        <v>#REF!</v>
      </c>
      <c r="V137" s="32" t="e">
        <f t="shared" ca="1" si="42"/>
        <v>#REF!</v>
      </c>
      <c r="W137" s="32" t="e">
        <f t="shared" ca="1" si="42"/>
        <v>#REF!</v>
      </c>
      <c r="X137" s="32" t="e">
        <f t="shared" ca="1" si="42"/>
        <v>#REF!</v>
      </c>
      <c r="Y137" s="1" t="e">
        <f t="shared" ca="1" si="31"/>
        <v>#REF!</v>
      </c>
      <c r="AA137" s="31" t="e">
        <f t="shared" ca="1" si="41"/>
        <v>#REF!</v>
      </c>
      <c r="AC137" s="34" t="e">
        <f t="shared" ca="1" si="32"/>
        <v>#REF!</v>
      </c>
      <c r="AD137" s="34" t="e">
        <f t="shared" ca="1" si="43"/>
        <v>#REF!</v>
      </c>
      <c r="AE137" s="34" t="e">
        <f t="shared" ca="1" si="35"/>
        <v>#REF!</v>
      </c>
    </row>
    <row r="138" spans="1:31" x14ac:dyDescent="0.2">
      <c r="A138" s="29"/>
      <c r="C138" s="29" t="str">
        <f t="shared" si="37"/>
        <v/>
      </c>
      <c r="D138" s="29">
        <f t="shared" si="38"/>
        <v>2045</v>
      </c>
      <c r="E138" s="32" t="e">
        <f t="shared" ca="1" si="46"/>
        <v>#REF!</v>
      </c>
      <c r="F138" s="32" t="e">
        <f t="shared" ca="1" si="46"/>
        <v>#REF!</v>
      </c>
      <c r="G138" s="32" t="e">
        <f t="shared" ca="1" si="46"/>
        <v>#REF!</v>
      </c>
      <c r="H138" s="32" t="e">
        <f t="shared" ca="1" si="46"/>
        <v>#REF!</v>
      </c>
      <c r="I138" s="32" t="e">
        <f t="shared" ca="1" si="46"/>
        <v>#REF!</v>
      </c>
      <c r="J138" s="32" t="e">
        <f t="shared" ca="1" si="46"/>
        <v>#REF!</v>
      </c>
      <c r="K138" s="32" t="e">
        <f t="shared" ca="1" si="46"/>
        <v>#REF!</v>
      </c>
      <c r="L138" s="32" t="e">
        <f t="shared" ca="1" si="46"/>
        <v>#REF!</v>
      </c>
      <c r="M138" s="32" t="e">
        <f t="shared" ca="1" si="46"/>
        <v>#REF!</v>
      </c>
      <c r="N138" s="32" t="e">
        <f t="shared" ca="1" si="46"/>
        <v>#REF!</v>
      </c>
      <c r="O138" s="32" t="e">
        <f t="shared" ca="1" si="46"/>
        <v>#REF!</v>
      </c>
      <c r="P138" s="32" t="e">
        <f t="shared" ca="1" si="46"/>
        <v>#REF!</v>
      </c>
      <c r="Q138" s="32" t="e">
        <f t="shared" ca="1" si="46"/>
        <v>#REF!</v>
      </c>
      <c r="R138">
        <v>0</v>
      </c>
      <c r="S138" s="29" t="str">
        <f t="shared" si="44"/>
        <v/>
      </c>
      <c r="T138" s="29">
        <f t="shared" si="45"/>
        <v>2045</v>
      </c>
      <c r="U138" s="32" t="e">
        <f t="shared" ca="1" si="42"/>
        <v>#REF!</v>
      </c>
      <c r="V138" s="32" t="e">
        <f t="shared" ca="1" si="42"/>
        <v>#REF!</v>
      </c>
      <c r="W138" s="32" t="e">
        <f t="shared" ca="1" si="42"/>
        <v>#REF!</v>
      </c>
      <c r="X138" s="32" t="e">
        <f t="shared" ca="1" si="42"/>
        <v>#REF!</v>
      </c>
      <c r="Y138" s="1" t="e">
        <f t="shared" ca="1" si="31"/>
        <v>#REF!</v>
      </c>
      <c r="AA138" s="31" t="e">
        <f t="shared" ca="1" si="41"/>
        <v>#REF!</v>
      </c>
      <c r="AC138" s="34" t="e">
        <f t="shared" ca="1" si="32"/>
        <v>#REF!</v>
      </c>
      <c r="AD138" s="34" t="e">
        <f t="shared" ca="1" si="43"/>
        <v>#REF!</v>
      </c>
      <c r="AE138" s="34" t="e">
        <f t="shared" ca="1" si="35"/>
        <v>#REF!</v>
      </c>
    </row>
    <row r="139" spans="1:31" x14ac:dyDescent="0.2">
      <c r="A139" s="29"/>
      <c r="C139" s="29" t="str">
        <f t="shared" si="37"/>
        <v/>
      </c>
      <c r="D139" s="29">
        <f t="shared" si="38"/>
        <v>2050</v>
      </c>
      <c r="E139" s="32" t="e">
        <f t="shared" ca="1" si="46"/>
        <v>#REF!</v>
      </c>
      <c r="F139" s="32" t="e">
        <f t="shared" ca="1" si="46"/>
        <v>#REF!</v>
      </c>
      <c r="G139" s="32" t="e">
        <f t="shared" ca="1" si="46"/>
        <v>#REF!</v>
      </c>
      <c r="H139" s="32" t="e">
        <f t="shared" ca="1" si="46"/>
        <v>#REF!</v>
      </c>
      <c r="I139" s="32" t="e">
        <f t="shared" ca="1" si="46"/>
        <v>#REF!</v>
      </c>
      <c r="J139" s="32" t="e">
        <f t="shared" ca="1" si="46"/>
        <v>#REF!</v>
      </c>
      <c r="K139" s="32" t="e">
        <f t="shared" ca="1" si="46"/>
        <v>#REF!</v>
      </c>
      <c r="L139" s="32" t="e">
        <f t="shared" ca="1" si="46"/>
        <v>#REF!</v>
      </c>
      <c r="M139" s="32" t="e">
        <f t="shared" ca="1" si="46"/>
        <v>#REF!</v>
      </c>
      <c r="N139" s="32" t="e">
        <f t="shared" ca="1" si="46"/>
        <v>#REF!</v>
      </c>
      <c r="O139" s="32" t="e">
        <f t="shared" ca="1" si="46"/>
        <v>#REF!</v>
      </c>
      <c r="P139" s="32" t="e">
        <f t="shared" ca="1" si="46"/>
        <v>#REF!</v>
      </c>
      <c r="Q139" s="32" t="e">
        <f t="shared" ca="1" si="46"/>
        <v>#REF!</v>
      </c>
      <c r="R139">
        <v>0</v>
      </c>
      <c r="S139" s="29" t="str">
        <f t="shared" si="44"/>
        <v/>
      </c>
      <c r="T139" s="29">
        <f t="shared" si="45"/>
        <v>2050</v>
      </c>
      <c r="U139" s="32" t="e">
        <f t="shared" ca="1" si="42"/>
        <v>#REF!</v>
      </c>
      <c r="V139" s="32" t="e">
        <f t="shared" ca="1" si="42"/>
        <v>#REF!</v>
      </c>
      <c r="W139" s="32" t="e">
        <f t="shared" ca="1" si="42"/>
        <v>#REF!</v>
      </c>
      <c r="X139" s="32" t="e">
        <f t="shared" ca="1" si="42"/>
        <v>#REF!</v>
      </c>
      <c r="Y139" s="1" t="e">
        <f t="shared" ca="1" si="31"/>
        <v>#REF!</v>
      </c>
      <c r="AA139" s="31" t="e">
        <f t="shared" ca="1" si="41"/>
        <v>#REF!</v>
      </c>
      <c r="AC139" s="34" t="e">
        <f t="shared" ca="1" si="32"/>
        <v>#REF!</v>
      </c>
      <c r="AD139" s="34" t="e">
        <f t="shared" ca="1" si="43"/>
        <v>#REF!</v>
      </c>
      <c r="AE139" s="34" t="e">
        <f t="shared" ca="1" si="35"/>
        <v>#REF!</v>
      </c>
    </row>
    <row r="140" spans="1:31" x14ac:dyDescent="0.2">
      <c r="A140" s="29"/>
      <c r="C140" s="29" t="str">
        <f t="shared" si="37"/>
        <v/>
      </c>
      <c r="D140" s="29">
        <f t="shared" si="38"/>
        <v>2025</v>
      </c>
      <c r="E140" s="32" t="e">
        <f t="shared" ca="1" si="46"/>
        <v>#REF!</v>
      </c>
      <c r="F140" s="32" t="e">
        <f t="shared" ca="1" si="46"/>
        <v>#REF!</v>
      </c>
      <c r="G140" s="32" t="e">
        <f t="shared" ca="1" si="46"/>
        <v>#REF!</v>
      </c>
      <c r="H140" s="32" t="e">
        <f t="shared" ca="1" si="46"/>
        <v>#REF!</v>
      </c>
      <c r="I140" s="32" t="e">
        <f t="shared" ca="1" si="46"/>
        <v>#REF!</v>
      </c>
      <c r="J140" s="32" t="e">
        <f t="shared" ca="1" si="46"/>
        <v>#REF!</v>
      </c>
      <c r="K140" s="32" t="e">
        <f t="shared" ca="1" si="46"/>
        <v>#REF!</v>
      </c>
      <c r="L140" s="32" t="e">
        <f t="shared" ca="1" si="46"/>
        <v>#REF!</v>
      </c>
      <c r="M140" s="32" t="e">
        <f t="shared" ca="1" si="46"/>
        <v>#REF!</v>
      </c>
      <c r="N140" s="32" t="e">
        <f t="shared" ca="1" si="46"/>
        <v>#REF!</v>
      </c>
      <c r="O140" s="32" t="e">
        <f t="shared" ca="1" si="46"/>
        <v>#REF!</v>
      </c>
      <c r="P140" s="32" t="e">
        <f t="shared" ca="1" si="46"/>
        <v>#REF!</v>
      </c>
      <c r="Q140" s="32" t="e">
        <f t="shared" ca="1" si="46"/>
        <v>#REF!</v>
      </c>
      <c r="R140">
        <v>0</v>
      </c>
      <c r="S140" s="29" t="str">
        <f t="shared" si="44"/>
        <v/>
      </c>
      <c r="T140" s="29">
        <f t="shared" si="45"/>
        <v>2025</v>
      </c>
      <c r="U140" s="32" t="e">
        <f t="shared" ca="1" si="42"/>
        <v>#REF!</v>
      </c>
      <c r="V140" s="32" t="e">
        <f t="shared" ca="1" si="42"/>
        <v>#REF!</v>
      </c>
      <c r="W140" s="32" t="e">
        <f t="shared" ca="1" si="42"/>
        <v>#REF!</v>
      </c>
      <c r="X140" s="32" t="e">
        <f t="shared" ca="1" si="42"/>
        <v>#REF!</v>
      </c>
      <c r="Y140" s="1">
        <f t="shared" si="31"/>
        <v>0</v>
      </c>
      <c r="AA140" s="31" t="e">
        <f t="shared" ca="1" si="41"/>
        <v>#REF!</v>
      </c>
      <c r="AC140" s="34" t="e">
        <f t="shared" ca="1" si="32"/>
        <v>#REF!</v>
      </c>
      <c r="AD140" s="34" t="e">
        <f t="shared" ca="1" si="43"/>
        <v>#REF!</v>
      </c>
      <c r="AE140" s="34" t="e">
        <f t="shared" ca="1" si="35"/>
        <v>#REF!</v>
      </c>
    </row>
    <row r="141" spans="1:31" x14ac:dyDescent="0.2">
      <c r="A141" s="29"/>
      <c r="C141" s="29" t="str">
        <f t="shared" si="37"/>
        <v/>
      </c>
      <c r="D141" s="29">
        <f t="shared" si="38"/>
        <v>2030</v>
      </c>
      <c r="E141" s="32" t="e">
        <f t="shared" ca="1" si="46"/>
        <v>#REF!</v>
      </c>
      <c r="F141" s="32" t="e">
        <f t="shared" ca="1" si="46"/>
        <v>#REF!</v>
      </c>
      <c r="G141" s="32" t="e">
        <f t="shared" ca="1" si="46"/>
        <v>#REF!</v>
      </c>
      <c r="H141" s="32" t="e">
        <f t="shared" ca="1" si="46"/>
        <v>#REF!</v>
      </c>
      <c r="I141" s="32" t="e">
        <f t="shared" ca="1" si="46"/>
        <v>#REF!</v>
      </c>
      <c r="J141" s="32" t="e">
        <f t="shared" ca="1" si="46"/>
        <v>#REF!</v>
      </c>
      <c r="K141" s="32" t="e">
        <f t="shared" ca="1" si="46"/>
        <v>#REF!</v>
      </c>
      <c r="L141" s="32" t="e">
        <f t="shared" ca="1" si="46"/>
        <v>#REF!</v>
      </c>
      <c r="M141" s="32" t="e">
        <f t="shared" ca="1" si="46"/>
        <v>#REF!</v>
      </c>
      <c r="N141" s="32" t="e">
        <f t="shared" ca="1" si="46"/>
        <v>#REF!</v>
      </c>
      <c r="O141" s="32" t="e">
        <f t="shared" ca="1" si="46"/>
        <v>#REF!</v>
      </c>
      <c r="P141" s="32" t="e">
        <f t="shared" ca="1" si="46"/>
        <v>#REF!</v>
      </c>
      <c r="Q141" s="32" t="e">
        <f t="shared" ca="1" si="46"/>
        <v>#REF!</v>
      </c>
      <c r="R141">
        <v>0</v>
      </c>
      <c r="S141" s="29" t="str">
        <f t="shared" si="44"/>
        <v/>
      </c>
      <c r="T141" s="29">
        <f t="shared" si="45"/>
        <v>2030</v>
      </c>
      <c r="U141" s="32" t="e">
        <f t="shared" ca="1" si="42"/>
        <v>#REF!</v>
      </c>
      <c r="V141" s="32" t="e">
        <f t="shared" ca="1" si="42"/>
        <v>#REF!</v>
      </c>
      <c r="W141" s="32" t="e">
        <f t="shared" ca="1" si="42"/>
        <v>#REF!</v>
      </c>
      <c r="X141" s="32" t="e">
        <f t="shared" ca="1" si="42"/>
        <v>#REF!</v>
      </c>
      <c r="Y141" s="1" t="e">
        <f t="shared" ca="1" si="31"/>
        <v>#REF!</v>
      </c>
      <c r="AA141" s="31" t="e">
        <f t="shared" ca="1" si="41"/>
        <v>#REF!</v>
      </c>
      <c r="AC141" s="34" t="e">
        <f t="shared" ca="1" si="32"/>
        <v>#REF!</v>
      </c>
      <c r="AD141" s="34" t="e">
        <f t="shared" ca="1" si="43"/>
        <v>#REF!</v>
      </c>
      <c r="AE141" s="34" t="e">
        <f t="shared" ca="1" si="35"/>
        <v>#REF!</v>
      </c>
    </row>
    <row r="142" spans="1:31" x14ac:dyDescent="0.2">
      <c r="A142" s="29"/>
      <c r="C142" s="29" t="str">
        <f t="shared" si="37"/>
        <v/>
      </c>
      <c r="D142" s="29">
        <f t="shared" si="38"/>
        <v>2035</v>
      </c>
      <c r="E142" s="32" t="e">
        <f t="shared" ref="E142:Q151" ca="1" si="47">INDEX(INDIRECT("'"&amp;$B142&amp;"'!"&amp;$A$1),MATCH(E$31,INDIRECT("'"&amp;$B142&amp;"'!G43:G55"),0),MATCH($D142,INDIRECT("'"&amp;$B142&amp;"'!H42:AG42")))</f>
        <v>#REF!</v>
      </c>
      <c r="F142" s="32" t="e">
        <f t="shared" ca="1" si="47"/>
        <v>#REF!</v>
      </c>
      <c r="G142" s="32" t="e">
        <f t="shared" ca="1" si="47"/>
        <v>#REF!</v>
      </c>
      <c r="H142" s="32" t="e">
        <f t="shared" ca="1" si="47"/>
        <v>#REF!</v>
      </c>
      <c r="I142" s="32" t="e">
        <f t="shared" ca="1" si="47"/>
        <v>#REF!</v>
      </c>
      <c r="J142" s="32" t="e">
        <f t="shared" ca="1" si="47"/>
        <v>#REF!</v>
      </c>
      <c r="K142" s="32" t="e">
        <f t="shared" ca="1" si="47"/>
        <v>#REF!</v>
      </c>
      <c r="L142" s="32" t="e">
        <f t="shared" ca="1" si="47"/>
        <v>#REF!</v>
      </c>
      <c r="M142" s="32" t="e">
        <f t="shared" ca="1" si="47"/>
        <v>#REF!</v>
      </c>
      <c r="N142" s="32" t="e">
        <f t="shared" ca="1" si="47"/>
        <v>#REF!</v>
      </c>
      <c r="O142" s="32" t="e">
        <f t="shared" ca="1" si="47"/>
        <v>#REF!</v>
      </c>
      <c r="P142" s="32" t="e">
        <f t="shared" ca="1" si="47"/>
        <v>#REF!</v>
      </c>
      <c r="Q142" s="32" t="e">
        <f t="shared" ca="1" si="47"/>
        <v>#REF!</v>
      </c>
      <c r="R142">
        <v>0</v>
      </c>
      <c r="S142" s="29" t="str">
        <f t="shared" si="44"/>
        <v/>
      </c>
      <c r="T142" s="29">
        <f t="shared" si="45"/>
        <v>2035</v>
      </c>
      <c r="U142" s="32" t="e">
        <f t="shared" ca="1" si="42"/>
        <v>#REF!</v>
      </c>
      <c r="V142" s="32" t="e">
        <f t="shared" ca="1" si="42"/>
        <v>#REF!</v>
      </c>
      <c r="W142" s="32" t="e">
        <f t="shared" ca="1" si="42"/>
        <v>#REF!</v>
      </c>
      <c r="X142" s="32" t="e">
        <f t="shared" ca="1" si="42"/>
        <v>#REF!</v>
      </c>
      <c r="Y142" s="1" t="e">
        <f t="shared" ca="1" si="31"/>
        <v>#REF!</v>
      </c>
      <c r="AA142" s="31" t="e">
        <f t="shared" ca="1" si="41"/>
        <v>#REF!</v>
      </c>
      <c r="AC142" s="34" t="e">
        <f t="shared" ca="1" si="32"/>
        <v>#REF!</v>
      </c>
      <c r="AD142" s="34" t="e">
        <f t="shared" ca="1" si="43"/>
        <v>#REF!</v>
      </c>
      <c r="AE142" s="34" t="e">
        <f t="shared" ca="1" si="35"/>
        <v>#REF!</v>
      </c>
    </row>
    <row r="143" spans="1:31" x14ac:dyDescent="0.2">
      <c r="A143" s="29"/>
      <c r="C143" s="29" t="str">
        <f t="shared" si="37"/>
        <v/>
      </c>
      <c r="D143" s="29">
        <f t="shared" si="38"/>
        <v>2040</v>
      </c>
      <c r="E143" s="32" t="e">
        <f t="shared" ca="1" si="47"/>
        <v>#REF!</v>
      </c>
      <c r="F143" s="32" t="e">
        <f t="shared" ca="1" si="47"/>
        <v>#REF!</v>
      </c>
      <c r="G143" s="32" t="e">
        <f t="shared" ca="1" si="47"/>
        <v>#REF!</v>
      </c>
      <c r="H143" s="32" t="e">
        <f t="shared" ca="1" si="47"/>
        <v>#REF!</v>
      </c>
      <c r="I143" s="32" t="e">
        <f t="shared" ca="1" si="47"/>
        <v>#REF!</v>
      </c>
      <c r="J143" s="32" t="e">
        <f t="shared" ca="1" si="47"/>
        <v>#REF!</v>
      </c>
      <c r="K143" s="32" t="e">
        <f t="shared" ca="1" si="47"/>
        <v>#REF!</v>
      </c>
      <c r="L143" s="32" t="e">
        <f t="shared" ca="1" si="47"/>
        <v>#REF!</v>
      </c>
      <c r="M143" s="32" t="e">
        <f t="shared" ca="1" si="47"/>
        <v>#REF!</v>
      </c>
      <c r="N143" s="32" t="e">
        <f t="shared" ca="1" si="47"/>
        <v>#REF!</v>
      </c>
      <c r="O143" s="32" t="e">
        <f t="shared" ca="1" si="47"/>
        <v>#REF!</v>
      </c>
      <c r="P143" s="32" t="e">
        <f t="shared" ca="1" si="47"/>
        <v>#REF!</v>
      </c>
      <c r="Q143" s="32" t="e">
        <f t="shared" ca="1" si="47"/>
        <v>#REF!</v>
      </c>
      <c r="R143">
        <v>0</v>
      </c>
      <c r="S143" s="29" t="str">
        <f t="shared" si="44"/>
        <v/>
      </c>
      <c r="T143" s="29">
        <f t="shared" si="45"/>
        <v>2040</v>
      </c>
      <c r="U143" s="32" t="e">
        <f t="shared" ca="1" si="42"/>
        <v>#REF!</v>
      </c>
      <c r="V143" s="32" t="e">
        <f t="shared" ca="1" si="42"/>
        <v>#REF!</v>
      </c>
      <c r="W143" s="32" t="e">
        <f t="shared" ca="1" si="42"/>
        <v>#REF!</v>
      </c>
      <c r="X143" s="32" t="e">
        <f t="shared" ca="1" si="42"/>
        <v>#REF!</v>
      </c>
      <c r="Y143" s="1" t="e">
        <f t="shared" ca="1" si="31"/>
        <v>#REF!</v>
      </c>
      <c r="AA143" s="31" t="e">
        <f t="shared" ca="1" si="41"/>
        <v>#REF!</v>
      </c>
      <c r="AC143" s="34" t="e">
        <f t="shared" ca="1" si="32"/>
        <v>#REF!</v>
      </c>
      <c r="AD143" s="34" t="e">
        <f t="shared" ca="1" si="43"/>
        <v>#REF!</v>
      </c>
      <c r="AE143" s="34" t="e">
        <f t="shared" ca="1" si="35"/>
        <v>#REF!</v>
      </c>
    </row>
    <row r="144" spans="1:31" x14ac:dyDescent="0.2">
      <c r="A144" s="29"/>
      <c r="C144" s="29" t="str">
        <f t="shared" si="37"/>
        <v/>
      </c>
      <c r="D144" s="29">
        <f t="shared" si="38"/>
        <v>2045</v>
      </c>
      <c r="E144" s="32" t="e">
        <f t="shared" ca="1" si="47"/>
        <v>#REF!</v>
      </c>
      <c r="F144" s="32" t="e">
        <f t="shared" ca="1" si="47"/>
        <v>#REF!</v>
      </c>
      <c r="G144" s="32" t="e">
        <f t="shared" ca="1" si="47"/>
        <v>#REF!</v>
      </c>
      <c r="H144" s="32" t="e">
        <f t="shared" ca="1" si="47"/>
        <v>#REF!</v>
      </c>
      <c r="I144" s="32" t="e">
        <f t="shared" ca="1" si="47"/>
        <v>#REF!</v>
      </c>
      <c r="J144" s="32" t="e">
        <f t="shared" ca="1" si="47"/>
        <v>#REF!</v>
      </c>
      <c r="K144" s="32" t="e">
        <f t="shared" ca="1" si="47"/>
        <v>#REF!</v>
      </c>
      <c r="L144" s="32" t="e">
        <f t="shared" ca="1" si="47"/>
        <v>#REF!</v>
      </c>
      <c r="M144" s="32" t="e">
        <f t="shared" ca="1" si="47"/>
        <v>#REF!</v>
      </c>
      <c r="N144" s="32" t="e">
        <f t="shared" ca="1" si="47"/>
        <v>#REF!</v>
      </c>
      <c r="O144" s="32" t="e">
        <f t="shared" ca="1" si="47"/>
        <v>#REF!</v>
      </c>
      <c r="P144" s="32" t="e">
        <f t="shared" ca="1" si="47"/>
        <v>#REF!</v>
      </c>
      <c r="Q144" s="32" t="e">
        <f t="shared" ca="1" si="47"/>
        <v>#REF!</v>
      </c>
      <c r="R144">
        <v>0</v>
      </c>
      <c r="S144" s="29" t="str">
        <f t="shared" si="44"/>
        <v/>
      </c>
      <c r="T144" s="29">
        <f t="shared" si="45"/>
        <v>2045</v>
      </c>
      <c r="U144" s="32" t="e">
        <f t="shared" ca="1" si="42"/>
        <v>#REF!</v>
      </c>
      <c r="V144" s="32" t="e">
        <f t="shared" ca="1" si="42"/>
        <v>#REF!</v>
      </c>
      <c r="W144" s="32" t="e">
        <f t="shared" ca="1" si="42"/>
        <v>#REF!</v>
      </c>
      <c r="X144" s="32" t="e">
        <f t="shared" ca="1" si="42"/>
        <v>#REF!</v>
      </c>
      <c r="Y144" s="1" t="e">
        <f t="shared" ca="1" si="31"/>
        <v>#REF!</v>
      </c>
      <c r="AA144" s="31" t="e">
        <f t="shared" ca="1" si="41"/>
        <v>#REF!</v>
      </c>
      <c r="AC144" s="34" t="e">
        <f t="shared" ca="1" si="32"/>
        <v>#REF!</v>
      </c>
      <c r="AD144" s="34" t="e">
        <f t="shared" ca="1" si="43"/>
        <v>#REF!</v>
      </c>
      <c r="AE144" s="34" t="e">
        <f t="shared" ca="1" si="35"/>
        <v>#REF!</v>
      </c>
    </row>
    <row r="145" spans="1:31" x14ac:dyDescent="0.2">
      <c r="A145" s="29"/>
      <c r="C145" s="29" t="str">
        <f t="shared" si="37"/>
        <v/>
      </c>
      <c r="D145" s="29">
        <f t="shared" si="38"/>
        <v>2050</v>
      </c>
      <c r="E145" s="32" t="e">
        <f t="shared" ca="1" si="47"/>
        <v>#REF!</v>
      </c>
      <c r="F145" s="32" t="e">
        <f t="shared" ca="1" si="47"/>
        <v>#REF!</v>
      </c>
      <c r="G145" s="32" t="e">
        <f t="shared" ca="1" si="47"/>
        <v>#REF!</v>
      </c>
      <c r="H145" s="32" t="e">
        <f t="shared" ca="1" si="47"/>
        <v>#REF!</v>
      </c>
      <c r="I145" s="32" t="e">
        <f t="shared" ca="1" si="47"/>
        <v>#REF!</v>
      </c>
      <c r="J145" s="32" t="e">
        <f t="shared" ca="1" si="47"/>
        <v>#REF!</v>
      </c>
      <c r="K145" s="32" t="e">
        <f t="shared" ca="1" si="47"/>
        <v>#REF!</v>
      </c>
      <c r="L145" s="32" t="e">
        <f t="shared" ca="1" si="47"/>
        <v>#REF!</v>
      </c>
      <c r="M145" s="32" t="e">
        <f t="shared" ca="1" si="47"/>
        <v>#REF!</v>
      </c>
      <c r="N145" s="32" t="e">
        <f t="shared" ca="1" si="47"/>
        <v>#REF!</v>
      </c>
      <c r="O145" s="32" t="e">
        <f t="shared" ca="1" si="47"/>
        <v>#REF!</v>
      </c>
      <c r="P145" s="32" t="e">
        <f t="shared" ca="1" si="47"/>
        <v>#REF!</v>
      </c>
      <c r="Q145" s="32" t="e">
        <f t="shared" ca="1" si="47"/>
        <v>#REF!</v>
      </c>
      <c r="R145">
        <v>0</v>
      </c>
      <c r="S145" s="29" t="str">
        <f t="shared" si="44"/>
        <v/>
      </c>
      <c r="T145" s="29">
        <f t="shared" si="45"/>
        <v>2050</v>
      </c>
      <c r="U145" s="32" t="e">
        <f t="shared" ca="1" si="42"/>
        <v>#REF!</v>
      </c>
      <c r="V145" s="32" t="e">
        <f t="shared" ca="1" si="42"/>
        <v>#REF!</v>
      </c>
      <c r="W145" s="32" t="e">
        <f t="shared" ca="1" si="42"/>
        <v>#REF!</v>
      </c>
      <c r="X145" s="32" t="e">
        <f t="shared" ca="1" si="42"/>
        <v>#REF!</v>
      </c>
      <c r="Y145" s="1" t="e">
        <f t="shared" ca="1" si="31"/>
        <v>#REF!</v>
      </c>
      <c r="AA145" s="31" t="e">
        <f t="shared" ca="1" si="41"/>
        <v>#REF!</v>
      </c>
      <c r="AC145" s="34" t="e">
        <f t="shared" ca="1" si="32"/>
        <v>#REF!</v>
      </c>
      <c r="AD145" s="34" t="e">
        <f t="shared" ca="1" si="43"/>
        <v>#REF!</v>
      </c>
      <c r="AE145" s="34" t="e">
        <f t="shared" ca="1" si="35"/>
        <v>#REF!</v>
      </c>
    </row>
    <row r="146" spans="1:31" x14ac:dyDescent="0.2">
      <c r="A146" s="29"/>
      <c r="C146" s="29" t="str">
        <f t="shared" si="37"/>
        <v/>
      </c>
      <c r="D146" s="29">
        <f t="shared" si="38"/>
        <v>2025</v>
      </c>
      <c r="E146" s="32" t="e">
        <f t="shared" ca="1" si="47"/>
        <v>#REF!</v>
      </c>
      <c r="F146" s="32" t="e">
        <f t="shared" ca="1" si="47"/>
        <v>#REF!</v>
      </c>
      <c r="G146" s="32" t="e">
        <f t="shared" ca="1" si="47"/>
        <v>#REF!</v>
      </c>
      <c r="H146" s="32" t="e">
        <f t="shared" ca="1" si="47"/>
        <v>#REF!</v>
      </c>
      <c r="I146" s="32" t="e">
        <f t="shared" ca="1" si="47"/>
        <v>#REF!</v>
      </c>
      <c r="J146" s="32" t="e">
        <f t="shared" ca="1" si="47"/>
        <v>#REF!</v>
      </c>
      <c r="K146" s="32" t="e">
        <f t="shared" ca="1" si="47"/>
        <v>#REF!</v>
      </c>
      <c r="L146" s="32" t="e">
        <f t="shared" ca="1" si="47"/>
        <v>#REF!</v>
      </c>
      <c r="M146" s="32" t="e">
        <f t="shared" ca="1" si="47"/>
        <v>#REF!</v>
      </c>
      <c r="N146" s="32" t="e">
        <f t="shared" ca="1" si="47"/>
        <v>#REF!</v>
      </c>
      <c r="O146" s="32" t="e">
        <f t="shared" ca="1" si="47"/>
        <v>#REF!</v>
      </c>
      <c r="P146" s="32" t="e">
        <f t="shared" ca="1" si="47"/>
        <v>#REF!</v>
      </c>
      <c r="Q146" s="32" t="e">
        <f t="shared" ca="1" si="47"/>
        <v>#REF!</v>
      </c>
      <c r="R146">
        <v>0</v>
      </c>
      <c r="S146" s="29" t="str">
        <f t="shared" ref="S146:S163" si="48">C146</f>
        <v/>
      </c>
      <c r="T146" s="29">
        <f t="shared" ref="T146:T163" si="49">D146</f>
        <v>2025</v>
      </c>
      <c r="U146" s="32" t="e">
        <f t="shared" ca="1" si="42"/>
        <v>#REF!</v>
      </c>
      <c r="V146" s="32" t="e">
        <f t="shared" ca="1" si="42"/>
        <v>#REF!</v>
      </c>
      <c r="W146" s="32" t="e">
        <f t="shared" ca="1" si="42"/>
        <v>#REF!</v>
      </c>
      <c r="X146" s="32" t="e">
        <f t="shared" ca="1" si="42"/>
        <v>#REF!</v>
      </c>
      <c r="Y146" s="1">
        <f t="shared" si="31"/>
        <v>0</v>
      </c>
      <c r="AA146" s="31" t="e">
        <f t="shared" ca="1" si="41"/>
        <v>#REF!</v>
      </c>
      <c r="AC146" s="34" t="e">
        <f t="shared" ca="1" si="32"/>
        <v>#REF!</v>
      </c>
      <c r="AD146" s="34" t="e">
        <f t="shared" ca="1" si="43"/>
        <v>#REF!</v>
      </c>
      <c r="AE146" s="34" t="e">
        <f t="shared" ca="1" si="35"/>
        <v>#REF!</v>
      </c>
    </row>
    <row r="147" spans="1:31" x14ac:dyDescent="0.2">
      <c r="A147" s="29"/>
      <c r="C147" s="29" t="str">
        <f t="shared" si="37"/>
        <v/>
      </c>
      <c r="D147" s="29">
        <f t="shared" si="38"/>
        <v>2030</v>
      </c>
      <c r="E147" s="32" t="e">
        <f t="shared" ca="1" si="47"/>
        <v>#REF!</v>
      </c>
      <c r="F147" s="32" t="e">
        <f t="shared" ca="1" si="47"/>
        <v>#REF!</v>
      </c>
      <c r="G147" s="32" t="e">
        <f t="shared" ca="1" si="47"/>
        <v>#REF!</v>
      </c>
      <c r="H147" s="32" t="e">
        <f t="shared" ca="1" si="47"/>
        <v>#REF!</v>
      </c>
      <c r="I147" s="32" t="e">
        <f t="shared" ca="1" si="47"/>
        <v>#REF!</v>
      </c>
      <c r="J147" s="32" t="e">
        <f t="shared" ca="1" si="47"/>
        <v>#REF!</v>
      </c>
      <c r="K147" s="32" t="e">
        <f t="shared" ca="1" si="47"/>
        <v>#REF!</v>
      </c>
      <c r="L147" s="32" t="e">
        <f t="shared" ca="1" si="47"/>
        <v>#REF!</v>
      </c>
      <c r="M147" s="32" t="e">
        <f t="shared" ca="1" si="47"/>
        <v>#REF!</v>
      </c>
      <c r="N147" s="32" t="e">
        <f t="shared" ca="1" si="47"/>
        <v>#REF!</v>
      </c>
      <c r="O147" s="32" t="e">
        <f t="shared" ca="1" si="47"/>
        <v>#REF!</v>
      </c>
      <c r="P147" s="32" t="e">
        <f t="shared" ca="1" si="47"/>
        <v>#REF!</v>
      </c>
      <c r="Q147" s="32" t="e">
        <f t="shared" ca="1" si="47"/>
        <v>#REF!</v>
      </c>
      <c r="R147">
        <v>0</v>
      </c>
      <c r="S147" s="29" t="str">
        <f t="shared" si="48"/>
        <v/>
      </c>
      <c r="T147" s="29">
        <f t="shared" si="49"/>
        <v>2030</v>
      </c>
      <c r="U147" s="32" t="e">
        <f t="shared" ca="1" si="42"/>
        <v>#REF!</v>
      </c>
      <c r="V147" s="32" t="e">
        <f t="shared" ca="1" si="42"/>
        <v>#REF!</v>
      </c>
      <c r="W147" s="32" t="e">
        <f t="shared" ca="1" si="42"/>
        <v>#REF!</v>
      </c>
      <c r="X147" s="32" t="e">
        <f t="shared" ca="1" si="42"/>
        <v>#REF!</v>
      </c>
      <c r="Y147" s="1" t="e">
        <f t="shared" ca="1" si="31"/>
        <v>#REF!</v>
      </c>
      <c r="AA147" s="31" t="e">
        <f t="shared" ca="1" si="41"/>
        <v>#REF!</v>
      </c>
      <c r="AC147" s="34" t="e">
        <f t="shared" ca="1" si="32"/>
        <v>#REF!</v>
      </c>
      <c r="AD147" s="34" t="e">
        <f t="shared" ca="1" si="43"/>
        <v>#REF!</v>
      </c>
      <c r="AE147" s="34" t="e">
        <f t="shared" ca="1" si="35"/>
        <v>#REF!</v>
      </c>
    </row>
    <row r="148" spans="1:31" x14ac:dyDescent="0.2">
      <c r="A148" s="29"/>
      <c r="C148" s="29" t="str">
        <f t="shared" si="37"/>
        <v/>
      </c>
      <c r="D148" s="29">
        <f t="shared" si="38"/>
        <v>2035</v>
      </c>
      <c r="E148" s="32" t="e">
        <f t="shared" ca="1" si="47"/>
        <v>#REF!</v>
      </c>
      <c r="F148" s="32" t="e">
        <f t="shared" ca="1" si="47"/>
        <v>#REF!</v>
      </c>
      <c r="G148" s="32" t="e">
        <f t="shared" ca="1" si="47"/>
        <v>#REF!</v>
      </c>
      <c r="H148" s="32" t="e">
        <f t="shared" ca="1" si="47"/>
        <v>#REF!</v>
      </c>
      <c r="I148" s="32" t="e">
        <f t="shared" ca="1" si="47"/>
        <v>#REF!</v>
      </c>
      <c r="J148" s="32" t="e">
        <f t="shared" ca="1" si="47"/>
        <v>#REF!</v>
      </c>
      <c r="K148" s="32" t="e">
        <f t="shared" ca="1" si="47"/>
        <v>#REF!</v>
      </c>
      <c r="L148" s="32" t="e">
        <f t="shared" ca="1" si="47"/>
        <v>#REF!</v>
      </c>
      <c r="M148" s="32" t="e">
        <f t="shared" ca="1" si="47"/>
        <v>#REF!</v>
      </c>
      <c r="N148" s="32" t="e">
        <f t="shared" ca="1" si="47"/>
        <v>#REF!</v>
      </c>
      <c r="O148" s="32" t="e">
        <f t="shared" ca="1" si="47"/>
        <v>#REF!</v>
      </c>
      <c r="P148" s="32" t="e">
        <f t="shared" ca="1" si="47"/>
        <v>#REF!</v>
      </c>
      <c r="Q148" s="32" t="e">
        <f t="shared" ca="1" si="47"/>
        <v>#REF!</v>
      </c>
      <c r="R148">
        <v>0</v>
      </c>
      <c r="S148" s="29" t="str">
        <f t="shared" si="48"/>
        <v/>
      </c>
      <c r="T148" s="29">
        <f t="shared" si="49"/>
        <v>2035</v>
      </c>
      <c r="U148" s="32" t="e">
        <f t="shared" ca="1" si="42"/>
        <v>#REF!</v>
      </c>
      <c r="V148" s="32" t="e">
        <f t="shared" ca="1" si="42"/>
        <v>#REF!</v>
      </c>
      <c r="W148" s="32" t="e">
        <f t="shared" ca="1" si="42"/>
        <v>#REF!</v>
      </c>
      <c r="X148" s="32" t="e">
        <f t="shared" ca="1" si="42"/>
        <v>#REF!</v>
      </c>
      <c r="Y148" s="1" t="e">
        <f t="shared" ca="1" si="31"/>
        <v>#REF!</v>
      </c>
      <c r="AA148" s="31" t="e">
        <f t="shared" ca="1" si="41"/>
        <v>#REF!</v>
      </c>
      <c r="AC148" s="34" t="e">
        <f t="shared" ca="1" si="32"/>
        <v>#REF!</v>
      </c>
      <c r="AD148" s="34" t="e">
        <f t="shared" ca="1" si="43"/>
        <v>#REF!</v>
      </c>
      <c r="AE148" s="34" t="e">
        <f t="shared" ca="1" si="35"/>
        <v>#REF!</v>
      </c>
    </row>
    <row r="149" spans="1:31" x14ac:dyDescent="0.2">
      <c r="A149" s="29"/>
      <c r="C149" s="29" t="str">
        <f t="shared" si="37"/>
        <v/>
      </c>
      <c r="D149" s="29">
        <f t="shared" si="38"/>
        <v>2040</v>
      </c>
      <c r="E149" s="32" t="e">
        <f t="shared" ca="1" si="47"/>
        <v>#REF!</v>
      </c>
      <c r="F149" s="32" t="e">
        <f t="shared" ca="1" si="47"/>
        <v>#REF!</v>
      </c>
      <c r="G149" s="32" t="e">
        <f t="shared" ca="1" si="47"/>
        <v>#REF!</v>
      </c>
      <c r="H149" s="32" t="e">
        <f t="shared" ca="1" si="47"/>
        <v>#REF!</v>
      </c>
      <c r="I149" s="32" t="e">
        <f t="shared" ca="1" si="47"/>
        <v>#REF!</v>
      </c>
      <c r="J149" s="32" t="e">
        <f t="shared" ca="1" si="47"/>
        <v>#REF!</v>
      </c>
      <c r="K149" s="32" t="e">
        <f t="shared" ca="1" si="47"/>
        <v>#REF!</v>
      </c>
      <c r="L149" s="32" t="e">
        <f t="shared" ca="1" si="47"/>
        <v>#REF!</v>
      </c>
      <c r="M149" s="32" t="e">
        <f t="shared" ca="1" si="47"/>
        <v>#REF!</v>
      </c>
      <c r="N149" s="32" t="e">
        <f t="shared" ca="1" si="47"/>
        <v>#REF!</v>
      </c>
      <c r="O149" s="32" t="e">
        <f t="shared" ca="1" si="47"/>
        <v>#REF!</v>
      </c>
      <c r="P149" s="32" t="e">
        <f t="shared" ca="1" si="47"/>
        <v>#REF!</v>
      </c>
      <c r="Q149" s="32" t="e">
        <f t="shared" ca="1" si="47"/>
        <v>#REF!</v>
      </c>
      <c r="R149">
        <v>0</v>
      </c>
      <c r="S149" s="29" t="str">
        <f t="shared" si="48"/>
        <v/>
      </c>
      <c r="T149" s="29">
        <f t="shared" si="49"/>
        <v>2040</v>
      </c>
      <c r="U149" s="32" t="e">
        <f t="shared" ca="1" si="42"/>
        <v>#REF!</v>
      </c>
      <c r="V149" s="32" t="e">
        <f t="shared" ca="1" si="42"/>
        <v>#REF!</v>
      </c>
      <c r="W149" s="32" t="e">
        <f t="shared" ca="1" si="42"/>
        <v>#REF!</v>
      </c>
      <c r="X149" s="32" t="e">
        <f t="shared" ca="1" si="42"/>
        <v>#REF!</v>
      </c>
      <c r="Y149" s="1" t="e">
        <f t="shared" ca="1" si="31"/>
        <v>#REF!</v>
      </c>
      <c r="AA149" s="31" t="e">
        <f t="shared" ca="1" si="41"/>
        <v>#REF!</v>
      </c>
      <c r="AC149" s="34" t="e">
        <f t="shared" ca="1" si="32"/>
        <v>#REF!</v>
      </c>
      <c r="AD149" s="34" t="e">
        <f t="shared" ca="1" si="43"/>
        <v>#REF!</v>
      </c>
      <c r="AE149" s="34" t="e">
        <f t="shared" ca="1" si="35"/>
        <v>#REF!</v>
      </c>
    </row>
    <row r="150" spans="1:31" x14ac:dyDescent="0.2">
      <c r="A150" s="29"/>
      <c r="C150" s="29" t="str">
        <f t="shared" si="37"/>
        <v/>
      </c>
      <c r="D150" s="29">
        <f t="shared" si="38"/>
        <v>2045</v>
      </c>
      <c r="E150" s="32" t="e">
        <f t="shared" ca="1" si="47"/>
        <v>#REF!</v>
      </c>
      <c r="F150" s="32" t="e">
        <f t="shared" ca="1" si="47"/>
        <v>#REF!</v>
      </c>
      <c r="G150" s="32" t="e">
        <f t="shared" ca="1" si="47"/>
        <v>#REF!</v>
      </c>
      <c r="H150" s="32" t="e">
        <f t="shared" ca="1" si="47"/>
        <v>#REF!</v>
      </c>
      <c r="I150" s="32" t="e">
        <f t="shared" ca="1" si="47"/>
        <v>#REF!</v>
      </c>
      <c r="J150" s="32" t="e">
        <f t="shared" ca="1" si="47"/>
        <v>#REF!</v>
      </c>
      <c r="K150" s="32" t="e">
        <f t="shared" ca="1" si="47"/>
        <v>#REF!</v>
      </c>
      <c r="L150" s="32" t="e">
        <f t="shared" ca="1" si="47"/>
        <v>#REF!</v>
      </c>
      <c r="M150" s="32" t="e">
        <f t="shared" ca="1" si="47"/>
        <v>#REF!</v>
      </c>
      <c r="N150" s="32" t="e">
        <f t="shared" ca="1" si="47"/>
        <v>#REF!</v>
      </c>
      <c r="O150" s="32" t="e">
        <f t="shared" ca="1" si="47"/>
        <v>#REF!</v>
      </c>
      <c r="P150" s="32" t="e">
        <f t="shared" ca="1" si="47"/>
        <v>#REF!</v>
      </c>
      <c r="Q150" s="32" t="e">
        <f t="shared" ca="1" si="47"/>
        <v>#REF!</v>
      </c>
      <c r="R150">
        <v>0</v>
      </c>
      <c r="S150" s="29" t="str">
        <f t="shared" si="48"/>
        <v/>
      </c>
      <c r="T150" s="29">
        <f t="shared" si="49"/>
        <v>2045</v>
      </c>
      <c r="U150" s="32" t="e">
        <f t="shared" ca="1" si="42"/>
        <v>#REF!</v>
      </c>
      <c r="V150" s="32" t="e">
        <f t="shared" ca="1" si="42"/>
        <v>#REF!</v>
      </c>
      <c r="W150" s="32" t="e">
        <f t="shared" ca="1" si="42"/>
        <v>#REF!</v>
      </c>
      <c r="X150" s="32" t="e">
        <f t="shared" ca="1" si="42"/>
        <v>#REF!</v>
      </c>
      <c r="Y150" s="1" t="e">
        <f t="shared" ca="1" si="31"/>
        <v>#REF!</v>
      </c>
      <c r="AA150" s="31" t="e">
        <f t="shared" ca="1" si="41"/>
        <v>#REF!</v>
      </c>
      <c r="AC150" s="34" t="e">
        <f t="shared" ca="1" si="32"/>
        <v>#REF!</v>
      </c>
      <c r="AD150" s="34" t="e">
        <f t="shared" ca="1" si="43"/>
        <v>#REF!</v>
      </c>
      <c r="AE150" s="34" t="e">
        <f t="shared" ca="1" si="35"/>
        <v>#REF!</v>
      </c>
    </row>
    <row r="151" spans="1:31" x14ac:dyDescent="0.2">
      <c r="A151" s="29"/>
      <c r="C151" s="29" t="str">
        <f t="shared" si="37"/>
        <v/>
      </c>
      <c r="D151" s="29">
        <f t="shared" si="38"/>
        <v>2050</v>
      </c>
      <c r="E151" s="32" t="e">
        <f t="shared" ca="1" si="47"/>
        <v>#REF!</v>
      </c>
      <c r="F151" s="32" t="e">
        <f t="shared" ca="1" si="47"/>
        <v>#REF!</v>
      </c>
      <c r="G151" s="32" t="e">
        <f t="shared" ca="1" si="47"/>
        <v>#REF!</v>
      </c>
      <c r="H151" s="32" t="e">
        <f t="shared" ca="1" si="47"/>
        <v>#REF!</v>
      </c>
      <c r="I151" s="32" t="e">
        <f t="shared" ca="1" si="47"/>
        <v>#REF!</v>
      </c>
      <c r="J151" s="32" t="e">
        <f t="shared" ca="1" si="47"/>
        <v>#REF!</v>
      </c>
      <c r="K151" s="32" t="e">
        <f t="shared" ca="1" si="47"/>
        <v>#REF!</v>
      </c>
      <c r="L151" s="32" t="e">
        <f t="shared" ca="1" si="47"/>
        <v>#REF!</v>
      </c>
      <c r="M151" s="32" t="e">
        <f t="shared" ca="1" si="47"/>
        <v>#REF!</v>
      </c>
      <c r="N151" s="32" t="e">
        <f t="shared" ca="1" si="47"/>
        <v>#REF!</v>
      </c>
      <c r="O151" s="32" t="e">
        <f t="shared" ca="1" si="47"/>
        <v>#REF!</v>
      </c>
      <c r="P151" s="32" t="e">
        <f t="shared" ca="1" si="47"/>
        <v>#REF!</v>
      </c>
      <c r="Q151" s="32" t="e">
        <f t="shared" ca="1" si="47"/>
        <v>#REF!</v>
      </c>
      <c r="R151">
        <v>0</v>
      </c>
      <c r="S151" s="29" t="str">
        <f t="shared" si="48"/>
        <v/>
      </c>
      <c r="T151" s="29">
        <f t="shared" si="49"/>
        <v>2050</v>
      </c>
      <c r="U151" s="32" t="e">
        <f t="shared" ca="1" si="42"/>
        <v>#REF!</v>
      </c>
      <c r="V151" s="32" t="e">
        <f t="shared" ca="1" si="42"/>
        <v>#REF!</v>
      </c>
      <c r="W151" s="32" t="e">
        <f t="shared" ca="1" si="42"/>
        <v>#REF!</v>
      </c>
      <c r="X151" s="32" t="e">
        <f t="shared" ca="1" si="42"/>
        <v>#REF!</v>
      </c>
      <c r="Y151" s="1" t="e">
        <f t="shared" ca="1" si="31"/>
        <v>#REF!</v>
      </c>
      <c r="AA151" s="31" t="e">
        <f t="shared" ca="1" si="41"/>
        <v>#REF!</v>
      </c>
      <c r="AC151" s="34" t="e">
        <f t="shared" ca="1" si="32"/>
        <v>#REF!</v>
      </c>
      <c r="AD151" s="34" t="e">
        <f t="shared" ca="1" si="43"/>
        <v>#REF!</v>
      </c>
      <c r="AE151" s="34" t="e">
        <f t="shared" ca="1" si="35"/>
        <v>#REF!</v>
      </c>
    </row>
    <row r="152" spans="1:31" x14ac:dyDescent="0.2">
      <c r="A152" s="29"/>
      <c r="C152" s="29" t="str">
        <f t="shared" si="37"/>
        <v/>
      </c>
      <c r="D152" s="29">
        <f t="shared" si="38"/>
        <v>2025</v>
      </c>
      <c r="E152" s="32" t="e">
        <f t="shared" ref="E152:Q161" ca="1" si="50">INDEX(INDIRECT("'"&amp;$B152&amp;"'!"&amp;$A$1),MATCH(E$31,INDIRECT("'"&amp;$B152&amp;"'!G43:G55"),0),MATCH($D152,INDIRECT("'"&amp;$B152&amp;"'!H42:AG42")))</f>
        <v>#REF!</v>
      </c>
      <c r="F152" s="32" t="e">
        <f t="shared" ca="1" si="50"/>
        <v>#REF!</v>
      </c>
      <c r="G152" s="32" t="e">
        <f t="shared" ca="1" si="50"/>
        <v>#REF!</v>
      </c>
      <c r="H152" s="32" t="e">
        <f t="shared" ca="1" si="50"/>
        <v>#REF!</v>
      </c>
      <c r="I152" s="32" t="e">
        <f t="shared" ca="1" si="50"/>
        <v>#REF!</v>
      </c>
      <c r="J152" s="32" t="e">
        <f t="shared" ca="1" si="50"/>
        <v>#REF!</v>
      </c>
      <c r="K152" s="32" t="e">
        <f t="shared" ca="1" si="50"/>
        <v>#REF!</v>
      </c>
      <c r="L152" s="32" t="e">
        <f t="shared" ca="1" si="50"/>
        <v>#REF!</v>
      </c>
      <c r="M152" s="32" t="e">
        <f t="shared" ca="1" si="50"/>
        <v>#REF!</v>
      </c>
      <c r="N152" s="32" t="e">
        <f t="shared" ca="1" si="50"/>
        <v>#REF!</v>
      </c>
      <c r="O152" s="32" t="e">
        <f t="shared" ca="1" si="50"/>
        <v>#REF!</v>
      </c>
      <c r="P152" s="32" t="e">
        <f t="shared" ca="1" si="50"/>
        <v>#REF!</v>
      </c>
      <c r="Q152" s="32" t="e">
        <f t="shared" ca="1" si="50"/>
        <v>#REF!</v>
      </c>
      <c r="R152">
        <v>0</v>
      </c>
      <c r="S152" s="29" t="str">
        <f t="shared" si="48"/>
        <v/>
      </c>
      <c r="T152" s="29">
        <f t="shared" si="49"/>
        <v>2025</v>
      </c>
      <c r="U152" s="32" t="e">
        <f t="shared" ca="1" si="42"/>
        <v>#REF!</v>
      </c>
      <c r="V152" s="32" t="e">
        <f t="shared" ca="1" si="42"/>
        <v>#REF!</v>
      </c>
      <c r="W152" s="32" t="e">
        <f t="shared" ca="1" si="42"/>
        <v>#REF!</v>
      </c>
      <c r="X152" s="32" t="e">
        <f t="shared" ca="1" si="42"/>
        <v>#REF!</v>
      </c>
      <c r="Y152" s="1">
        <f t="shared" si="31"/>
        <v>0</v>
      </c>
      <c r="AA152" s="31" t="e">
        <f t="shared" ca="1" si="41"/>
        <v>#REF!</v>
      </c>
      <c r="AC152" s="34" t="e">
        <f t="shared" ca="1" si="32"/>
        <v>#REF!</v>
      </c>
      <c r="AD152" s="34" t="e">
        <f t="shared" ca="1" si="43"/>
        <v>#REF!</v>
      </c>
      <c r="AE152" s="34" t="e">
        <f t="shared" ca="1" si="35"/>
        <v>#REF!</v>
      </c>
    </row>
    <row r="153" spans="1:31" x14ac:dyDescent="0.2">
      <c r="A153" s="29"/>
      <c r="C153" s="29" t="str">
        <f t="shared" si="37"/>
        <v/>
      </c>
      <c r="D153" s="29">
        <f t="shared" si="38"/>
        <v>2030</v>
      </c>
      <c r="E153" s="32" t="e">
        <f t="shared" ca="1" si="50"/>
        <v>#REF!</v>
      </c>
      <c r="F153" s="32" t="e">
        <f t="shared" ca="1" si="50"/>
        <v>#REF!</v>
      </c>
      <c r="G153" s="32" t="e">
        <f t="shared" ca="1" si="50"/>
        <v>#REF!</v>
      </c>
      <c r="H153" s="32" t="e">
        <f t="shared" ca="1" si="50"/>
        <v>#REF!</v>
      </c>
      <c r="I153" s="32" t="e">
        <f t="shared" ca="1" si="50"/>
        <v>#REF!</v>
      </c>
      <c r="J153" s="32" t="e">
        <f t="shared" ca="1" si="50"/>
        <v>#REF!</v>
      </c>
      <c r="K153" s="32" t="e">
        <f t="shared" ca="1" si="50"/>
        <v>#REF!</v>
      </c>
      <c r="L153" s="32" t="e">
        <f t="shared" ca="1" si="50"/>
        <v>#REF!</v>
      </c>
      <c r="M153" s="32" t="e">
        <f t="shared" ca="1" si="50"/>
        <v>#REF!</v>
      </c>
      <c r="N153" s="32" t="e">
        <f t="shared" ca="1" si="50"/>
        <v>#REF!</v>
      </c>
      <c r="O153" s="32" t="e">
        <f t="shared" ca="1" si="50"/>
        <v>#REF!</v>
      </c>
      <c r="P153" s="32" t="e">
        <f t="shared" ca="1" si="50"/>
        <v>#REF!</v>
      </c>
      <c r="Q153" s="32" t="e">
        <f t="shared" ca="1" si="50"/>
        <v>#REF!</v>
      </c>
      <c r="R153">
        <v>0</v>
      </c>
      <c r="S153" s="29" t="str">
        <f t="shared" si="48"/>
        <v/>
      </c>
      <c r="T153" s="29">
        <f t="shared" si="49"/>
        <v>2030</v>
      </c>
      <c r="U153" s="32" t="e">
        <f t="shared" ca="1" si="42"/>
        <v>#REF!</v>
      </c>
      <c r="V153" s="32" t="e">
        <f t="shared" ca="1" si="42"/>
        <v>#REF!</v>
      </c>
      <c r="W153" s="32" t="e">
        <f t="shared" ca="1" si="42"/>
        <v>#REF!</v>
      </c>
      <c r="X153" s="32" t="e">
        <f t="shared" ca="1" si="42"/>
        <v>#REF!</v>
      </c>
      <c r="Y153" s="1" t="e">
        <f t="shared" ca="1" si="31"/>
        <v>#REF!</v>
      </c>
      <c r="AA153" s="31" t="e">
        <f t="shared" ca="1" si="41"/>
        <v>#REF!</v>
      </c>
      <c r="AC153" s="34" t="e">
        <f t="shared" ca="1" si="32"/>
        <v>#REF!</v>
      </c>
      <c r="AD153" s="34" t="e">
        <f t="shared" ca="1" si="43"/>
        <v>#REF!</v>
      </c>
      <c r="AE153" s="34" t="e">
        <f t="shared" ca="1" si="35"/>
        <v>#REF!</v>
      </c>
    </row>
    <row r="154" spans="1:31" x14ac:dyDescent="0.2">
      <c r="A154" s="29"/>
      <c r="C154" s="29" t="str">
        <f t="shared" si="37"/>
        <v/>
      </c>
      <c r="D154" s="29">
        <f t="shared" si="38"/>
        <v>2035</v>
      </c>
      <c r="E154" s="32" t="e">
        <f t="shared" ca="1" si="50"/>
        <v>#REF!</v>
      </c>
      <c r="F154" s="32" t="e">
        <f t="shared" ca="1" si="50"/>
        <v>#REF!</v>
      </c>
      <c r="G154" s="32" t="e">
        <f t="shared" ca="1" si="50"/>
        <v>#REF!</v>
      </c>
      <c r="H154" s="32" t="e">
        <f t="shared" ca="1" si="50"/>
        <v>#REF!</v>
      </c>
      <c r="I154" s="32" t="e">
        <f t="shared" ca="1" si="50"/>
        <v>#REF!</v>
      </c>
      <c r="J154" s="32" t="e">
        <f t="shared" ca="1" si="50"/>
        <v>#REF!</v>
      </c>
      <c r="K154" s="32" t="e">
        <f t="shared" ca="1" si="50"/>
        <v>#REF!</v>
      </c>
      <c r="L154" s="32" t="e">
        <f t="shared" ca="1" si="50"/>
        <v>#REF!</v>
      </c>
      <c r="M154" s="32" t="e">
        <f t="shared" ca="1" si="50"/>
        <v>#REF!</v>
      </c>
      <c r="N154" s="32" t="e">
        <f t="shared" ca="1" si="50"/>
        <v>#REF!</v>
      </c>
      <c r="O154" s="32" t="e">
        <f t="shared" ca="1" si="50"/>
        <v>#REF!</v>
      </c>
      <c r="P154" s="32" t="e">
        <f t="shared" ca="1" si="50"/>
        <v>#REF!</v>
      </c>
      <c r="Q154" s="32" t="e">
        <f t="shared" ca="1" si="50"/>
        <v>#REF!</v>
      </c>
      <c r="R154">
        <v>0</v>
      </c>
      <c r="S154" s="29" t="str">
        <f t="shared" si="48"/>
        <v/>
      </c>
      <c r="T154" s="29">
        <f t="shared" si="49"/>
        <v>2035</v>
      </c>
      <c r="U154" s="32" t="e">
        <f t="shared" ca="1" si="42"/>
        <v>#REF!</v>
      </c>
      <c r="V154" s="32" t="e">
        <f t="shared" ca="1" si="42"/>
        <v>#REF!</v>
      </c>
      <c r="W154" s="32" t="e">
        <f t="shared" ca="1" si="42"/>
        <v>#REF!</v>
      </c>
      <c r="X154" s="32" t="e">
        <f t="shared" ca="1" si="42"/>
        <v>#REF!</v>
      </c>
      <c r="Y154" s="1" t="e">
        <f t="shared" ca="1" si="31"/>
        <v>#REF!</v>
      </c>
      <c r="AA154" s="31" t="e">
        <f t="shared" ref="AA154:AA217" ca="1" si="51">INDEX(INDIRECT("'"&amp;$B154&amp;"'!BL58:CK58"),MATCH($D154,INDIRECT("'"&amp;$B154&amp;"'!BL42:CK42")))</f>
        <v>#REF!</v>
      </c>
      <c r="AC154" s="34" t="e">
        <f t="shared" ca="1" si="32"/>
        <v>#REF!</v>
      </c>
      <c r="AD154" s="34" t="e">
        <f t="shared" ca="1" si="43"/>
        <v>#REF!</v>
      </c>
      <c r="AE154" s="34" t="e">
        <f t="shared" ca="1" si="35"/>
        <v>#REF!</v>
      </c>
    </row>
    <row r="155" spans="1:31" x14ac:dyDescent="0.2">
      <c r="A155" s="29"/>
      <c r="C155" s="29" t="str">
        <f t="shared" si="37"/>
        <v/>
      </c>
      <c r="D155" s="29">
        <f t="shared" si="38"/>
        <v>2040</v>
      </c>
      <c r="E155" s="32" t="e">
        <f t="shared" ca="1" si="50"/>
        <v>#REF!</v>
      </c>
      <c r="F155" s="32" t="e">
        <f t="shared" ca="1" si="50"/>
        <v>#REF!</v>
      </c>
      <c r="G155" s="32" t="e">
        <f t="shared" ca="1" si="50"/>
        <v>#REF!</v>
      </c>
      <c r="H155" s="32" t="e">
        <f t="shared" ca="1" si="50"/>
        <v>#REF!</v>
      </c>
      <c r="I155" s="32" t="e">
        <f t="shared" ca="1" si="50"/>
        <v>#REF!</v>
      </c>
      <c r="J155" s="32" t="e">
        <f t="shared" ca="1" si="50"/>
        <v>#REF!</v>
      </c>
      <c r="K155" s="32" t="e">
        <f t="shared" ca="1" si="50"/>
        <v>#REF!</v>
      </c>
      <c r="L155" s="32" t="e">
        <f t="shared" ca="1" si="50"/>
        <v>#REF!</v>
      </c>
      <c r="M155" s="32" t="e">
        <f t="shared" ca="1" si="50"/>
        <v>#REF!</v>
      </c>
      <c r="N155" s="32" t="e">
        <f t="shared" ca="1" si="50"/>
        <v>#REF!</v>
      </c>
      <c r="O155" s="32" t="e">
        <f t="shared" ca="1" si="50"/>
        <v>#REF!</v>
      </c>
      <c r="P155" s="32" t="e">
        <f t="shared" ca="1" si="50"/>
        <v>#REF!</v>
      </c>
      <c r="Q155" s="32" t="e">
        <f t="shared" ca="1" si="50"/>
        <v>#REF!</v>
      </c>
      <c r="R155">
        <v>0</v>
      </c>
      <c r="S155" s="29" t="str">
        <f t="shared" si="48"/>
        <v/>
      </c>
      <c r="T155" s="29">
        <f t="shared" si="49"/>
        <v>2040</v>
      </c>
      <c r="U155" s="32" t="e">
        <f t="shared" ref="U155:X175" ca="1" si="52">INDEX(INDIRECT("'"&amp;$B155&amp;"'!summaryCosts"),MATCH(U$31,INDIRECT("'"&amp;$B155&amp;"'!EU43:EU46"),0),MATCH($D155,INDIRECT("'"&amp;$B155&amp;"'!EV42:FU42"),0))</f>
        <v>#REF!</v>
      </c>
      <c r="V155" s="32" t="e">
        <f t="shared" ca="1" si="52"/>
        <v>#REF!</v>
      </c>
      <c r="W155" s="32" t="e">
        <f t="shared" ca="1" si="52"/>
        <v>#REF!</v>
      </c>
      <c r="X155" s="32" t="e">
        <f t="shared" ca="1" si="52"/>
        <v>#REF!</v>
      </c>
      <c r="Y155" s="1" t="e">
        <f t="shared" ref="Y155:Y174" ca="1" si="53">IF(T161=2025,0,(U161-U154)/5)</f>
        <v>#REF!</v>
      </c>
      <c r="AA155" s="31" t="e">
        <f t="shared" ca="1" si="51"/>
        <v>#REF!</v>
      </c>
      <c r="AC155" s="34" t="e">
        <f t="shared" ref="AC155:AC174" ca="1" si="54">SUM(E155:H155)</f>
        <v>#REF!</v>
      </c>
      <c r="AD155" s="34" t="e">
        <f t="shared" ca="1" si="43"/>
        <v>#REF!</v>
      </c>
      <c r="AE155" s="34" t="e">
        <f t="shared" ca="1" si="35"/>
        <v>#REF!</v>
      </c>
    </row>
    <row r="156" spans="1:31" x14ac:dyDescent="0.2">
      <c r="A156" s="29"/>
      <c r="C156" s="29" t="str">
        <f t="shared" si="37"/>
        <v/>
      </c>
      <c r="D156" s="29">
        <f t="shared" si="38"/>
        <v>2045</v>
      </c>
      <c r="E156" s="32" t="e">
        <f t="shared" ca="1" si="50"/>
        <v>#REF!</v>
      </c>
      <c r="F156" s="32" t="e">
        <f t="shared" ca="1" si="50"/>
        <v>#REF!</v>
      </c>
      <c r="G156" s="32" t="e">
        <f t="shared" ca="1" si="50"/>
        <v>#REF!</v>
      </c>
      <c r="H156" s="32" t="e">
        <f t="shared" ca="1" si="50"/>
        <v>#REF!</v>
      </c>
      <c r="I156" s="32" t="e">
        <f t="shared" ca="1" si="50"/>
        <v>#REF!</v>
      </c>
      <c r="J156" s="32" t="e">
        <f t="shared" ca="1" si="50"/>
        <v>#REF!</v>
      </c>
      <c r="K156" s="32" t="e">
        <f t="shared" ca="1" si="50"/>
        <v>#REF!</v>
      </c>
      <c r="L156" s="32" t="e">
        <f t="shared" ca="1" si="50"/>
        <v>#REF!</v>
      </c>
      <c r="M156" s="32" t="e">
        <f t="shared" ca="1" si="50"/>
        <v>#REF!</v>
      </c>
      <c r="N156" s="32" t="e">
        <f t="shared" ca="1" si="50"/>
        <v>#REF!</v>
      </c>
      <c r="O156" s="32" t="e">
        <f t="shared" ca="1" si="50"/>
        <v>#REF!</v>
      </c>
      <c r="P156" s="32" t="e">
        <f t="shared" ca="1" si="50"/>
        <v>#REF!</v>
      </c>
      <c r="Q156" s="32" t="e">
        <f t="shared" ca="1" si="50"/>
        <v>#REF!</v>
      </c>
      <c r="R156">
        <v>0</v>
      </c>
      <c r="S156" s="29" t="str">
        <f t="shared" si="48"/>
        <v/>
      </c>
      <c r="T156" s="29">
        <f t="shared" si="49"/>
        <v>2045</v>
      </c>
      <c r="U156" s="32" t="e">
        <f t="shared" ca="1" si="52"/>
        <v>#REF!</v>
      </c>
      <c r="V156" s="32" t="e">
        <f t="shared" ca="1" si="52"/>
        <v>#REF!</v>
      </c>
      <c r="W156" s="32" t="e">
        <f t="shared" ca="1" si="52"/>
        <v>#REF!</v>
      </c>
      <c r="X156" s="32" t="e">
        <f t="shared" ca="1" si="52"/>
        <v>#REF!</v>
      </c>
      <c r="Y156" s="1" t="e">
        <f t="shared" ca="1" si="53"/>
        <v>#REF!</v>
      </c>
      <c r="AA156" s="31" t="e">
        <f t="shared" ca="1" si="51"/>
        <v>#REF!</v>
      </c>
      <c r="AC156" s="34" t="e">
        <f t="shared" ca="1" si="54"/>
        <v>#REF!</v>
      </c>
      <c r="AD156" s="34" t="e">
        <f t="shared" ca="1" si="43"/>
        <v>#REF!</v>
      </c>
      <c r="AE156" s="34" t="e">
        <f t="shared" ca="1" si="35"/>
        <v>#REF!</v>
      </c>
    </row>
    <row r="157" spans="1:31" x14ac:dyDescent="0.2">
      <c r="A157" s="29"/>
      <c r="C157" s="29" t="str">
        <f t="shared" si="37"/>
        <v/>
      </c>
      <c r="D157" s="29">
        <f t="shared" si="38"/>
        <v>2050</v>
      </c>
      <c r="E157" s="32" t="e">
        <f t="shared" ca="1" si="50"/>
        <v>#REF!</v>
      </c>
      <c r="F157" s="32" t="e">
        <f t="shared" ca="1" si="50"/>
        <v>#REF!</v>
      </c>
      <c r="G157" s="32" t="e">
        <f t="shared" ca="1" si="50"/>
        <v>#REF!</v>
      </c>
      <c r="H157" s="32" t="e">
        <f t="shared" ca="1" si="50"/>
        <v>#REF!</v>
      </c>
      <c r="I157" s="32" t="e">
        <f t="shared" ca="1" si="50"/>
        <v>#REF!</v>
      </c>
      <c r="J157" s="32" t="e">
        <f t="shared" ca="1" si="50"/>
        <v>#REF!</v>
      </c>
      <c r="K157" s="32" t="e">
        <f t="shared" ca="1" si="50"/>
        <v>#REF!</v>
      </c>
      <c r="L157" s="32" t="e">
        <f t="shared" ca="1" si="50"/>
        <v>#REF!</v>
      </c>
      <c r="M157" s="32" t="e">
        <f t="shared" ca="1" si="50"/>
        <v>#REF!</v>
      </c>
      <c r="N157" s="32" t="e">
        <f t="shared" ca="1" si="50"/>
        <v>#REF!</v>
      </c>
      <c r="O157" s="32" t="e">
        <f t="shared" ca="1" si="50"/>
        <v>#REF!</v>
      </c>
      <c r="P157" s="32" t="e">
        <f t="shared" ca="1" si="50"/>
        <v>#REF!</v>
      </c>
      <c r="Q157" s="32" t="e">
        <f t="shared" ca="1" si="50"/>
        <v>#REF!</v>
      </c>
      <c r="R157">
        <v>0</v>
      </c>
      <c r="S157" s="29" t="str">
        <f t="shared" si="48"/>
        <v/>
      </c>
      <c r="T157" s="29">
        <f t="shared" si="49"/>
        <v>2050</v>
      </c>
      <c r="U157" s="32" t="e">
        <f t="shared" ca="1" si="52"/>
        <v>#REF!</v>
      </c>
      <c r="V157" s="32" t="e">
        <f t="shared" ca="1" si="52"/>
        <v>#REF!</v>
      </c>
      <c r="W157" s="32" t="e">
        <f t="shared" ca="1" si="52"/>
        <v>#REF!</v>
      </c>
      <c r="X157" s="32" t="e">
        <f t="shared" ca="1" si="52"/>
        <v>#REF!</v>
      </c>
      <c r="Y157" s="1" t="e">
        <f t="shared" ca="1" si="53"/>
        <v>#REF!</v>
      </c>
      <c r="AA157" s="31" t="e">
        <f ca="1">INDEX(INDIRECT("'"&amp;$B157&amp;"'!BL58:CK58"),MATCH($D157,INDIRECT("'"&amp;$B157&amp;"'!BL42:CK42")))</f>
        <v>#REF!</v>
      </c>
      <c r="AC157" s="34" t="e">
        <f t="shared" ca="1" si="54"/>
        <v>#REF!</v>
      </c>
      <c r="AD157" s="34" t="e">
        <f t="shared" ca="1" si="43"/>
        <v>#REF!</v>
      </c>
      <c r="AE157" s="34" t="e">
        <f t="shared" ca="1" si="35"/>
        <v>#REF!</v>
      </c>
    </row>
    <row r="158" spans="1:31" x14ac:dyDescent="0.2">
      <c r="A158" s="29"/>
      <c r="C158" s="29" t="str">
        <f t="shared" si="37"/>
        <v/>
      </c>
      <c r="D158" s="29">
        <f t="shared" si="38"/>
        <v>2025</v>
      </c>
      <c r="E158" s="32" t="e">
        <f t="shared" ca="1" si="50"/>
        <v>#REF!</v>
      </c>
      <c r="F158" s="32" t="e">
        <f t="shared" ca="1" si="50"/>
        <v>#REF!</v>
      </c>
      <c r="G158" s="32" t="e">
        <f t="shared" ca="1" si="50"/>
        <v>#REF!</v>
      </c>
      <c r="H158" s="32" t="e">
        <f t="shared" ca="1" si="50"/>
        <v>#REF!</v>
      </c>
      <c r="I158" s="32" t="e">
        <f t="shared" ca="1" si="50"/>
        <v>#REF!</v>
      </c>
      <c r="J158" s="32" t="e">
        <f t="shared" ca="1" si="50"/>
        <v>#REF!</v>
      </c>
      <c r="K158" s="32" t="e">
        <f t="shared" ca="1" si="50"/>
        <v>#REF!</v>
      </c>
      <c r="L158" s="32" t="e">
        <f t="shared" ca="1" si="50"/>
        <v>#REF!</v>
      </c>
      <c r="M158" s="32" t="e">
        <f t="shared" ca="1" si="50"/>
        <v>#REF!</v>
      </c>
      <c r="N158" s="32" t="e">
        <f t="shared" ca="1" si="50"/>
        <v>#REF!</v>
      </c>
      <c r="O158" s="32" t="e">
        <f t="shared" ca="1" si="50"/>
        <v>#REF!</v>
      </c>
      <c r="P158" s="32" t="e">
        <f t="shared" ca="1" si="50"/>
        <v>#REF!</v>
      </c>
      <c r="Q158" s="32" t="e">
        <f t="shared" ca="1" si="50"/>
        <v>#REF!</v>
      </c>
      <c r="R158">
        <v>0</v>
      </c>
      <c r="S158" s="29" t="str">
        <f t="shared" si="48"/>
        <v/>
      </c>
      <c r="T158" s="29">
        <f t="shared" si="49"/>
        <v>2025</v>
      </c>
      <c r="U158" s="32" t="e">
        <f t="shared" ca="1" si="52"/>
        <v>#REF!</v>
      </c>
      <c r="V158" s="32" t="e">
        <f t="shared" ca="1" si="52"/>
        <v>#REF!</v>
      </c>
      <c r="W158" s="32" t="e">
        <f t="shared" ca="1" si="52"/>
        <v>#REF!</v>
      </c>
      <c r="X158" s="32" t="e">
        <f t="shared" ca="1" si="52"/>
        <v>#REF!</v>
      </c>
      <c r="Y158" s="1">
        <f t="shared" si="53"/>
        <v>0</v>
      </c>
      <c r="AA158" s="31" t="e">
        <f t="shared" ca="1" si="51"/>
        <v>#REF!</v>
      </c>
      <c r="AC158" s="34" t="e">
        <f t="shared" ca="1" si="54"/>
        <v>#REF!</v>
      </c>
      <c r="AD158" s="34" t="e">
        <f t="shared" ca="1" si="43"/>
        <v>#REF!</v>
      </c>
      <c r="AE158" s="34" t="e">
        <f t="shared" ca="1" si="35"/>
        <v>#REF!</v>
      </c>
    </row>
    <row r="159" spans="1:31" x14ac:dyDescent="0.2">
      <c r="A159" s="29"/>
      <c r="C159" s="29" t="str">
        <f t="shared" si="37"/>
        <v/>
      </c>
      <c r="D159" s="29">
        <f t="shared" si="38"/>
        <v>2030</v>
      </c>
      <c r="E159" s="32" t="e">
        <f t="shared" ca="1" si="50"/>
        <v>#REF!</v>
      </c>
      <c r="F159" s="32" t="e">
        <f t="shared" ca="1" si="50"/>
        <v>#REF!</v>
      </c>
      <c r="G159" s="32" t="e">
        <f t="shared" ca="1" si="50"/>
        <v>#REF!</v>
      </c>
      <c r="H159" s="32" t="e">
        <f t="shared" ca="1" si="50"/>
        <v>#REF!</v>
      </c>
      <c r="I159" s="32" t="e">
        <f t="shared" ca="1" si="50"/>
        <v>#REF!</v>
      </c>
      <c r="J159" s="32" t="e">
        <f t="shared" ca="1" si="50"/>
        <v>#REF!</v>
      </c>
      <c r="K159" s="32" t="e">
        <f t="shared" ca="1" si="50"/>
        <v>#REF!</v>
      </c>
      <c r="L159" s="32" t="e">
        <f t="shared" ca="1" si="50"/>
        <v>#REF!</v>
      </c>
      <c r="M159" s="32" t="e">
        <f t="shared" ca="1" si="50"/>
        <v>#REF!</v>
      </c>
      <c r="N159" s="32" t="e">
        <f t="shared" ca="1" si="50"/>
        <v>#REF!</v>
      </c>
      <c r="O159" s="32" t="e">
        <f t="shared" ca="1" si="50"/>
        <v>#REF!</v>
      </c>
      <c r="P159" s="32" t="e">
        <f t="shared" ca="1" si="50"/>
        <v>#REF!</v>
      </c>
      <c r="Q159" s="32" t="e">
        <f t="shared" ca="1" si="50"/>
        <v>#REF!</v>
      </c>
      <c r="R159">
        <v>0</v>
      </c>
      <c r="S159" s="29" t="str">
        <f t="shared" si="48"/>
        <v/>
      </c>
      <c r="T159" s="29">
        <f t="shared" si="49"/>
        <v>2030</v>
      </c>
      <c r="U159" s="32" t="e">
        <f t="shared" ca="1" si="52"/>
        <v>#REF!</v>
      </c>
      <c r="V159" s="32" t="e">
        <f t="shared" ca="1" si="52"/>
        <v>#REF!</v>
      </c>
      <c r="W159" s="32" t="e">
        <f t="shared" ca="1" si="52"/>
        <v>#REF!</v>
      </c>
      <c r="X159" s="32" t="e">
        <f t="shared" ca="1" si="52"/>
        <v>#REF!</v>
      </c>
      <c r="Y159" s="1" t="e">
        <f t="shared" ca="1" si="53"/>
        <v>#REF!</v>
      </c>
      <c r="AA159" s="31" t="e">
        <f t="shared" ca="1" si="51"/>
        <v>#REF!</v>
      </c>
      <c r="AC159" s="34" t="e">
        <f t="shared" ca="1" si="54"/>
        <v>#REF!</v>
      </c>
      <c r="AD159" s="34" t="e">
        <f t="shared" ref="AD159:AD190" ca="1" si="55">SUM(N159:P159)-125</f>
        <v>#REF!</v>
      </c>
      <c r="AE159" s="34" t="e">
        <f t="shared" ca="1" si="35"/>
        <v>#REF!</v>
      </c>
    </row>
    <row r="160" spans="1:31" x14ac:dyDescent="0.2">
      <c r="A160" s="29"/>
      <c r="C160" s="29" t="str">
        <f t="shared" si="37"/>
        <v/>
      </c>
      <c r="D160" s="29">
        <f t="shared" si="38"/>
        <v>2035</v>
      </c>
      <c r="E160" s="32" t="e">
        <f t="shared" ca="1" si="50"/>
        <v>#REF!</v>
      </c>
      <c r="F160" s="32" t="e">
        <f t="shared" ca="1" si="50"/>
        <v>#REF!</v>
      </c>
      <c r="G160" s="32" t="e">
        <f t="shared" ca="1" si="50"/>
        <v>#REF!</v>
      </c>
      <c r="H160" s="32" t="e">
        <f t="shared" ca="1" si="50"/>
        <v>#REF!</v>
      </c>
      <c r="I160" s="32" t="e">
        <f t="shared" ca="1" si="50"/>
        <v>#REF!</v>
      </c>
      <c r="J160" s="32" t="e">
        <f t="shared" ca="1" si="50"/>
        <v>#REF!</v>
      </c>
      <c r="K160" s="32" t="e">
        <f t="shared" ca="1" si="50"/>
        <v>#REF!</v>
      </c>
      <c r="L160" s="32" t="e">
        <f t="shared" ca="1" si="50"/>
        <v>#REF!</v>
      </c>
      <c r="M160" s="32" t="e">
        <f t="shared" ca="1" si="50"/>
        <v>#REF!</v>
      </c>
      <c r="N160" s="32" t="e">
        <f t="shared" ca="1" si="50"/>
        <v>#REF!</v>
      </c>
      <c r="O160" s="32" t="e">
        <f t="shared" ca="1" si="50"/>
        <v>#REF!</v>
      </c>
      <c r="P160" s="32" t="e">
        <f t="shared" ca="1" si="50"/>
        <v>#REF!</v>
      </c>
      <c r="Q160" s="32" t="e">
        <f t="shared" ca="1" si="50"/>
        <v>#REF!</v>
      </c>
      <c r="R160">
        <v>0</v>
      </c>
      <c r="S160" s="29" t="str">
        <f t="shared" si="48"/>
        <v/>
      </c>
      <c r="T160" s="29">
        <f t="shared" si="49"/>
        <v>2035</v>
      </c>
      <c r="U160" s="32" t="e">
        <f t="shared" ca="1" si="52"/>
        <v>#REF!</v>
      </c>
      <c r="V160" s="32" t="e">
        <f t="shared" ca="1" si="52"/>
        <v>#REF!</v>
      </c>
      <c r="W160" s="32" t="e">
        <f t="shared" ca="1" si="52"/>
        <v>#REF!</v>
      </c>
      <c r="X160" s="32" t="e">
        <f t="shared" ca="1" si="52"/>
        <v>#REF!</v>
      </c>
      <c r="Y160" s="1" t="e">
        <f t="shared" ca="1" si="53"/>
        <v>#REF!</v>
      </c>
      <c r="AA160" s="31" t="e">
        <f t="shared" ca="1" si="51"/>
        <v>#REF!</v>
      </c>
      <c r="AC160" s="34" t="e">
        <f t="shared" ca="1" si="54"/>
        <v>#REF!</v>
      </c>
      <c r="AD160" s="34" t="e">
        <f t="shared" ca="1" si="55"/>
        <v>#REF!</v>
      </c>
      <c r="AE160" s="34" t="e">
        <f t="shared" ref="AE160:AE223" ca="1" si="56">SUM(L160:M160)</f>
        <v>#REF!</v>
      </c>
    </row>
    <row r="161" spans="1:31" x14ac:dyDescent="0.2">
      <c r="A161" s="29"/>
      <c r="C161" s="29" t="str">
        <f t="shared" si="37"/>
        <v/>
      </c>
      <c r="D161" s="29">
        <f t="shared" si="38"/>
        <v>2040</v>
      </c>
      <c r="E161" s="32" t="e">
        <f t="shared" ca="1" si="50"/>
        <v>#REF!</v>
      </c>
      <c r="F161" s="32" t="e">
        <f t="shared" ca="1" si="50"/>
        <v>#REF!</v>
      </c>
      <c r="G161" s="32" t="e">
        <f t="shared" ca="1" si="50"/>
        <v>#REF!</v>
      </c>
      <c r="H161" s="32" t="e">
        <f t="shared" ca="1" si="50"/>
        <v>#REF!</v>
      </c>
      <c r="I161" s="32" t="e">
        <f t="shared" ca="1" si="50"/>
        <v>#REF!</v>
      </c>
      <c r="J161" s="32" t="e">
        <f t="shared" ca="1" si="50"/>
        <v>#REF!</v>
      </c>
      <c r="K161" s="32" t="e">
        <f t="shared" ca="1" si="50"/>
        <v>#REF!</v>
      </c>
      <c r="L161" s="32" t="e">
        <f t="shared" ca="1" si="50"/>
        <v>#REF!</v>
      </c>
      <c r="M161" s="32" t="e">
        <f t="shared" ca="1" si="50"/>
        <v>#REF!</v>
      </c>
      <c r="N161" s="32" t="e">
        <f t="shared" ca="1" si="50"/>
        <v>#REF!</v>
      </c>
      <c r="O161" s="32" t="e">
        <f t="shared" ca="1" si="50"/>
        <v>#REF!</v>
      </c>
      <c r="P161" s="32" t="e">
        <f t="shared" ca="1" si="50"/>
        <v>#REF!</v>
      </c>
      <c r="Q161" s="32" t="e">
        <f t="shared" ca="1" si="50"/>
        <v>#REF!</v>
      </c>
      <c r="R161">
        <v>0</v>
      </c>
      <c r="S161" s="29" t="str">
        <f t="shared" si="48"/>
        <v/>
      </c>
      <c r="T161" s="29">
        <f t="shared" si="49"/>
        <v>2040</v>
      </c>
      <c r="U161" s="32" t="e">
        <f t="shared" ca="1" si="52"/>
        <v>#REF!</v>
      </c>
      <c r="V161" s="32" t="e">
        <f t="shared" ca="1" si="52"/>
        <v>#REF!</v>
      </c>
      <c r="W161" s="32" t="e">
        <f t="shared" ca="1" si="52"/>
        <v>#REF!</v>
      </c>
      <c r="X161" s="32" t="e">
        <f t="shared" ca="1" si="52"/>
        <v>#REF!</v>
      </c>
      <c r="Y161" s="1" t="e">
        <f t="shared" ca="1" si="53"/>
        <v>#REF!</v>
      </c>
      <c r="AA161" s="31" t="e">
        <f t="shared" ca="1" si="51"/>
        <v>#REF!</v>
      </c>
      <c r="AC161" s="34" t="e">
        <f t="shared" ca="1" si="54"/>
        <v>#REF!</v>
      </c>
      <c r="AD161" s="34" t="e">
        <f t="shared" ca="1" si="55"/>
        <v>#REF!</v>
      </c>
      <c r="AE161" s="34" t="e">
        <f t="shared" ca="1" si="56"/>
        <v>#REF!</v>
      </c>
    </row>
    <row r="162" spans="1:31" x14ac:dyDescent="0.2">
      <c r="A162" s="29"/>
      <c r="C162" s="29" t="str">
        <f t="shared" si="37"/>
        <v/>
      </c>
      <c r="D162" s="29">
        <f t="shared" si="38"/>
        <v>2045</v>
      </c>
      <c r="E162" s="32" t="e">
        <f t="shared" ref="E162:Q171" ca="1" si="57">INDEX(INDIRECT("'"&amp;$B162&amp;"'!"&amp;$A$1),MATCH(E$31,INDIRECT("'"&amp;$B162&amp;"'!G43:G55"),0),MATCH($D162,INDIRECT("'"&amp;$B162&amp;"'!H42:AG42")))</f>
        <v>#REF!</v>
      </c>
      <c r="F162" s="32" t="e">
        <f t="shared" ca="1" si="57"/>
        <v>#REF!</v>
      </c>
      <c r="G162" s="32" t="e">
        <f t="shared" ca="1" si="57"/>
        <v>#REF!</v>
      </c>
      <c r="H162" s="32" t="e">
        <f t="shared" ca="1" si="57"/>
        <v>#REF!</v>
      </c>
      <c r="I162" s="32" t="e">
        <f t="shared" ca="1" si="57"/>
        <v>#REF!</v>
      </c>
      <c r="J162" s="32" t="e">
        <f t="shared" ca="1" si="57"/>
        <v>#REF!</v>
      </c>
      <c r="K162" s="32" t="e">
        <f t="shared" ca="1" si="57"/>
        <v>#REF!</v>
      </c>
      <c r="L162" s="32" t="e">
        <f t="shared" ca="1" si="57"/>
        <v>#REF!</v>
      </c>
      <c r="M162" s="32" t="e">
        <f t="shared" ca="1" si="57"/>
        <v>#REF!</v>
      </c>
      <c r="N162" s="32" t="e">
        <f t="shared" ca="1" si="57"/>
        <v>#REF!</v>
      </c>
      <c r="O162" s="32" t="e">
        <f t="shared" ca="1" si="57"/>
        <v>#REF!</v>
      </c>
      <c r="P162" s="32" t="e">
        <f t="shared" ca="1" si="57"/>
        <v>#REF!</v>
      </c>
      <c r="Q162" s="32" t="e">
        <f t="shared" ca="1" si="57"/>
        <v>#REF!</v>
      </c>
      <c r="R162">
        <v>0</v>
      </c>
      <c r="S162" s="29" t="str">
        <f t="shared" si="48"/>
        <v/>
      </c>
      <c r="T162" s="29">
        <f t="shared" si="49"/>
        <v>2045</v>
      </c>
      <c r="U162" s="32" t="e">
        <f t="shared" ca="1" si="52"/>
        <v>#REF!</v>
      </c>
      <c r="V162" s="32" t="e">
        <f t="shared" ca="1" si="52"/>
        <v>#REF!</v>
      </c>
      <c r="W162" s="32" t="e">
        <f t="shared" ca="1" si="52"/>
        <v>#REF!</v>
      </c>
      <c r="X162" s="32" t="e">
        <f t="shared" ca="1" si="52"/>
        <v>#REF!</v>
      </c>
      <c r="Y162" s="1" t="e">
        <f t="shared" ca="1" si="53"/>
        <v>#REF!</v>
      </c>
      <c r="AA162" s="31" t="e">
        <f t="shared" ca="1" si="51"/>
        <v>#REF!</v>
      </c>
      <c r="AC162" s="34" t="e">
        <f t="shared" ca="1" si="54"/>
        <v>#REF!</v>
      </c>
      <c r="AD162" s="34" t="e">
        <f t="shared" ca="1" si="55"/>
        <v>#REF!</v>
      </c>
      <c r="AE162" s="34" t="e">
        <f t="shared" ca="1" si="56"/>
        <v>#REF!</v>
      </c>
    </row>
    <row r="163" spans="1:31" x14ac:dyDescent="0.2">
      <c r="A163" s="29"/>
      <c r="C163" s="29" t="str">
        <f t="shared" si="37"/>
        <v/>
      </c>
      <c r="D163" s="29">
        <f t="shared" si="38"/>
        <v>2050</v>
      </c>
      <c r="E163" s="32" t="e">
        <f t="shared" ca="1" si="57"/>
        <v>#REF!</v>
      </c>
      <c r="F163" s="32" t="e">
        <f t="shared" ca="1" si="57"/>
        <v>#REF!</v>
      </c>
      <c r="G163" s="32" t="e">
        <f t="shared" ca="1" si="57"/>
        <v>#REF!</v>
      </c>
      <c r="H163" s="32" t="e">
        <f t="shared" ca="1" si="57"/>
        <v>#REF!</v>
      </c>
      <c r="I163" s="32" t="e">
        <f t="shared" ca="1" si="57"/>
        <v>#REF!</v>
      </c>
      <c r="J163" s="32" t="e">
        <f t="shared" ca="1" si="57"/>
        <v>#REF!</v>
      </c>
      <c r="K163" s="32" t="e">
        <f t="shared" ca="1" si="57"/>
        <v>#REF!</v>
      </c>
      <c r="L163" s="32" t="e">
        <f t="shared" ca="1" si="57"/>
        <v>#REF!</v>
      </c>
      <c r="M163" s="32" t="e">
        <f t="shared" ca="1" si="57"/>
        <v>#REF!</v>
      </c>
      <c r="N163" s="32" t="e">
        <f t="shared" ca="1" si="57"/>
        <v>#REF!</v>
      </c>
      <c r="O163" s="32" t="e">
        <f t="shared" ca="1" si="57"/>
        <v>#REF!</v>
      </c>
      <c r="P163" s="32" t="e">
        <f t="shared" ca="1" si="57"/>
        <v>#REF!</v>
      </c>
      <c r="Q163" s="32" t="e">
        <f t="shared" ca="1" si="57"/>
        <v>#REF!</v>
      </c>
      <c r="R163">
        <v>0</v>
      </c>
      <c r="S163" s="29" t="str">
        <f t="shared" si="48"/>
        <v/>
      </c>
      <c r="T163" s="29">
        <f t="shared" si="49"/>
        <v>2050</v>
      </c>
      <c r="U163" s="32" t="e">
        <f t="shared" ca="1" si="52"/>
        <v>#REF!</v>
      </c>
      <c r="V163" s="32" t="e">
        <f t="shared" ca="1" si="52"/>
        <v>#REF!</v>
      </c>
      <c r="W163" s="32" t="e">
        <f t="shared" ca="1" si="52"/>
        <v>#REF!</v>
      </c>
      <c r="X163" s="32" t="e">
        <f t="shared" ca="1" si="52"/>
        <v>#REF!</v>
      </c>
      <c r="Y163" s="1" t="e">
        <f t="shared" ca="1" si="53"/>
        <v>#REF!</v>
      </c>
      <c r="AA163" s="31" t="e">
        <f t="shared" ca="1" si="51"/>
        <v>#REF!</v>
      </c>
      <c r="AC163" s="34" t="e">
        <f t="shared" ca="1" si="54"/>
        <v>#REF!</v>
      </c>
      <c r="AD163" s="34" t="e">
        <f t="shared" ca="1" si="55"/>
        <v>#REF!</v>
      </c>
      <c r="AE163" s="34" t="e">
        <f t="shared" ca="1" si="56"/>
        <v>#REF!</v>
      </c>
    </row>
    <row r="164" spans="1:31" x14ac:dyDescent="0.2">
      <c r="A164" s="29"/>
      <c r="C164" s="29" t="str">
        <f t="shared" si="37"/>
        <v/>
      </c>
      <c r="D164" s="29">
        <f t="shared" si="38"/>
        <v>2025</v>
      </c>
      <c r="E164" s="32" t="e">
        <f t="shared" ca="1" si="57"/>
        <v>#REF!</v>
      </c>
      <c r="F164" s="32" t="e">
        <f t="shared" ca="1" si="57"/>
        <v>#REF!</v>
      </c>
      <c r="G164" s="32" t="e">
        <f t="shared" ca="1" si="57"/>
        <v>#REF!</v>
      </c>
      <c r="H164" s="32" t="e">
        <f t="shared" ca="1" si="57"/>
        <v>#REF!</v>
      </c>
      <c r="I164" s="32" t="e">
        <f t="shared" ca="1" si="57"/>
        <v>#REF!</v>
      </c>
      <c r="J164" s="32" t="e">
        <f t="shared" ca="1" si="57"/>
        <v>#REF!</v>
      </c>
      <c r="K164" s="32" t="e">
        <f t="shared" ca="1" si="57"/>
        <v>#REF!</v>
      </c>
      <c r="L164" s="32" t="e">
        <f t="shared" ca="1" si="57"/>
        <v>#REF!</v>
      </c>
      <c r="M164" s="32" t="e">
        <f t="shared" ca="1" si="57"/>
        <v>#REF!</v>
      </c>
      <c r="N164" s="32" t="e">
        <f t="shared" ca="1" si="57"/>
        <v>#REF!</v>
      </c>
      <c r="O164" s="32" t="e">
        <f t="shared" ca="1" si="57"/>
        <v>#REF!</v>
      </c>
      <c r="P164" s="32" t="e">
        <f t="shared" ca="1" si="57"/>
        <v>#REF!</v>
      </c>
      <c r="Q164" s="32" t="e">
        <f t="shared" ca="1" si="57"/>
        <v>#REF!</v>
      </c>
      <c r="R164">
        <v>0</v>
      </c>
      <c r="S164" s="29" t="str">
        <f t="shared" ref="S164:S174" si="58">C164</f>
        <v/>
      </c>
      <c r="T164" s="29">
        <f t="shared" ref="T164:T174" si="59">D164</f>
        <v>2025</v>
      </c>
      <c r="U164" s="32" t="e">
        <f t="shared" ca="1" si="52"/>
        <v>#REF!</v>
      </c>
      <c r="V164" s="32" t="e">
        <f t="shared" ca="1" si="52"/>
        <v>#REF!</v>
      </c>
      <c r="W164" s="32" t="e">
        <f t="shared" ca="1" si="52"/>
        <v>#REF!</v>
      </c>
      <c r="X164" s="32" t="e">
        <f t="shared" ca="1" si="52"/>
        <v>#REF!</v>
      </c>
      <c r="Y164" s="1">
        <f t="shared" si="53"/>
        <v>0</v>
      </c>
      <c r="AA164" s="31" t="e">
        <f t="shared" ca="1" si="51"/>
        <v>#REF!</v>
      </c>
      <c r="AC164" s="34" t="e">
        <f t="shared" ca="1" si="54"/>
        <v>#REF!</v>
      </c>
      <c r="AD164" s="34" t="e">
        <f t="shared" ca="1" si="55"/>
        <v>#REF!</v>
      </c>
      <c r="AE164" s="34" t="e">
        <f t="shared" ca="1" si="56"/>
        <v>#REF!</v>
      </c>
    </row>
    <row r="165" spans="1:31" x14ac:dyDescent="0.2">
      <c r="A165" s="29"/>
      <c r="C165" s="29" t="str">
        <f t="shared" si="37"/>
        <v/>
      </c>
      <c r="D165" s="29">
        <f t="shared" si="38"/>
        <v>2030</v>
      </c>
      <c r="E165" s="32" t="e">
        <f t="shared" ca="1" si="57"/>
        <v>#REF!</v>
      </c>
      <c r="F165" s="32" t="e">
        <f t="shared" ca="1" si="57"/>
        <v>#REF!</v>
      </c>
      <c r="G165" s="32" t="e">
        <f t="shared" ca="1" si="57"/>
        <v>#REF!</v>
      </c>
      <c r="H165" s="32" t="e">
        <f t="shared" ca="1" si="57"/>
        <v>#REF!</v>
      </c>
      <c r="I165" s="32" t="e">
        <f t="shared" ca="1" si="57"/>
        <v>#REF!</v>
      </c>
      <c r="J165" s="32" t="e">
        <f t="shared" ca="1" si="57"/>
        <v>#REF!</v>
      </c>
      <c r="K165" s="32" t="e">
        <f t="shared" ca="1" si="57"/>
        <v>#REF!</v>
      </c>
      <c r="L165" s="32" t="e">
        <f t="shared" ca="1" si="57"/>
        <v>#REF!</v>
      </c>
      <c r="M165" s="32" t="e">
        <f t="shared" ca="1" si="57"/>
        <v>#REF!</v>
      </c>
      <c r="N165" s="32" t="e">
        <f t="shared" ca="1" si="57"/>
        <v>#REF!</v>
      </c>
      <c r="O165" s="32" t="e">
        <f t="shared" ca="1" si="57"/>
        <v>#REF!</v>
      </c>
      <c r="P165" s="32" t="e">
        <f t="shared" ca="1" si="57"/>
        <v>#REF!</v>
      </c>
      <c r="Q165" s="32" t="e">
        <f t="shared" ca="1" si="57"/>
        <v>#REF!</v>
      </c>
      <c r="R165">
        <v>0</v>
      </c>
      <c r="S165" s="29" t="str">
        <f t="shared" si="58"/>
        <v/>
      </c>
      <c r="T165" s="29">
        <f t="shared" si="59"/>
        <v>2030</v>
      </c>
      <c r="U165" s="32" t="e">
        <f t="shared" ca="1" si="52"/>
        <v>#REF!</v>
      </c>
      <c r="V165" s="32" t="e">
        <f t="shared" ca="1" si="52"/>
        <v>#REF!</v>
      </c>
      <c r="W165" s="32" t="e">
        <f t="shared" ca="1" si="52"/>
        <v>#REF!</v>
      </c>
      <c r="X165" s="32" t="e">
        <f t="shared" ca="1" si="52"/>
        <v>#REF!</v>
      </c>
      <c r="Y165" s="1" t="e">
        <f t="shared" ca="1" si="53"/>
        <v>#REF!</v>
      </c>
      <c r="AA165" s="31" t="e">
        <f t="shared" ca="1" si="51"/>
        <v>#REF!</v>
      </c>
      <c r="AC165" s="34" t="e">
        <f t="shared" ca="1" si="54"/>
        <v>#REF!</v>
      </c>
      <c r="AD165" s="34" t="e">
        <f t="shared" ca="1" si="55"/>
        <v>#REF!</v>
      </c>
      <c r="AE165" s="34" t="e">
        <f t="shared" ca="1" si="56"/>
        <v>#REF!</v>
      </c>
    </row>
    <row r="166" spans="1:31" x14ac:dyDescent="0.2">
      <c r="A166" s="29"/>
      <c r="C166" s="29" t="str">
        <f t="shared" si="37"/>
        <v/>
      </c>
      <c r="D166" s="29">
        <f t="shared" si="38"/>
        <v>2035</v>
      </c>
      <c r="E166" s="32" t="e">
        <f t="shared" ca="1" si="57"/>
        <v>#REF!</v>
      </c>
      <c r="F166" s="32" t="e">
        <f t="shared" ca="1" si="57"/>
        <v>#REF!</v>
      </c>
      <c r="G166" s="32" t="e">
        <f t="shared" ca="1" si="57"/>
        <v>#REF!</v>
      </c>
      <c r="H166" s="32" t="e">
        <f t="shared" ca="1" si="57"/>
        <v>#REF!</v>
      </c>
      <c r="I166" s="32" t="e">
        <f t="shared" ca="1" si="57"/>
        <v>#REF!</v>
      </c>
      <c r="J166" s="32" t="e">
        <f t="shared" ca="1" si="57"/>
        <v>#REF!</v>
      </c>
      <c r="K166" s="32" t="e">
        <f t="shared" ca="1" si="57"/>
        <v>#REF!</v>
      </c>
      <c r="L166" s="32" t="e">
        <f t="shared" ca="1" si="57"/>
        <v>#REF!</v>
      </c>
      <c r="M166" s="32" t="e">
        <f t="shared" ca="1" si="57"/>
        <v>#REF!</v>
      </c>
      <c r="N166" s="32" t="e">
        <f t="shared" ca="1" si="57"/>
        <v>#REF!</v>
      </c>
      <c r="O166" s="32" t="e">
        <f t="shared" ca="1" si="57"/>
        <v>#REF!</v>
      </c>
      <c r="P166" s="32" t="e">
        <f t="shared" ca="1" si="57"/>
        <v>#REF!</v>
      </c>
      <c r="Q166" s="32" t="e">
        <f t="shared" ca="1" si="57"/>
        <v>#REF!</v>
      </c>
      <c r="R166">
        <v>0</v>
      </c>
      <c r="S166" s="29" t="str">
        <f t="shared" si="58"/>
        <v/>
      </c>
      <c r="T166" s="29">
        <f t="shared" si="59"/>
        <v>2035</v>
      </c>
      <c r="U166" s="32" t="e">
        <f t="shared" ca="1" si="52"/>
        <v>#REF!</v>
      </c>
      <c r="V166" s="32" t="e">
        <f t="shared" ca="1" si="52"/>
        <v>#REF!</v>
      </c>
      <c r="W166" s="32" t="e">
        <f t="shared" ca="1" si="52"/>
        <v>#REF!</v>
      </c>
      <c r="X166" s="32" t="e">
        <f t="shared" ca="1" si="52"/>
        <v>#REF!</v>
      </c>
      <c r="Y166" s="1" t="e">
        <f t="shared" ca="1" si="53"/>
        <v>#REF!</v>
      </c>
      <c r="AA166" s="31" t="e">
        <f t="shared" ca="1" si="51"/>
        <v>#REF!</v>
      </c>
      <c r="AC166" s="34" t="e">
        <f t="shared" ca="1" si="54"/>
        <v>#REF!</v>
      </c>
      <c r="AD166" s="34" t="e">
        <f t="shared" ca="1" si="55"/>
        <v>#REF!</v>
      </c>
      <c r="AE166" s="34" t="e">
        <f t="shared" ca="1" si="56"/>
        <v>#REF!</v>
      </c>
    </row>
    <row r="167" spans="1:31" x14ac:dyDescent="0.2">
      <c r="A167" s="29"/>
      <c r="C167" s="29" t="str">
        <f t="shared" ref="C167:C181" si="60">IF(B167=B166,"",B167)</f>
        <v/>
      </c>
      <c r="D167" s="29">
        <f t="shared" si="38"/>
        <v>2040</v>
      </c>
      <c r="E167" s="32" t="e">
        <f t="shared" ca="1" si="57"/>
        <v>#REF!</v>
      </c>
      <c r="F167" s="32" t="e">
        <f t="shared" ca="1" si="57"/>
        <v>#REF!</v>
      </c>
      <c r="G167" s="32" t="e">
        <f t="shared" ca="1" si="57"/>
        <v>#REF!</v>
      </c>
      <c r="H167" s="32" t="e">
        <f t="shared" ca="1" si="57"/>
        <v>#REF!</v>
      </c>
      <c r="I167" s="32" t="e">
        <f t="shared" ca="1" si="57"/>
        <v>#REF!</v>
      </c>
      <c r="J167" s="32" t="e">
        <f t="shared" ca="1" si="57"/>
        <v>#REF!</v>
      </c>
      <c r="K167" s="32" t="e">
        <f t="shared" ca="1" si="57"/>
        <v>#REF!</v>
      </c>
      <c r="L167" s="32" t="e">
        <f t="shared" ca="1" si="57"/>
        <v>#REF!</v>
      </c>
      <c r="M167" s="32" t="e">
        <f t="shared" ca="1" si="57"/>
        <v>#REF!</v>
      </c>
      <c r="N167" s="32" t="e">
        <f t="shared" ca="1" si="57"/>
        <v>#REF!</v>
      </c>
      <c r="O167" s="32" t="e">
        <f t="shared" ca="1" si="57"/>
        <v>#REF!</v>
      </c>
      <c r="P167" s="32" t="e">
        <f t="shared" ca="1" si="57"/>
        <v>#REF!</v>
      </c>
      <c r="Q167" s="32" t="e">
        <f t="shared" ca="1" si="57"/>
        <v>#REF!</v>
      </c>
      <c r="R167">
        <v>0</v>
      </c>
      <c r="S167" s="29" t="str">
        <f t="shared" si="58"/>
        <v/>
      </c>
      <c r="T167" s="29">
        <f t="shared" si="59"/>
        <v>2040</v>
      </c>
      <c r="U167" s="32" t="e">
        <f t="shared" ca="1" si="52"/>
        <v>#REF!</v>
      </c>
      <c r="V167" s="32" t="e">
        <f t="shared" ca="1" si="52"/>
        <v>#REF!</v>
      </c>
      <c r="W167" s="32" t="e">
        <f t="shared" ca="1" si="52"/>
        <v>#REF!</v>
      </c>
      <c r="X167" s="32" t="e">
        <f t="shared" ca="1" si="52"/>
        <v>#REF!</v>
      </c>
      <c r="Y167" s="1" t="e">
        <f t="shared" ca="1" si="53"/>
        <v>#REF!</v>
      </c>
      <c r="AA167" s="31" t="e">
        <f t="shared" ca="1" si="51"/>
        <v>#REF!</v>
      </c>
      <c r="AC167" s="34" t="e">
        <f t="shared" ca="1" si="54"/>
        <v>#REF!</v>
      </c>
      <c r="AD167" s="34" t="e">
        <f t="shared" ca="1" si="55"/>
        <v>#REF!</v>
      </c>
      <c r="AE167" s="34" t="e">
        <f t="shared" ca="1" si="56"/>
        <v>#REF!</v>
      </c>
    </row>
    <row r="168" spans="1:31" x14ac:dyDescent="0.2">
      <c r="A168" s="29"/>
      <c r="C168" s="29" t="str">
        <f t="shared" si="60"/>
        <v/>
      </c>
      <c r="D168" s="29">
        <f t="shared" si="38"/>
        <v>2045</v>
      </c>
      <c r="E168" s="32" t="e">
        <f t="shared" ca="1" si="57"/>
        <v>#REF!</v>
      </c>
      <c r="F168" s="32" t="e">
        <f t="shared" ca="1" si="57"/>
        <v>#REF!</v>
      </c>
      <c r="G168" s="32" t="e">
        <f t="shared" ca="1" si="57"/>
        <v>#REF!</v>
      </c>
      <c r="H168" s="32" t="e">
        <f t="shared" ca="1" si="57"/>
        <v>#REF!</v>
      </c>
      <c r="I168" s="32" t="e">
        <f t="shared" ca="1" si="57"/>
        <v>#REF!</v>
      </c>
      <c r="J168" s="32" t="e">
        <f t="shared" ca="1" si="57"/>
        <v>#REF!</v>
      </c>
      <c r="K168" s="32" t="e">
        <f t="shared" ca="1" si="57"/>
        <v>#REF!</v>
      </c>
      <c r="L168" s="32" t="e">
        <f t="shared" ca="1" si="57"/>
        <v>#REF!</v>
      </c>
      <c r="M168" s="32" t="e">
        <f t="shared" ca="1" si="57"/>
        <v>#REF!</v>
      </c>
      <c r="N168" s="32" t="e">
        <f t="shared" ca="1" si="57"/>
        <v>#REF!</v>
      </c>
      <c r="O168" s="32" t="e">
        <f t="shared" ca="1" si="57"/>
        <v>#REF!</v>
      </c>
      <c r="P168" s="32" t="e">
        <f t="shared" ca="1" si="57"/>
        <v>#REF!</v>
      </c>
      <c r="Q168" s="32" t="e">
        <f t="shared" ca="1" si="57"/>
        <v>#REF!</v>
      </c>
      <c r="R168">
        <v>0</v>
      </c>
      <c r="S168" s="29" t="str">
        <f t="shared" si="58"/>
        <v/>
      </c>
      <c r="T168" s="29">
        <f t="shared" si="59"/>
        <v>2045</v>
      </c>
      <c r="U168" s="32" t="e">
        <f t="shared" ca="1" si="52"/>
        <v>#REF!</v>
      </c>
      <c r="V168" s="32" t="e">
        <f t="shared" ca="1" si="52"/>
        <v>#REF!</v>
      </c>
      <c r="W168" s="32" t="e">
        <f t="shared" ca="1" si="52"/>
        <v>#REF!</v>
      </c>
      <c r="X168" s="32" t="e">
        <f t="shared" ca="1" si="52"/>
        <v>#REF!</v>
      </c>
      <c r="Y168" s="1" t="e">
        <f t="shared" ca="1" si="53"/>
        <v>#REF!</v>
      </c>
      <c r="AA168" s="31" t="e">
        <f t="shared" ca="1" si="51"/>
        <v>#REF!</v>
      </c>
      <c r="AC168" s="34" t="e">
        <f t="shared" ca="1" si="54"/>
        <v>#REF!</v>
      </c>
      <c r="AD168" s="34" t="e">
        <f t="shared" ca="1" si="55"/>
        <v>#REF!</v>
      </c>
      <c r="AE168" s="34" t="e">
        <f t="shared" ca="1" si="56"/>
        <v>#REF!</v>
      </c>
    </row>
    <row r="169" spans="1:31" x14ac:dyDescent="0.2">
      <c r="A169" s="29"/>
      <c r="C169" s="29" t="str">
        <f t="shared" si="60"/>
        <v/>
      </c>
      <c r="D169" s="29">
        <f t="shared" si="38"/>
        <v>2050</v>
      </c>
      <c r="E169" s="32" t="e">
        <f t="shared" ca="1" si="57"/>
        <v>#REF!</v>
      </c>
      <c r="F169" s="32" t="e">
        <f t="shared" ca="1" si="57"/>
        <v>#REF!</v>
      </c>
      <c r="G169" s="32" t="e">
        <f t="shared" ca="1" si="57"/>
        <v>#REF!</v>
      </c>
      <c r="H169" s="32" t="e">
        <f t="shared" ca="1" si="57"/>
        <v>#REF!</v>
      </c>
      <c r="I169" s="32" t="e">
        <f t="shared" ca="1" si="57"/>
        <v>#REF!</v>
      </c>
      <c r="J169" s="32" t="e">
        <f t="shared" ca="1" si="57"/>
        <v>#REF!</v>
      </c>
      <c r="K169" s="32" t="e">
        <f t="shared" ca="1" si="57"/>
        <v>#REF!</v>
      </c>
      <c r="L169" s="32" t="e">
        <f t="shared" ca="1" si="57"/>
        <v>#REF!</v>
      </c>
      <c r="M169" s="32" t="e">
        <f t="shared" ca="1" si="57"/>
        <v>#REF!</v>
      </c>
      <c r="N169" s="32" t="e">
        <f t="shared" ca="1" si="57"/>
        <v>#REF!</v>
      </c>
      <c r="O169" s="32" t="e">
        <f t="shared" ca="1" si="57"/>
        <v>#REF!</v>
      </c>
      <c r="P169" s="32" t="e">
        <f t="shared" ca="1" si="57"/>
        <v>#REF!</v>
      </c>
      <c r="Q169" s="32" t="e">
        <f t="shared" ca="1" si="57"/>
        <v>#REF!</v>
      </c>
      <c r="R169">
        <v>0</v>
      </c>
      <c r="S169" s="29" t="str">
        <f t="shared" si="58"/>
        <v/>
      </c>
      <c r="T169" s="29">
        <f t="shared" si="59"/>
        <v>2050</v>
      </c>
      <c r="U169" s="32" t="e">
        <f t="shared" ca="1" si="52"/>
        <v>#REF!</v>
      </c>
      <c r="V169" s="32" t="e">
        <f t="shared" ca="1" si="52"/>
        <v>#REF!</v>
      </c>
      <c r="W169" s="32" t="e">
        <f t="shared" ca="1" si="52"/>
        <v>#REF!</v>
      </c>
      <c r="X169" s="32" t="e">
        <f t="shared" ca="1" si="52"/>
        <v>#REF!</v>
      </c>
      <c r="Y169" s="1" t="e">
        <f t="shared" ca="1" si="53"/>
        <v>#REF!</v>
      </c>
      <c r="AA169" s="31" t="e">
        <f t="shared" ca="1" si="51"/>
        <v>#REF!</v>
      </c>
      <c r="AC169" s="34" t="e">
        <f t="shared" ca="1" si="54"/>
        <v>#REF!</v>
      </c>
      <c r="AD169" s="34" t="e">
        <f t="shared" ca="1" si="55"/>
        <v>#REF!</v>
      </c>
      <c r="AE169" s="34" t="e">
        <f t="shared" ca="1" si="56"/>
        <v>#REF!</v>
      </c>
    </row>
    <row r="170" spans="1:31" x14ac:dyDescent="0.2">
      <c r="A170" s="29"/>
      <c r="C170" s="29" t="str">
        <f t="shared" si="60"/>
        <v/>
      </c>
      <c r="D170" s="29">
        <f t="shared" si="38"/>
        <v>2025</v>
      </c>
      <c r="E170" s="32" t="e">
        <f t="shared" ca="1" si="57"/>
        <v>#REF!</v>
      </c>
      <c r="F170" s="32" t="e">
        <f t="shared" ca="1" si="57"/>
        <v>#REF!</v>
      </c>
      <c r="G170" s="32" t="e">
        <f t="shared" ca="1" si="57"/>
        <v>#REF!</v>
      </c>
      <c r="H170" s="32" t="e">
        <f t="shared" ca="1" si="57"/>
        <v>#REF!</v>
      </c>
      <c r="I170" s="32" t="e">
        <f t="shared" ca="1" si="57"/>
        <v>#REF!</v>
      </c>
      <c r="J170" s="32" t="e">
        <f t="shared" ca="1" si="57"/>
        <v>#REF!</v>
      </c>
      <c r="K170" s="32" t="e">
        <f t="shared" ca="1" si="57"/>
        <v>#REF!</v>
      </c>
      <c r="L170" s="32" t="e">
        <f t="shared" ca="1" si="57"/>
        <v>#REF!</v>
      </c>
      <c r="M170" s="32" t="e">
        <f t="shared" ca="1" si="57"/>
        <v>#REF!</v>
      </c>
      <c r="N170" s="32" t="e">
        <f t="shared" ca="1" si="57"/>
        <v>#REF!</v>
      </c>
      <c r="O170" s="32" t="e">
        <f t="shared" ca="1" si="57"/>
        <v>#REF!</v>
      </c>
      <c r="P170" s="32" t="e">
        <f t="shared" ca="1" si="57"/>
        <v>#REF!</v>
      </c>
      <c r="Q170" s="32" t="e">
        <f t="shared" ca="1" si="57"/>
        <v>#REF!</v>
      </c>
      <c r="R170">
        <v>0</v>
      </c>
      <c r="S170" s="29" t="str">
        <f t="shared" si="58"/>
        <v/>
      </c>
      <c r="T170" s="29">
        <f t="shared" si="59"/>
        <v>2025</v>
      </c>
      <c r="U170" s="32" t="e">
        <f t="shared" ca="1" si="52"/>
        <v>#REF!</v>
      </c>
      <c r="V170" s="32" t="e">
        <f t="shared" ca="1" si="52"/>
        <v>#REF!</v>
      </c>
      <c r="W170" s="32" t="e">
        <f t="shared" ca="1" si="52"/>
        <v>#REF!</v>
      </c>
      <c r="X170" s="32" t="e">
        <f t="shared" ca="1" si="52"/>
        <v>#REF!</v>
      </c>
      <c r="Y170" s="1">
        <f t="shared" si="53"/>
        <v>0</v>
      </c>
      <c r="AA170" s="31" t="e">
        <f t="shared" ca="1" si="51"/>
        <v>#REF!</v>
      </c>
      <c r="AC170" s="34" t="e">
        <f t="shared" ca="1" si="54"/>
        <v>#REF!</v>
      </c>
      <c r="AD170" s="34" t="e">
        <f t="shared" ca="1" si="55"/>
        <v>#REF!</v>
      </c>
      <c r="AE170" s="34" t="e">
        <f t="shared" ca="1" si="56"/>
        <v>#REF!</v>
      </c>
    </row>
    <row r="171" spans="1:31" x14ac:dyDescent="0.2">
      <c r="A171" s="29"/>
      <c r="C171" s="29" t="str">
        <f t="shared" si="60"/>
        <v/>
      </c>
      <c r="D171" s="29">
        <f t="shared" si="38"/>
        <v>2030</v>
      </c>
      <c r="E171" s="32" t="e">
        <f t="shared" ca="1" si="57"/>
        <v>#REF!</v>
      </c>
      <c r="F171" s="32" t="e">
        <f t="shared" ca="1" si="57"/>
        <v>#REF!</v>
      </c>
      <c r="G171" s="32" t="e">
        <f t="shared" ca="1" si="57"/>
        <v>#REF!</v>
      </c>
      <c r="H171" s="32" t="e">
        <f t="shared" ca="1" si="57"/>
        <v>#REF!</v>
      </c>
      <c r="I171" s="32" t="e">
        <f t="shared" ca="1" si="57"/>
        <v>#REF!</v>
      </c>
      <c r="J171" s="32" t="e">
        <f t="shared" ca="1" si="57"/>
        <v>#REF!</v>
      </c>
      <c r="K171" s="32" t="e">
        <f t="shared" ca="1" si="57"/>
        <v>#REF!</v>
      </c>
      <c r="L171" s="32" t="e">
        <f t="shared" ca="1" si="57"/>
        <v>#REF!</v>
      </c>
      <c r="M171" s="32" t="e">
        <f t="shared" ca="1" si="57"/>
        <v>#REF!</v>
      </c>
      <c r="N171" s="32" t="e">
        <f t="shared" ca="1" si="57"/>
        <v>#REF!</v>
      </c>
      <c r="O171" s="32" t="e">
        <f t="shared" ca="1" si="57"/>
        <v>#REF!</v>
      </c>
      <c r="P171" s="32" t="e">
        <f t="shared" ca="1" si="57"/>
        <v>#REF!</v>
      </c>
      <c r="Q171" s="32" t="e">
        <f t="shared" ca="1" si="57"/>
        <v>#REF!</v>
      </c>
      <c r="R171">
        <v>0</v>
      </c>
      <c r="S171" s="29" t="str">
        <f t="shared" si="58"/>
        <v/>
      </c>
      <c r="T171" s="29">
        <f t="shared" si="59"/>
        <v>2030</v>
      </c>
      <c r="U171" s="32" t="e">
        <f t="shared" ca="1" si="52"/>
        <v>#REF!</v>
      </c>
      <c r="V171" s="32" t="e">
        <f t="shared" ca="1" si="52"/>
        <v>#REF!</v>
      </c>
      <c r="W171" s="32" t="e">
        <f t="shared" ca="1" si="52"/>
        <v>#REF!</v>
      </c>
      <c r="X171" s="32" t="e">
        <f t="shared" ca="1" si="52"/>
        <v>#REF!</v>
      </c>
      <c r="Y171" s="1" t="e">
        <f t="shared" ca="1" si="53"/>
        <v>#REF!</v>
      </c>
      <c r="AA171" s="31" t="e">
        <f t="shared" ca="1" si="51"/>
        <v>#REF!</v>
      </c>
      <c r="AC171" s="34" t="e">
        <f t="shared" ca="1" si="54"/>
        <v>#REF!</v>
      </c>
      <c r="AD171" s="34" t="e">
        <f t="shared" ca="1" si="55"/>
        <v>#REF!</v>
      </c>
      <c r="AE171" s="34" t="e">
        <f t="shared" ca="1" si="56"/>
        <v>#REF!</v>
      </c>
    </row>
    <row r="172" spans="1:31" x14ac:dyDescent="0.2">
      <c r="A172" s="29"/>
      <c r="C172" s="29" t="str">
        <f t="shared" si="60"/>
        <v/>
      </c>
      <c r="D172" s="29">
        <f t="shared" si="38"/>
        <v>2035</v>
      </c>
      <c r="E172" s="32" t="e">
        <f t="shared" ref="E172:Q181" ca="1" si="61">INDEX(INDIRECT("'"&amp;$B172&amp;"'!"&amp;$A$1),MATCH(E$31,INDIRECT("'"&amp;$B172&amp;"'!G43:G55"),0),MATCH($D172,INDIRECT("'"&amp;$B172&amp;"'!H42:AG42")))</f>
        <v>#REF!</v>
      </c>
      <c r="F172" s="32" t="e">
        <f t="shared" ca="1" si="61"/>
        <v>#REF!</v>
      </c>
      <c r="G172" s="32" t="e">
        <f t="shared" ca="1" si="61"/>
        <v>#REF!</v>
      </c>
      <c r="H172" s="32" t="e">
        <f t="shared" ca="1" si="61"/>
        <v>#REF!</v>
      </c>
      <c r="I172" s="32" t="e">
        <f t="shared" ca="1" si="61"/>
        <v>#REF!</v>
      </c>
      <c r="J172" s="32" t="e">
        <f t="shared" ca="1" si="61"/>
        <v>#REF!</v>
      </c>
      <c r="K172" s="32" t="e">
        <f t="shared" ca="1" si="61"/>
        <v>#REF!</v>
      </c>
      <c r="L172" s="32" t="e">
        <f t="shared" ca="1" si="61"/>
        <v>#REF!</v>
      </c>
      <c r="M172" s="32" t="e">
        <f t="shared" ca="1" si="61"/>
        <v>#REF!</v>
      </c>
      <c r="N172" s="32" t="e">
        <f t="shared" ca="1" si="61"/>
        <v>#REF!</v>
      </c>
      <c r="O172" s="32" t="e">
        <f t="shared" ca="1" si="61"/>
        <v>#REF!</v>
      </c>
      <c r="P172" s="32" t="e">
        <f t="shared" ca="1" si="61"/>
        <v>#REF!</v>
      </c>
      <c r="Q172" s="32" t="e">
        <f t="shared" ca="1" si="61"/>
        <v>#REF!</v>
      </c>
      <c r="R172">
        <v>0</v>
      </c>
      <c r="S172" s="29" t="str">
        <f t="shared" si="58"/>
        <v/>
      </c>
      <c r="T172" s="29">
        <f t="shared" si="59"/>
        <v>2035</v>
      </c>
      <c r="U172" s="32" t="e">
        <f t="shared" ca="1" si="52"/>
        <v>#REF!</v>
      </c>
      <c r="V172" s="32" t="e">
        <f t="shared" ca="1" si="52"/>
        <v>#REF!</v>
      </c>
      <c r="W172" s="32" t="e">
        <f t="shared" ca="1" si="52"/>
        <v>#REF!</v>
      </c>
      <c r="X172" s="32" t="e">
        <f t="shared" ca="1" si="52"/>
        <v>#REF!</v>
      </c>
      <c r="Y172" s="1" t="e">
        <f t="shared" ca="1" si="53"/>
        <v>#REF!</v>
      </c>
      <c r="AA172" s="31" t="e">
        <f t="shared" ca="1" si="51"/>
        <v>#REF!</v>
      </c>
      <c r="AC172" s="34" t="e">
        <f t="shared" ca="1" si="54"/>
        <v>#REF!</v>
      </c>
      <c r="AD172" s="34" t="e">
        <f t="shared" ca="1" si="55"/>
        <v>#REF!</v>
      </c>
      <c r="AE172" s="34" t="e">
        <f t="shared" ca="1" si="56"/>
        <v>#REF!</v>
      </c>
    </row>
    <row r="173" spans="1:31" x14ac:dyDescent="0.2">
      <c r="A173" s="29"/>
      <c r="C173" s="29" t="str">
        <f t="shared" si="60"/>
        <v/>
      </c>
      <c r="D173" s="29">
        <f t="shared" ref="D173:D181" si="62">D167</f>
        <v>2040</v>
      </c>
      <c r="E173" s="32" t="e">
        <f t="shared" ca="1" si="61"/>
        <v>#REF!</v>
      </c>
      <c r="F173" s="32" t="e">
        <f t="shared" ca="1" si="61"/>
        <v>#REF!</v>
      </c>
      <c r="G173" s="32" t="e">
        <f t="shared" ca="1" si="61"/>
        <v>#REF!</v>
      </c>
      <c r="H173" s="32" t="e">
        <f t="shared" ca="1" si="61"/>
        <v>#REF!</v>
      </c>
      <c r="I173" s="32" t="e">
        <f t="shared" ca="1" si="61"/>
        <v>#REF!</v>
      </c>
      <c r="J173" s="32" t="e">
        <f t="shared" ca="1" si="61"/>
        <v>#REF!</v>
      </c>
      <c r="K173" s="32" t="e">
        <f t="shared" ca="1" si="61"/>
        <v>#REF!</v>
      </c>
      <c r="L173" s="32" t="e">
        <f t="shared" ca="1" si="61"/>
        <v>#REF!</v>
      </c>
      <c r="M173" s="32" t="e">
        <f t="shared" ca="1" si="61"/>
        <v>#REF!</v>
      </c>
      <c r="N173" s="32" t="e">
        <f t="shared" ca="1" si="61"/>
        <v>#REF!</v>
      </c>
      <c r="O173" s="32" t="e">
        <f t="shared" ca="1" si="61"/>
        <v>#REF!</v>
      </c>
      <c r="P173" s="32" t="e">
        <f t="shared" ca="1" si="61"/>
        <v>#REF!</v>
      </c>
      <c r="Q173" s="32" t="e">
        <f t="shared" ca="1" si="61"/>
        <v>#REF!</v>
      </c>
      <c r="R173">
        <v>0</v>
      </c>
      <c r="S173" s="29" t="str">
        <f t="shared" si="58"/>
        <v/>
      </c>
      <c r="T173" s="29">
        <f t="shared" si="59"/>
        <v>2040</v>
      </c>
      <c r="U173" s="32" t="e">
        <f t="shared" ca="1" si="52"/>
        <v>#REF!</v>
      </c>
      <c r="V173" s="32" t="e">
        <f t="shared" ca="1" si="52"/>
        <v>#REF!</v>
      </c>
      <c r="W173" s="32" t="e">
        <f t="shared" ca="1" si="52"/>
        <v>#REF!</v>
      </c>
      <c r="X173" s="32" t="e">
        <f t="shared" ca="1" si="52"/>
        <v>#REF!</v>
      </c>
      <c r="Y173" s="1" t="e">
        <f t="shared" ca="1" si="53"/>
        <v>#REF!</v>
      </c>
      <c r="AA173" s="31" t="e">
        <f t="shared" ca="1" si="51"/>
        <v>#REF!</v>
      </c>
      <c r="AC173" s="34" t="e">
        <f t="shared" ca="1" si="54"/>
        <v>#REF!</v>
      </c>
      <c r="AD173" s="34" t="e">
        <f t="shared" ca="1" si="55"/>
        <v>#REF!</v>
      </c>
      <c r="AE173" s="34" t="e">
        <f t="shared" ca="1" si="56"/>
        <v>#REF!</v>
      </c>
    </row>
    <row r="174" spans="1:31" x14ac:dyDescent="0.2">
      <c r="A174" s="29"/>
      <c r="C174" s="29" t="str">
        <f t="shared" si="60"/>
        <v/>
      </c>
      <c r="D174" s="29">
        <f t="shared" si="62"/>
        <v>2045</v>
      </c>
      <c r="E174" s="32" t="e">
        <f t="shared" ca="1" si="61"/>
        <v>#REF!</v>
      </c>
      <c r="F174" s="32" t="e">
        <f t="shared" ca="1" si="61"/>
        <v>#REF!</v>
      </c>
      <c r="G174" s="32" t="e">
        <f t="shared" ca="1" si="61"/>
        <v>#REF!</v>
      </c>
      <c r="H174" s="32" t="e">
        <f t="shared" ca="1" si="61"/>
        <v>#REF!</v>
      </c>
      <c r="I174" s="32" t="e">
        <f t="shared" ca="1" si="61"/>
        <v>#REF!</v>
      </c>
      <c r="J174" s="32" t="e">
        <f t="shared" ca="1" si="61"/>
        <v>#REF!</v>
      </c>
      <c r="K174" s="32" t="e">
        <f t="shared" ca="1" si="61"/>
        <v>#REF!</v>
      </c>
      <c r="L174" s="32" t="e">
        <f t="shared" ca="1" si="61"/>
        <v>#REF!</v>
      </c>
      <c r="M174" s="32" t="e">
        <f t="shared" ca="1" si="61"/>
        <v>#REF!</v>
      </c>
      <c r="N174" s="32" t="e">
        <f t="shared" ca="1" si="61"/>
        <v>#REF!</v>
      </c>
      <c r="O174" s="32" t="e">
        <f t="shared" ca="1" si="61"/>
        <v>#REF!</v>
      </c>
      <c r="P174" s="32" t="e">
        <f t="shared" ca="1" si="61"/>
        <v>#REF!</v>
      </c>
      <c r="Q174" s="32" t="e">
        <f t="shared" ca="1" si="61"/>
        <v>#REF!</v>
      </c>
      <c r="R174">
        <v>0</v>
      </c>
      <c r="S174" s="29" t="str">
        <f t="shared" si="58"/>
        <v/>
      </c>
      <c r="T174" s="29">
        <f t="shared" si="59"/>
        <v>2045</v>
      </c>
      <c r="U174" s="32" t="e">
        <f t="shared" ca="1" si="52"/>
        <v>#REF!</v>
      </c>
      <c r="V174" s="32" t="e">
        <f t="shared" ca="1" si="52"/>
        <v>#REF!</v>
      </c>
      <c r="W174" s="32" t="e">
        <f t="shared" ca="1" si="52"/>
        <v>#REF!</v>
      </c>
      <c r="X174" s="32" t="e">
        <f t="shared" ca="1" si="52"/>
        <v>#REF!</v>
      </c>
      <c r="Y174" s="1" t="e">
        <f t="shared" ca="1" si="53"/>
        <v>#REF!</v>
      </c>
      <c r="AA174" s="31" t="e">
        <f t="shared" ca="1" si="51"/>
        <v>#REF!</v>
      </c>
      <c r="AC174" s="34" t="e">
        <f t="shared" ca="1" si="54"/>
        <v>#REF!</v>
      </c>
      <c r="AD174" s="34" t="e">
        <f t="shared" ca="1" si="55"/>
        <v>#REF!</v>
      </c>
      <c r="AE174" s="34" t="e">
        <f t="shared" ca="1" si="56"/>
        <v>#REF!</v>
      </c>
    </row>
    <row r="175" spans="1:31" x14ac:dyDescent="0.2">
      <c r="A175" s="29"/>
      <c r="C175" s="29" t="str">
        <f t="shared" si="60"/>
        <v/>
      </c>
      <c r="D175" s="29">
        <f t="shared" si="62"/>
        <v>2050</v>
      </c>
      <c r="E175" s="32" t="e">
        <f t="shared" ca="1" si="61"/>
        <v>#REF!</v>
      </c>
      <c r="F175" s="32" t="e">
        <f t="shared" ca="1" si="61"/>
        <v>#REF!</v>
      </c>
      <c r="G175" s="32" t="e">
        <f t="shared" ca="1" si="61"/>
        <v>#REF!</v>
      </c>
      <c r="H175" s="32" t="e">
        <f t="shared" ca="1" si="61"/>
        <v>#REF!</v>
      </c>
      <c r="I175" s="32" t="e">
        <f t="shared" ca="1" si="61"/>
        <v>#REF!</v>
      </c>
      <c r="J175" s="32" t="e">
        <f t="shared" ca="1" si="61"/>
        <v>#REF!</v>
      </c>
      <c r="K175" s="32" t="e">
        <f t="shared" ca="1" si="61"/>
        <v>#REF!</v>
      </c>
      <c r="L175" s="32" t="e">
        <f t="shared" ca="1" si="61"/>
        <v>#REF!</v>
      </c>
      <c r="M175" s="32" t="e">
        <f t="shared" ca="1" si="61"/>
        <v>#REF!</v>
      </c>
      <c r="N175" s="32" t="e">
        <f t="shared" ca="1" si="61"/>
        <v>#REF!</v>
      </c>
      <c r="O175" s="32" t="e">
        <f t="shared" ca="1" si="61"/>
        <v>#REF!</v>
      </c>
      <c r="P175" s="32" t="e">
        <f t="shared" ca="1" si="61"/>
        <v>#REF!</v>
      </c>
      <c r="Q175" s="32" t="e">
        <f t="shared" ca="1" si="61"/>
        <v>#REF!</v>
      </c>
      <c r="R175">
        <v>0</v>
      </c>
      <c r="S175" s="29" t="str">
        <f t="shared" ref="S175:S229" si="63">C175</f>
        <v/>
      </c>
      <c r="T175" s="29">
        <f t="shared" ref="T175:T229" si="64">D175</f>
        <v>2050</v>
      </c>
      <c r="U175" s="32" t="e">
        <f t="shared" ca="1" si="52"/>
        <v>#REF!</v>
      </c>
      <c r="V175" s="32" t="e">
        <f t="shared" ca="1" si="52"/>
        <v>#REF!</v>
      </c>
      <c r="W175" s="32" t="e">
        <f t="shared" ca="1" si="52"/>
        <v>#REF!</v>
      </c>
      <c r="X175" s="32" t="e">
        <f t="shared" ca="1" si="52"/>
        <v>#REF!</v>
      </c>
      <c r="Y175" s="1" t="e">
        <f t="shared" ref="Y175:Y229" ca="1" si="65">IF(T181=2025,0,(U181-U174)/5)</f>
        <v>#REF!</v>
      </c>
      <c r="AA175" s="31" t="e">
        <f t="shared" ca="1" si="51"/>
        <v>#REF!</v>
      </c>
      <c r="AC175" s="34" t="e">
        <f t="shared" ref="AC175:AC229" ca="1" si="66">SUM(E175:H175)</f>
        <v>#REF!</v>
      </c>
      <c r="AD175" s="34" t="e">
        <f t="shared" ca="1" si="55"/>
        <v>#REF!</v>
      </c>
      <c r="AE175" s="34" t="e">
        <f t="shared" ca="1" si="56"/>
        <v>#REF!</v>
      </c>
    </row>
    <row r="176" spans="1:31" x14ac:dyDescent="0.2">
      <c r="A176" s="29"/>
      <c r="C176" s="29" t="str">
        <f t="shared" si="60"/>
        <v/>
      </c>
      <c r="D176" s="29">
        <f t="shared" si="62"/>
        <v>2025</v>
      </c>
      <c r="E176" s="32" t="e">
        <f t="shared" ca="1" si="61"/>
        <v>#REF!</v>
      </c>
      <c r="F176" s="32" t="e">
        <f t="shared" ca="1" si="61"/>
        <v>#REF!</v>
      </c>
      <c r="G176" s="32" t="e">
        <f t="shared" ca="1" si="61"/>
        <v>#REF!</v>
      </c>
      <c r="H176" s="32" t="e">
        <f t="shared" ca="1" si="61"/>
        <v>#REF!</v>
      </c>
      <c r="I176" s="32" t="e">
        <f t="shared" ca="1" si="61"/>
        <v>#REF!</v>
      </c>
      <c r="J176" s="32" t="e">
        <f t="shared" ca="1" si="61"/>
        <v>#REF!</v>
      </c>
      <c r="K176" s="32" t="e">
        <f t="shared" ca="1" si="61"/>
        <v>#REF!</v>
      </c>
      <c r="L176" s="32" t="e">
        <f t="shared" ca="1" si="61"/>
        <v>#REF!</v>
      </c>
      <c r="M176" s="32" t="e">
        <f t="shared" ca="1" si="61"/>
        <v>#REF!</v>
      </c>
      <c r="N176" s="32" t="e">
        <f t="shared" ca="1" si="61"/>
        <v>#REF!</v>
      </c>
      <c r="O176" s="32" t="e">
        <f t="shared" ca="1" si="61"/>
        <v>#REF!</v>
      </c>
      <c r="P176" s="32" t="e">
        <f t="shared" ca="1" si="61"/>
        <v>#REF!</v>
      </c>
      <c r="Q176" s="32" t="e">
        <f t="shared" ca="1" si="61"/>
        <v>#REF!</v>
      </c>
      <c r="R176">
        <v>0</v>
      </c>
      <c r="S176" s="29" t="str">
        <f t="shared" si="63"/>
        <v/>
      </c>
      <c r="T176" s="29">
        <f t="shared" si="64"/>
        <v>2025</v>
      </c>
      <c r="U176" s="32" t="e">
        <f t="shared" ref="U176:X229" ca="1" si="67">INDEX(INDIRECT("'"&amp;$B176&amp;"'!summaryCosts"),MATCH(U$31,INDIRECT("'"&amp;$B176&amp;"'!EU43:EU46"),0),MATCH($D176,INDIRECT("'"&amp;$B176&amp;"'!EV42:FU42"),0))</f>
        <v>#REF!</v>
      </c>
      <c r="V176" s="32" t="e">
        <f t="shared" ca="1" si="67"/>
        <v>#REF!</v>
      </c>
      <c r="W176" s="32" t="e">
        <f t="shared" ca="1" si="67"/>
        <v>#REF!</v>
      </c>
      <c r="X176" s="32" t="e">
        <f t="shared" ca="1" si="67"/>
        <v>#REF!</v>
      </c>
      <c r="Y176" s="1" t="e">
        <f t="shared" ca="1" si="65"/>
        <v>#REF!</v>
      </c>
      <c r="AA176" s="31" t="e">
        <f t="shared" ca="1" si="51"/>
        <v>#REF!</v>
      </c>
      <c r="AC176" s="34" t="e">
        <f t="shared" ca="1" si="66"/>
        <v>#REF!</v>
      </c>
      <c r="AD176" s="34" t="e">
        <f t="shared" ca="1" si="55"/>
        <v>#REF!</v>
      </c>
      <c r="AE176" s="34" t="e">
        <f t="shared" ca="1" si="56"/>
        <v>#REF!</v>
      </c>
    </row>
    <row r="177" spans="1:31" x14ac:dyDescent="0.2">
      <c r="A177" s="29"/>
      <c r="C177" s="29" t="str">
        <f t="shared" si="60"/>
        <v/>
      </c>
      <c r="D177" s="29">
        <f t="shared" si="62"/>
        <v>2030</v>
      </c>
      <c r="E177" s="32" t="e">
        <f t="shared" ca="1" si="61"/>
        <v>#REF!</v>
      </c>
      <c r="F177" s="32" t="e">
        <f t="shared" ca="1" si="61"/>
        <v>#REF!</v>
      </c>
      <c r="G177" s="32" t="e">
        <f t="shared" ca="1" si="61"/>
        <v>#REF!</v>
      </c>
      <c r="H177" s="32" t="e">
        <f t="shared" ca="1" si="61"/>
        <v>#REF!</v>
      </c>
      <c r="I177" s="32" t="e">
        <f t="shared" ca="1" si="61"/>
        <v>#REF!</v>
      </c>
      <c r="J177" s="32" t="e">
        <f t="shared" ca="1" si="61"/>
        <v>#REF!</v>
      </c>
      <c r="K177" s="32" t="e">
        <f t="shared" ca="1" si="61"/>
        <v>#REF!</v>
      </c>
      <c r="L177" s="32" t="e">
        <f t="shared" ca="1" si="61"/>
        <v>#REF!</v>
      </c>
      <c r="M177" s="32" t="e">
        <f t="shared" ca="1" si="61"/>
        <v>#REF!</v>
      </c>
      <c r="N177" s="32" t="e">
        <f t="shared" ca="1" si="61"/>
        <v>#REF!</v>
      </c>
      <c r="O177" s="32" t="e">
        <f t="shared" ca="1" si="61"/>
        <v>#REF!</v>
      </c>
      <c r="P177" s="32" t="e">
        <f t="shared" ca="1" si="61"/>
        <v>#REF!</v>
      </c>
      <c r="Q177" s="32" t="e">
        <f t="shared" ca="1" si="61"/>
        <v>#REF!</v>
      </c>
      <c r="R177">
        <v>0</v>
      </c>
      <c r="S177" s="29" t="str">
        <f t="shared" si="63"/>
        <v/>
      </c>
      <c r="T177" s="29">
        <f t="shared" si="64"/>
        <v>2030</v>
      </c>
      <c r="U177" s="32" t="e">
        <f t="shared" ca="1" si="67"/>
        <v>#REF!</v>
      </c>
      <c r="V177" s="32" t="e">
        <f t="shared" ca="1" si="67"/>
        <v>#REF!</v>
      </c>
      <c r="W177" s="32" t="e">
        <f t="shared" ca="1" si="67"/>
        <v>#REF!</v>
      </c>
      <c r="X177" s="32" t="e">
        <f t="shared" ca="1" si="67"/>
        <v>#REF!</v>
      </c>
      <c r="Y177" s="1" t="e">
        <f t="shared" ca="1" si="65"/>
        <v>#REF!</v>
      </c>
      <c r="AA177" s="31" t="e">
        <f t="shared" ca="1" si="51"/>
        <v>#REF!</v>
      </c>
      <c r="AC177" s="34" t="e">
        <f t="shared" ca="1" si="66"/>
        <v>#REF!</v>
      </c>
      <c r="AD177" s="34" t="e">
        <f t="shared" ca="1" si="55"/>
        <v>#REF!</v>
      </c>
      <c r="AE177" s="34" t="e">
        <f t="shared" ca="1" si="56"/>
        <v>#REF!</v>
      </c>
    </row>
    <row r="178" spans="1:31" x14ac:dyDescent="0.2">
      <c r="A178" s="29"/>
      <c r="C178" s="29" t="str">
        <f t="shared" si="60"/>
        <v/>
      </c>
      <c r="D178" s="29">
        <f t="shared" si="62"/>
        <v>2035</v>
      </c>
      <c r="E178" s="32" t="e">
        <f t="shared" ca="1" si="61"/>
        <v>#REF!</v>
      </c>
      <c r="F178" s="32" t="e">
        <f t="shared" ca="1" si="61"/>
        <v>#REF!</v>
      </c>
      <c r="G178" s="32" t="e">
        <f t="shared" ca="1" si="61"/>
        <v>#REF!</v>
      </c>
      <c r="H178" s="32" t="e">
        <f t="shared" ca="1" si="61"/>
        <v>#REF!</v>
      </c>
      <c r="I178" s="32" t="e">
        <f t="shared" ca="1" si="61"/>
        <v>#REF!</v>
      </c>
      <c r="J178" s="32" t="e">
        <f t="shared" ca="1" si="61"/>
        <v>#REF!</v>
      </c>
      <c r="K178" s="32" t="e">
        <f t="shared" ca="1" si="61"/>
        <v>#REF!</v>
      </c>
      <c r="L178" s="32" t="e">
        <f t="shared" ca="1" si="61"/>
        <v>#REF!</v>
      </c>
      <c r="M178" s="32" t="e">
        <f t="shared" ca="1" si="61"/>
        <v>#REF!</v>
      </c>
      <c r="N178" s="32" t="e">
        <f t="shared" ca="1" si="61"/>
        <v>#REF!</v>
      </c>
      <c r="O178" s="32" t="e">
        <f t="shared" ca="1" si="61"/>
        <v>#REF!</v>
      </c>
      <c r="P178" s="32" t="e">
        <f t="shared" ca="1" si="61"/>
        <v>#REF!</v>
      </c>
      <c r="Q178" s="32" t="e">
        <f t="shared" ca="1" si="61"/>
        <v>#REF!</v>
      </c>
      <c r="R178">
        <v>0</v>
      </c>
      <c r="S178" s="29" t="str">
        <f t="shared" si="63"/>
        <v/>
      </c>
      <c r="T178" s="29">
        <f t="shared" si="64"/>
        <v>2035</v>
      </c>
      <c r="U178" s="32" t="e">
        <f t="shared" ca="1" si="67"/>
        <v>#REF!</v>
      </c>
      <c r="V178" s="32" t="e">
        <f t="shared" ca="1" si="67"/>
        <v>#REF!</v>
      </c>
      <c r="W178" s="32" t="e">
        <f t="shared" ca="1" si="67"/>
        <v>#REF!</v>
      </c>
      <c r="X178" s="32" t="e">
        <f t="shared" ca="1" si="67"/>
        <v>#REF!</v>
      </c>
      <c r="Y178" s="1" t="e">
        <f t="shared" ca="1" si="65"/>
        <v>#REF!</v>
      </c>
      <c r="AA178" s="31" t="e">
        <f t="shared" ca="1" si="51"/>
        <v>#REF!</v>
      </c>
      <c r="AC178" s="34" t="e">
        <f t="shared" ca="1" si="66"/>
        <v>#REF!</v>
      </c>
      <c r="AD178" s="34" t="e">
        <f t="shared" ca="1" si="55"/>
        <v>#REF!</v>
      </c>
      <c r="AE178" s="34" t="e">
        <f t="shared" ca="1" si="56"/>
        <v>#REF!</v>
      </c>
    </row>
    <row r="179" spans="1:31" x14ac:dyDescent="0.2">
      <c r="A179" s="29"/>
      <c r="C179" s="29" t="str">
        <f t="shared" si="60"/>
        <v/>
      </c>
      <c r="D179" s="29">
        <f t="shared" si="62"/>
        <v>2040</v>
      </c>
      <c r="E179" s="32" t="e">
        <f t="shared" ca="1" si="61"/>
        <v>#REF!</v>
      </c>
      <c r="F179" s="32" t="e">
        <f t="shared" ca="1" si="61"/>
        <v>#REF!</v>
      </c>
      <c r="G179" s="32" t="e">
        <f t="shared" ca="1" si="61"/>
        <v>#REF!</v>
      </c>
      <c r="H179" s="32" t="e">
        <f t="shared" ca="1" si="61"/>
        <v>#REF!</v>
      </c>
      <c r="I179" s="32" t="e">
        <f t="shared" ca="1" si="61"/>
        <v>#REF!</v>
      </c>
      <c r="J179" s="32" t="e">
        <f t="shared" ca="1" si="61"/>
        <v>#REF!</v>
      </c>
      <c r="K179" s="32" t="e">
        <f t="shared" ca="1" si="61"/>
        <v>#REF!</v>
      </c>
      <c r="L179" s="32" t="e">
        <f t="shared" ca="1" si="61"/>
        <v>#REF!</v>
      </c>
      <c r="M179" s="32" t="e">
        <f t="shared" ca="1" si="61"/>
        <v>#REF!</v>
      </c>
      <c r="N179" s="32" t="e">
        <f t="shared" ca="1" si="61"/>
        <v>#REF!</v>
      </c>
      <c r="O179" s="32" t="e">
        <f t="shared" ca="1" si="61"/>
        <v>#REF!</v>
      </c>
      <c r="P179" s="32" t="e">
        <f t="shared" ca="1" si="61"/>
        <v>#REF!</v>
      </c>
      <c r="Q179" s="32" t="e">
        <f t="shared" ca="1" si="61"/>
        <v>#REF!</v>
      </c>
      <c r="R179">
        <v>0</v>
      </c>
      <c r="S179" s="29" t="str">
        <f t="shared" si="63"/>
        <v/>
      </c>
      <c r="T179" s="29">
        <f t="shared" si="64"/>
        <v>2040</v>
      </c>
      <c r="U179" s="32" t="e">
        <f t="shared" ca="1" si="67"/>
        <v>#REF!</v>
      </c>
      <c r="V179" s="32" t="e">
        <f t="shared" ca="1" si="67"/>
        <v>#REF!</v>
      </c>
      <c r="W179" s="32" t="e">
        <f t="shared" ca="1" si="67"/>
        <v>#REF!</v>
      </c>
      <c r="X179" s="32" t="e">
        <f t="shared" ca="1" si="67"/>
        <v>#REF!</v>
      </c>
      <c r="Y179" s="1" t="e">
        <f t="shared" ca="1" si="65"/>
        <v>#REF!</v>
      </c>
      <c r="AA179" s="31" t="e">
        <f t="shared" ca="1" si="51"/>
        <v>#REF!</v>
      </c>
      <c r="AC179" s="34" t="e">
        <f t="shared" ca="1" si="66"/>
        <v>#REF!</v>
      </c>
      <c r="AD179" s="34" t="e">
        <f t="shared" ca="1" si="55"/>
        <v>#REF!</v>
      </c>
      <c r="AE179" s="34" t="e">
        <f t="shared" ca="1" si="56"/>
        <v>#REF!</v>
      </c>
    </row>
    <row r="180" spans="1:31" x14ac:dyDescent="0.2">
      <c r="A180" s="29"/>
      <c r="C180" s="29" t="str">
        <f t="shared" si="60"/>
        <v/>
      </c>
      <c r="D180" s="29">
        <f t="shared" si="62"/>
        <v>2045</v>
      </c>
      <c r="E180" s="32" t="e">
        <f t="shared" ca="1" si="61"/>
        <v>#REF!</v>
      </c>
      <c r="F180" s="32" t="e">
        <f t="shared" ca="1" si="61"/>
        <v>#REF!</v>
      </c>
      <c r="G180" s="32" t="e">
        <f t="shared" ca="1" si="61"/>
        <v>#REF!</v>
      </c>
      <c r="H180" s="32" t="e">
        <f t="shared" ca="1" si="61"/>
        <v>#REF!</v>
      </c>
      <c r="I180" s="32" t="e">
        <f t="shared" ca="1" si="61"/>
        <v>#REF!</v>
      </c>
      <c r="J180" s="32" t="e">
        <f t="shared" ca="1" si="61"/>
        <v>#REF!</v>
      </c>
      <c r="K180" s="32" t="e">
        <f t="shared" ca="1" si="61"/>
        <v>#REF!</v>
      </c>
      <c r="L180" s="32" t="e">
        <f t="shared" ca="1" si="61"/>
        <v>#REF!</v>
      </c>
      <c r="M180" s="32" t="e">
        <f t="shared" ca="1" si="61"/>
        <v>#REF!</v>
      </c>
      <c r="N180" s="32" t="e">
        <f t="shared" ca="1" si="61"/>
        <v>#REF!</v>
      </c>
      <c r="O180" s="32" t="e">
        <f t="shared" ca="1" si="61"/>
        <v>#REF!</v>
      </c>
      <c r="P180" s="32" t="e">
        <f t="shared" ca="1" si="61"/>
        <v>#REF!</v>
      </c>
      <c r="Q180" s="32" t="e">
        <f t="shared" ca="1" si="61"/>
        <v>#REF!</v>
      </c>
      <c r="R180">
        <v>0</v>
      </c>
      <c r="S180" s="29" t="str">
        <f t="shared" si="63"/>
        <v/>
      </c>
      <c r="T180" s="29">
        <f t="shared" si="64"/>
        <v>2045</v>
      </c>
      <c r="U180" s="32" t="e">
        <f t="shared" ca="1" si="67"/>
        <v>#REF!</v>
      </c>
      <c r="V180" s="32" t="e">
        <f t="shared" ca="1" si="67"/>
        <v>#REF!</v>
      </c>
      <c r="W180" s="32" t="e">
        <f t="shared" ca="1" si="67"/>
        <v>#REF!</v>
      </c>
      <c r="X180" s="32" t="e">
        <f t="shared" ca="1" si="67"/>
        <v>#REF!</v>
      </c>
      <c r="Y180" s="1" t="e">
        <f t="shared" ca="1" si="65"/>
        <v>#REF!</v>
      </c>
      <c r="AA180" s="31" t="e">
        <f t="shared" ca="1" si="51"/>
        <v>#REF!</v>
      </c>
      <c r="AC180" s="34" t="e">
        <f t="shared" ca="1" si="66"/>
        <v>#REF!</v>
      </c>
      <c r="AD180" s="34" t="e">
        <f t="shared" ca="1" si="55"/>
        <v>#REF!</v>
      </c>
      <c r="AE180" s="34" t="e">
        <f t="shared" ca="1" si="56"/>
        <v>#REF!</v>
      </c>
    </row>
    <row r="181" spans="1:31" x14ac:dyDescent="0.2">
      <c r="A181" s="29"/>
      <c r="C181" s="29" t="str">
        <f t="shared" si="60"/>
        <v/>
      </c>
      <c r="D181" s="29">
        <f t="shared" si="62"/>
        <v>2050</v>
      </c>
      <c r="E181" s="32" t="e">
        <f t="shared" ca="1" si="61"/>
        <v>#REF!</v>
      </c>
      <c r="F181" s="32" t="e">
        <f t="shared" ca="1" si="61"/>
        <v>#REF!</v>
      </c>
      <c r="G181" s="32" t="e">
        <f t="shared" ca="1" si="61"/>
        <v>#REF!</v>
      </c>
      <c r="H181" s="32" t="e">
        <f t="shared" ca="1" si="61"/>
        <v>#REF!</v>
      </c>
      <c r="I181" s="32" t="e">
        <f t="shared" ca="1" si="61"/>
        <v>#REF!</v>
      </c>
      <c r="J181" s="32" t="e">
        <f t="shared" ca="1" si="61"/>
        <v>#REF!</v>
      </c>
      <c r="K181" s="32" t="e">
        <f t="shared" ca="1" si="61"/>
        <v>#REF!</v>
      </c>
      <c r="L181" s="32" t="e">
        <f t="shared" ca="1" si="61"/>
        <v>#REF!</v>
      </c>
      <c r="M181" s="32" t="e">
        <f t="shared" ca="1" si="61"/>
        <v>#REF!</v>
      </c>
      <c r="N181" s="32" t="e">
        <f t="shared" ca="1" si="61"/>
        <v>#REF!</v>
      </c>
      <c r="O181" s="32" t="e">
        <f t="shared" ca="1" si="61"/>
        <v>#REF!</v>
      </c>
      <c r="P181" s="32" t="e">
        <f t="shared" ca="1" si="61"/>
        <v>#REF!</v>
      </c>
      <c r="Q181" s="32" t="e">
        <f t="shared" ca="1" si="61"/>
        <v>#REF!</v>
      </c>
      <c r="R181">
        <v>0</v>
      </c>
      <c r="S181" s="29" t="str">
        <f t="shared" si="63"/>
        <v/>
      </c>
      <c r="T181" s="29">
        <f t="shared" si="64"/>
        <v>2050</v>
      </c>
      <c r="U181" s="32" t="e">
        <f t="shared" ca="1" si="67"/>
        <v>#REF!</v>
      </c>
      <c r="V181" s="32" t="e">
        <f t="shared" ca="1" si="67"/>
        <v>#REF!</v>
      </c>
      <c r="W181" s="32" t="e">
        <f t="shared" ca="1" si="67"/>
        <v>#REF!</v>
      </c>
      <c r="X181" s="32" t="e">
        <f t="shared" ca="1" si="67"/>
        <v>#REF!</v>
      </c>
      <c r="Y181" s="1" t="e">
        <f t="shared" ca="1" si="65"/>
        <v>#REF!</v>
      </c>
      <c r="AA181" s="31" t="e">
        <f t="shared" ca="1" si="51"/>
        <v>#REF!</v>
      </c>
      <c r="AC181" s="34" t="e">
        <f t="shared" ca="1" si="66"/>
        <v>#REF!</v>
      </c>
      <c r="AD181" s="34" t="e">
        <f t="shared" ca="1" si="55"/>
        <v>#REF!</v>
      </c>
      <c r="AE181" s="34" t="e">
        <f t="shared" ca="1" si="56"/>
        <v>#REF!</v>
      </c>
    </row>
    <row r="182" spans="1:31" x14ac:dyDescent="0.2">
      <c r="A182" s="29"/>
      <c r="C182" s="29" t="str">
        <f t="shared" ref="C182:C224" si="68">IF(B182=B180,"",B182)</f>
        <v/>
      </c>
      <c r="D182" s="29">
        <v>2035</v>
      </c>
      <c r="E182" s="32" t="e">
        <f t="shared" ref="E182:Q191" ca="1" si="69">INDEX(INDIRECT("'"&amp;$B182&amp;"'!"&amp;$A$1),MATCH(E$31,INDIRECT("'"&amp;$B182&amp;"'!G43:G55"),0),MATCH($D182,INDIRECT("'"&amp;$B182&amp;"'!H42:AG42")))</f>
        <v>#REF!</v>
      </c>
      <c r="F182" s="32" t="e">
        <f t="shared" ca="1" si="69"/>
        <v>#REF!</v>
      </c>
      <c r="G182" s="32" t="e">
        <f t="shared" ca="1" si="69"/>
        <v>#REF!</v>
      </c>
      <c r="H182" s="32" t="e">
        <f t="shared" ca="1" si="69"/>
        <v>#REF!</v>
      </c>
      <c r="I182" s="32" t="e">
        <f t="shared" ca="1" si="69"/>
        <v>#REF!</v>
      </c>
      <c r="J182" s="32" t="e">
        <f t="shared" ca="1" si="69"/>
        <v>#REF!</v>
      </c>
      <c r="K182" s="32" t="e">
        <f t="shared" ca="1" si="69"/>
        <v>#REF!</v>
      </c>
      <c r="L182" s="32" t="e">
        <f t="shared" ca="1" si="69"/>
        <v>#REF!</v>
      </c>
      <c r="M182" s="32" t="e">
        <f t="shared" ca="1" si="69"/>
        <v>#REF!</v>
      </c>
      <c r="N182" s="32" t="e">
        <f t="shared" ca="1" si="69"/>
        <v>#REF!</v>
      </c>
      <c r="O182" s="32" t="e">
        <f t="shared" ca="1" si="69"/>
        <v>#REF!</v>
      </c>
      <c r="P182" s="32" t="e">
        <f t="shared" ca="1" si="69"/>
        <v>#REF!</v>
      </c>
      <c r="Q182" s="32" t="e">
        <f t="shared" ca="1" si="69"/>
        <v>#REF!</v>
      </c>
      <c r="R182">
        <v>0</v>
      </c>
      <c r="S182" s="29" t="str">
        <f t="shared" si="63"/>
        <v/>
      </c>
      <c r="T182" s="29">
        <f t="shared" si="64"/>
        <v>2035</v>
      </c>
      <c r="U182" s="32" t="e">
        <f t="shared" ca="1" si="67"/>
        <v>#REF!</v>
      </c>
      <c r="V182" s="32" t="e">
        <f t="shared" ca="1" si="67"/>
        <v>#REF!</v>
      </c>
      <c r="W182" s="32" t="e">
        <f t="shared" ca="1" si="67"/>
        <v>#REF!</v>
      </c>
      <c r="X182" s="32" t="e">
        <f t="shared" ca="1" si="67"/>
        <v>#REF!</v>
      </c>
      <c r="Y182" s="1" t="e">
        <f t="shared" ca="1" si="65"/>
        <v>#REF!</v>
      </c>
      <c r="AA182" s="31" t="e">
        <f t="shared" ca="1" si="51"/>
        <v>#REF!</v>
      </c>
      <c r="AC182" s="34" t="e">
        <f t="shared" ca="1" si="66"/>
        <v>#REF!</v>
      </c>
      <c r="AD182" s="34" t="e">
        <f t="shared" ca="1" si="55"/>
        <v>#REF!</v>
      </c>
      <c r="AE182" s="34" t="e">
        <f t="shared" ca="1" si="56"/>
        <v>#REF!</v>
      </c>
    </row>
    <row r="183" spans="1:31" x14ac:dyDescent="0.2">
      <c r="A183" s="29"/>
      <c r="C183" s="29" t="str">
        <f t="shared" si="68"/>
        <v/>
      </c>
      <c r="D183" s="29">
        <v>2035</v>
      </c>
      <c r="E183" s="32" t="e">
        <f t="shared" ca="1" si="69"/>
        <v>#REF!</v>
      </c>
      <c r="F183" s="32" t="e">
        <f t="shared" ca="1" si="69"/>
        <v>#REF!</v>
      </c>
      <c r="G183" s="32" t="e">
        <f t="shared" ca="1" si="69"/>
        <v>#REF!</v>
      </c>
      <c r="H183" s="32" t="e">
        <f t="shared" ca="1" si="69"/>
        <v>#REF!</v>
      </c>
      <c r="I183" s="32" t="e">
        <f t="shared" ca="1" si="69"/>
        <v>#REF!</v>
      </c>
      <c r="J183" s="32" t="e">
        <f t="shared" ca="1" si="69"/>
        <v>#REF!</v>
      </c>
      <c r="K183" s="32" t="e">
        <f t="shared" ca="1" si="69"/>
        <v>#REF!</v>
      </c>
      <c r="L183" s="32" t="e">
        <f t="shared" ca="1" si="69"/>
        <v>#REF!</v>
      </c>
      <c r="M183" s="32" t="e">
        <f t="shared" ca="1" si="69"/>
        <v>#REF!</v>
      </c>
      <c r="N183" s="32" t="e">
        <f t="shared" ca="1" si="69"/>
        <v>#REF!</v>
      </c>
      <c r="O183" s="32" t="e">
        <f t="shared" ca="1" si="69"/>
        <v>#REF!</v>
      </c>
      <c r="P183" s="32" t="e">
        <f t="shared" ca="1" si="69"/>
        <v>#REF!</v>
      </c>
      <c r="Q183" s="32" t="e">
        <f t="shared" ca="1" si="69"/>
        <v>#REF!</v>
      </c>
      <c r="R183">
        <v>0</v>
      </c>
      <c r="S183" s="29" t="str">
        <f t="shared" si="63"/>
        <v/>
      </c>
      <c r="T183" s="29">
        <f t="shared" si="64"/>
        <v>2035</v>
      </c>
      <c r="U183" s="32" t="e">
        <f t="shared" ca="1" si="67"/>
        <v>#REF!</v>
      </c>
      <c r="V183" s="32" t="e">
        <f t="shared" ca="1" si="67"/>
        <v>#REF!</v>
      </c>
      <c r="W183" s="32" t="e">
        <f t="shared" ca="1" si="67"/>
        <v>#REF!</v>
      </c>
      <c r="X183" s="32" t="e">
        <f t="shared" ca="1" si="67"/>
        <v>#REF!</v>
      </c>
      <c r="Y183" s="1" t="e">
        <f t="shared" ca="1" si="65"/>
        <v>#REF!</v>
      </c>
      <c r="AA183" s="31" t="e">
        <f t="shared" ca="1" si="51"/>
        <v>#REF!</v>
      </c>
      <c r="AC183" s="34" t="e">
        <f t="shared" ca="1" si="66"/>
        <v>#REF!</v>
      </c>
      <c r="AD183" s="34" t="e">
        <f t="shared" ca="1" si="55"/>
        <v>#REF!</v>
      </c>
      <c r="AE183" s="34" t="e">
        <f t="shared" ca="1" si="56"/>
        <v>#REF!</v>
      </c>
    </row>
    <row r="184" spans="1:31" x14ac:dyDescent="0.2">
      <c r="A184" s="29"/>
      <c r="C184" s="29" t="str">
        <f t="shared" si="68"/>
        <v/>
      </c>
      <c r="D184" s="29">
        <v>2035</v>
      </c>
      <c r="E184" s="32" t="e">
        <f t="shared" ca="1" si="69"/>
        <v>#REF!</v>
      </c>
      <c r="F184" s="32" t="e">
        <f t="shared" ca="1" si="69"/>
        <v>#REF!</v>
      </c>
      <c r="G184" s="32" t="e">
        <f t="shared" ca="1" si="69"/>
        <v>#REF!</v>
      </c>
      <c r="H184" s="32" t="e">
        <f t="shared" ca="1" si="69"/>
        <v>#REF!</v>
      </c>
      <c r="I184" s="32" t="e">
        <f t="shared" ca="1" si="69"/>
        <v>#REF!</v>
      </c>
      <c r="J184" s="32" t="e">
        <f t="shared" ca="1" si="69"/>
        <v>#REF!</v>
      </c>
      <c r="K184" s="32" t="e">
        <f t="shared" ca="1" si="69"/>
        <v>#REF!</v>
      </c>
      <c r="L184" s="32" t="e">
        <f t="shared" ca="1" si="69"/>
        <v>#REF!</v>
      </c>
      <c r="M184" s="32" t="e">
        <f t="shared" ca="1" si="69"/>
        <v>#REF!</v>
      </c>
      <c r="N184" s="32" t="e">
        <f t="shared" ca="1" si="69"/>
        <v>#REF!</v>
      </c>
      <c r="O184" s="32" t="e">
        <f t="shared" ca="1" si="69"/>
        <v>#REF!</v>
      </c>
      <c r="P184" s="32" t="e">
        <f t="shared" ca="1" si="69"/>
        <v>#REF!</v>
      </c>
      <c r="Q184" s="32" t="e">
        <f t="shared" ca="1" si="69"/>
        <v>#REF!</v>
      </c>
      <c r="R184">
        <v>0</v>
      </c>
      <c r="S184" s="29" t="str">
        <f t="shared" si="63"/>
        <v/>
      </c>
      <c r="T184" s="29">
        <f t="shared" si="64"/>
        <v>2035</v>
      </c>
      <c r="U184" s="32" t="e">
        <f t="shared" ca="1" si="67"/>
        <v>#REF!</v>
      </c>
      <c r="V184" s="32" t="e">
        <f t="shared" ca="1" si="67"/>
        <v>#REF!</v>
      </c>
      <c r="W184" s="32" t="e">
        <f t="shared" ca="1" si="67"/>
        <v>#REF!</v>
      </c>
      <c r="X184" s="32" t="e">
        <f t="shared" ca="1" si="67"/>
        <v>#REF!</v>
      </c>
      <c r="Y184" s="1" t="e">
        <f t="shared" ca="1" si="65"/>
        <v>#REF!</v>
      </c>
      <c r="AA184" s="31" t="e">
        <f t="shared" ca="1" si="51"/>
        <v>#REF!</v>
      </c>
      <c r="AC184" s="34" t="e">
        <f t="shared" ca="1" si="66"/>
        <v>#REF!</v>
      </c>
      <c r="AD184" s="34" t="e">
        <f t="shared" ca="1" si="55"/>
        <v>#REF!</v>
      </c>
      <c r="AE184" s="34" t="e">
        <f t="shared" ca="1" si="56"/>
        <v>#REF!</v>
      </c>
    </row>
    <row r="185" spans="1:31" x14ac:dyDescent="0.2">
      <c r="A185" s="29"/>
      <c r="C185" s="29" t="str">
        <f t="shared" si="68"/>
        <v/>
      </c>
      <c r="D185" s="29">
        <v>2035</v>
      </c>
      <c r="E185" s="32" t="e">
        <f t="shared" ca="1" si="69"/>
        <v>#REF!</v>
      </c>
      <c r="F185" s="32" t="e">
        <f t="shared" ca="1" si="69"/>
        <v>#REF!</v>
      </c>
      <c r="G185" s="32" t="e">
        <f t="shared" ca="1" si="69"/>
        <v>#REF!</v>
      </c>
      <c r="H185" s="32" t="e">
        <f t="shared" ca="1" si="69"/>
        <v>#REF!</v>
      </c>
      <c r="I185" s="32" t="e">
        <f t="shared" ca="1" si="69"/>
        <v>#REF!</v>
      </c>
      <c r="J185" s="32" t="e">
        <f t="shared" ca="1" si="69"/>
        <v>#REF!</v>
      </c>
      <c r="K185" s="32" t="e">
        <f t="shared" ca="1" si="69"/>
        <v>#REF!</v>
      </c>
      <c r="L185" s="32" t="e">
        <f t="shared" ca="1" si="69"/>
        <v>#REF!</v>
      </c>
      <c r="M185" s="32" t="e">
        <f t="shared" ca="1" si="69"/>
        <v>#REF!</v>
      </c>
      <c r="N185" s="32" t="e">
        <f t="shared" ca="1" si="69"/>
        <v>#REF!</v>
      </c>
      <c r="O185" s="32" t="e">
        <f t="shared" ca="1" si="69"/>
        <v>#REF!</v>
      </c>
      <c r="P185" s="32" t="e">
        <f t="shared" ca="1" si="69"/>
        <v>#REF!</v>
      </c>
      <c r="Q185" s="32" t="e">
        <f t="shared" ca="1" si="69"/>
        <v>#REF!</v>
      </c>
      <c r="R185">
        <v>0</v>
      </c>
      <c r="S185" s="29" t="str">
        <f t="shared" si="63"/>
        <v/>
      </c>
      <c r="T185" s="29">
        <f t="shared" si="64"/>
        <v>2035</v>
      </c>
      <c r="U185" s="32" t="e">
        <f t="shared" ca="1" si="67"/>
        <v>#REF!</v>
      </c>
      <c r="V185" s="32" t="e">
        <f t="shared" ca="1" si="67"/>
        <v>#REF!</v>
      </c>
      <c r="W185" s="32" t="e">
        <f t="shared" ca="1" si="67"/>
        <v>#REF!</v>
      </c>
      <c r="X185" s="32" t="e">
        <f t="shared" ca="1" si="67"/>
        <v>#REF!</v>
      </c>
      <c r="Y185" s="1" t="e">
        <f t="shared" ca="1" si="65"/>
        <v>#REF!</v>
      </c>
      <c r="AA185" s="31" t="e">
        <f t="shared" ca="1" si="51"/>
        <v>#REF!</v>
      </c>
      <c r="AC185" s="34" t="e">
        <f t="shared" ca="1" si="66"/>
        <v>#REF!</v>
      </c>
      <c r="AD185" s="34" t="e">
        <f t="shared" ca="1" si="55"/>
        <v>#REF!</v>
      </c>
      <c r="AE185" s="34" t="e">
        <f t="shared" ca="1" si="56"/>
        <v>#REF!</v>
      </c>
    </row>
    <row r="186" spans="1:31" x14ac:dyDescent="0.2">
      <c r="A186" s="29"/>
      <c r="C186" s="29" t="str">
        <f t="shared" si="68"/>
        <v/>
      </c>
      <c r="D186" s="29">
        <v>2035</v>
      </c>
      <c r="E186" s="32" t="e">
        <f t="shared" ca="1" si="69"/>
        <v>#REF!</v>
      </c>
      <c r="F186" s="32" t="e">
        <f t="shared" ca="1" si="69"/>
        <v>#REF!</v>
      </c>
      <c r="G186" s="32" t="e">
        <f t="shared" ca="1" si="69"/>
        <v>#REF!</v>
      </c>
      <c r="H186" s="32" t="e">
        <f t="shared" ca="1" si="69"/>
        <v>#REF!</v>
      </c>
      <c r="I186" s="32" t="e">
        <f t="shared" ca="1" si="69"/>
        <v>#REF!</v>
      </c>
      <c r="J186" s="32" t="e">
        <f t="shared" ca="1" si="69"/>
        <v>#REF!</v>
      </c>
      <c r="K186" s="32" t="e">
        <f t="shared" ca="1" si="69"/>
        <v>#REF!</v>
      </c>
      <c r="L186" s="32" t="e">
        <f t="shared" ca="1" si="69"/>
        <v>#REF!</v>
      </c>
      <c r="M186" s="32" t="e">
        <f t="shared" ca="1" si="69"/>
        <v>#REF!</v>
      </c>
      <c r="N186" s="32" t="e">
        <f t="shared" ca="1" si="69"/>
        <v>#REF!</v>
      </c>
      <c r="O186" s="32" t="e">
        <f t="shared" ca="1" si="69"/>
        <v>#REF!</v>
      </c>
      <c r="P186" s="32" t="e">
        <f t="shared" ca="1" si="69"/>
        <v>#REF!</v>
      </c>
      <c r="Q186" s="32" t="e">
        <f t="shared" ca="1" si="69"/>
        <v>#REF!</v>
      </c>
      <c r="R186">
        <v>0</v>
      </c>
      <c r="S186" s="29" t="str">
        <f t="shared" si="63"/>
        <v/>
      </c>
      <c r="T186" s="29">
        <f t="shared" si="64"/>
        <v>2035</v>
      </c>
      <c r="U186" s="32" t="e">
        <f t="shared" ca="1" si="67"/>
        <v>#REF!</v>
      </c>
      <c r="V186" s="32" t="e">
        <f t="shared" ca="1" si="67"/>
        <v>#REF!</v>
      </c>
      <c r="W186" s="32" t="e">
        <f t="shared" ca="1" si="67"/>
        <v>#REF!</v>
      </c>
      <c r="X186" s="32" t="e">
        <f t="shared" ca="1" si="67"/>
        <v>#REF!</v>
      </c>
      <c r="Y186" s="1" t="e">
        <f t="shared" ca="1" si="65"/>
        <v>#REF!</v>
      </c>
      <c r="AA186" s="31" t="e">
        <f t="shared" ca="1" si="51"/>
        <v>#REF!</v>
      </c>
      <c r="AC186" s="34" t="e">
        <f t="shared" ca="1" si="66"/>
        <v>#REF!</v>
      </c>
      <c r="AD186" s="34" t="e">
        <f t="shared" ca="1" si="55"/>
        <v>#REF!</v>
      </c>
      <c r="AE186" s="34" t="e">
        <f t="shared" ca="1" si="56"/>
        <v>#REF!</v>
      </c>
    </row>
    <row r="187" spans="1:31" x14ac:dyDescent="0.2">
      <c r="A187" s="29"/>
      <c r="C187" s="29" t="str">
        <f t="shared" si="68"/>
        <v/>
      </c>
      <c r="D187" s="29">
        <v>2035</v>
      </c>
      <c r="E187" s="32" t="e">
        <f t="shared" ca="1" si="69"/>
        <v>#REF!</v>
      </c>
      <c r="F187" s="32" t="e">
        <f t="shared" ca="1" si="69"/>
        <v>#REF!</v>
      </c>
      <c r="G187" s="32" t="e">
        <f t="shared" ca="1" si="69"/>
        <v>#REF!</v>
      </c>
      <c r="H187" s="32" t="e">
        <f t="shared" ca="1" si="69"/>
        <v>#REF!</v>
      </c>
      <c r="I187" s="32" t="e">
        <f t="shared" ca="1" si="69"/>
        <v>#REF!</v>
      </c>
      <c r="J187" s="32" t="e">
        <f t="shared" ca="1" si="69"/>
        <v>#REF!</v>
      </c>
      <c r="K187" s="32" t="e">
        <f t="shared" ca="1" si="69"/>
        <v>#REF!</v>
      </c>
      <c r="L187" s="32" t="e">
        <f t="shared" ca="1" si="69"/>
        <v>#REF!</v>
      </c>
      <c r="M187" s="32" t="e">
        <f t="shared" ca="1" si="69"/>
        <v>#REF!</v>
      </c>
      <c r="N187" s="32" t="e">
        <f t="shared" ca="1" si="69"/>
        <v>#REF!</v>
      </c>
      <c r="O187" s="32" t="e">
        <f t="shared" ca="1" si="69"/>
        <v>#REF!</v>
      </c>
      <c r="P187" s="32" t="e">
        <f t="shared" ca="1" si="69"/>
        <v>#REF!</v>
      </c>
      <c r="Q187" s="32" t="e">
        <f t="shared" ca="1" si="69"/>
        <v>#REF!</v>
      </c>
      <c r="R187">
        <v>0</v>
      </c>
      <c r="S187" s="29" t="str">
        <f t="shared" si="63"/>
        <v/>
      </c>
      <c r="T187" s="29">
        <f t="shared" si="64"/>
        <v>2035</v>
      </c>
      <c r="U187" s="32" t="e">
        <f t="shared" ca="1" si="67"/>
        <v>#REF!</v>
      </c>
      <c r="V187" s="32" t="e">
        <f t="shared" ca="1" si="67"/>
        <v>#REF!</v>
      </c>
      <c r="W187" s="32" t="e">
        <f t="shared" ca="1" si="67"/>
        <v>#REF!</v>
      </c>
      <c r="X187" s="32" t="e">
        <f t="shared" ca="1" si="67"/>
        <v>#REF!</v>
      </c>
      <c r="Y187" s="1" t="e">
        <f t="shared" ca="1" si="65"/>
        <v>#REF!</v>
      </c>
      <c r="AA187" s="31" t="e">
        <f t="shared" ca="1" si="51"/>
        <v>#REF!</v>
      </c>
      <c r="AC187" s="34" t="e">
        <f t="shared" ca="1" si="66"/>
        <v>#REF!</v>
      </c>
      <c r="AD187" s="34" t="e">
        <f t="shared" ca="1" si="55"/>
        <v>#REF!</v>
      </c>
      <c r="AE187" s="34" t="e">
        <f t="shared" ca="1" si="56"/>
        <v>#REF!</v>
      </c>
    </row>
    <row r="188" spans="1:31" x14ac:dyDescent="0.2">
      <c r="A188" s="29"/>
      <c r="C188" s="29" t="str">
        <f t="shared" si="68"/>
        <v/>
      </c>
      <c r="D188" s="29">
        <v>2035</v>
      </c>
      <c r="E188" s="32" t="e">
        <f t="shared" ca="1" si="69"/>
        <v>#REF!</v>
      </c>
      <c r="F188" s="32" t="e">
        <f t="shared" ca="1" si="69"/>
        <v>#REF!</v>
      </c>
      <c r="G188" s="32" t="e">
        <f t="shared" ca="1" si="69"/>
        <v>#REF!</v>
      </c>
      <c r="H188" s="32" t="e">
        <f t="shared" ca="1" si="69"/>
        <v>#REF!</v>
      </c>
      <c r="I188" s="32" t="e">
        <f t="shared" ca="1" si="69"/>
        <v>#REF!</v>
      </c>
      <c r="J188" s="32" t="e">
        <f t="shared" ca="1" si="69"/>
        <v>#REF!</v>
      </c>
      <c r="K188" s="32" t="e">
        <f t="shared" ca="1" si="69"/>
        <v>#REF!</v>
      </c>
      <c r="L188" s="32" t="e">
        <f t="shared" ca="1" si="69"/>
        <v>#REF!</v>
      </c>
      <c r="M188" s="32" t="e">
        <f t="shared" ca="1" si="69"/>
        <v>#REF!</v>
      </c>
      <c r="N188" s="32" t="e">
        <f t="shared" ca="1" si="69"/>
        <v>#REF!</v>
      </c>
      <c r="O188" s="32" t="e">
        <f t="shared" ca="1" si="69"/>
        <v>#REF!</v>
      </c>
      <c r="P188" s="32" t="e">
        <f t="shared" ca="1" si="69"/>
        <v>#REF!</v>
      </c>
      <c r="Q188" s="32" t="e">
        <f t="shared" ca="1" si="69"/>
        <v>#REF!</v>
      </c>
      <c r="R188">
        <v>0</v>
      </c>
      <c r="S188" s="29" t="str">
        <f t="shared" si="63"/>
        <v/>
      </c>
      <c r="T188" s="29">
        <f t="shared" si="64"/>
        <v>2035</v>
      </c>
      <c r="U188" s="32" t="e">
        <f t="shared" ca="1" si="67"/>
        <v>#REF!</v>
      </c>
      <c r="V188" s="32" t="e">
        <f t="shared" ca="1" si="67"/>
        <v>#REF!</v>
      </c>
      <c r="W188" s="32" t="e">
        <f t="shared" ca="1" si="67"/>
        <v>#REF!</v>
      </c>
      <c r="X188" s="32" t="e">
        <f t="shared" ca="1" si="67"/>
        <v>#REF!</v>
      </c>
      <c r="Y188" s="1" t="e">
        <f t="shared" ca="1" si="65"/>
        <v>#REF!</v>
      </c>
      <c r="AA188" s="31" t="e">
        <f t="shared" ca="1" si="51"/>
        <v>#REF!</v>
      </c>
      <c r="AC188" s="34" t="e">
        <f t="shared" ca="1" si="66"/>
        <v>#REF!</v>
      </c>
      <c r="AD188" s="34" t="e">
        <f t="shared" ca="1" si="55"/>
        <v>#REF!</v>
      </c>
      <c r="AE188" s="34" t="e">
        <f t="shared" ca="1" si="56"/>
        <v>#REF!</v>
      </c>
    </row>
    <row r="189" spans="1:31" x14ac:dyDescent="0.2">
      <c r="A189" s="29"/>
      <c r="C189" s="29" t="str">
        <f t="shared" si="68"/>
        <v/>
      </c>
      <c r="D189" s="29">
        <v>2035</v>
      </c>
      <c r="E189" s="32" t="e">
        <f t="shared" ca="1" si="69"/>
        <v>#REF!</v>
      </c>
      <c r="F189" s="32" t="e">
        <f t="shared" ca="1" si="69"/>
        <v>#REF!</v>
      </c>
      <c r="G189" s="32" t="e">
        <f t="shared" ca="1" si="69"/>
        <v>#REF!</v>
      </c>
      <c r="H189" s="32" t="e">
        <f t="shared" ca="1" si="69"/>
        <v>#REF!</v>
      </c>
      <c r="I189" s="32" t="e">
        <f t="shared" ca="1" si="69"/>
        <v>#REF!</v>
      </c>
      <c r="J189" s="32" t="e">
        <f t="shared" ca="1" si="69"/>
        <v>#REF!</v>
      </c>
      <c r="K189" s="32" t="e">
        <f t="shared" ca="1" si="69"/>
        <v>#REF!</v>
      </c>
      <c r="L189" s="32" t="e">
        <f t="shared" ca="1" si="69"/>
        <v>#REF!</v>
      </c>
      <c r="M189" s="32" t="e">
        <f t="shared" ca="1" si="69"/>
        <v>#REF!</v>
      </c>
      <c r="N189" s="32" t="e">
        <f t="shared" ca="1" si="69"/>
        <v>#REF!</v>
      </c>
      <c r="O189" s="32" t="e">
        <f t="shared" ca="1" si="69"/>
        <v>#REF!</v>
      </c>
      <c r="P189" s="32" t="e">
        <f t="shared" ca="1" si="69"/>
        <v>#REF!</v>
      </c>
      <c r="Q189" s="32" t="e">
        <f t="shared" ca="1" si="69"/>
        <v>#REF!</v>
      </c>
      <c r="R189">
        <v>0</v>
      </c>
      <c r="S189" s="29" t="str">
        <f t="shared" si="63"/>
        <v/>
      </c>
      <c r="T189" s="29">
        <f t="shared" si="64"/>
        <v>2035</v>
      </c>
      <c r="U189" s="32" t="e">
        <f t="shared" ca="1" si="67"/>
        <v>#REF!</v>
      </c>
      <c r="V189" s="32" t="e">
        <f t="shared" ca="1" si="67"/>
        <v>#REF!</v>
      </c>
      <c r="W189" s="32" t="e">
        <f t="shared" ca="1" si="67"/>
        <v>#REF!</v>
      </c>
      <c r="X189" s="32" t="e">
        <f t="shared" ca="1" si="67"/>
        <v>#REF!</v>
      </c>
      <c r="Y189" s="1" t="e">
        <f t="shared" ca="1" si="65"/>
        <v>#REF!</v>
      </c>
      <c r="AA189" s="31" t="e">
        <f t="shared" ca="1" si="51"/>
        <v>#REF!</v>
      </c>
      <c r="AC189" s="34" t="e">
        <f t="shared" ca="1" si="66"/>
        <v>#REF!</v>
      </c>
      <c r="AD189" s="34" t="e">
        <f t="shared" ca="1" si="55"/>
        <v>#REF!</v>
      </c>
      <c r="AE189" s="34" t="e">
        <f t="shared" ca="1" si="56"/>
        <v>#REF!</v>
      </c>
    </row>
    <row r="190" spans="1:31" x14ac:dyDescent="0.2">
      <c r="A190" s="29"/>
      <c r="C190" s="29" t="str">
        <f t="shared" si="68"/>
        <v/>
      </c>
      <c r="D190" s="29">
        <v>2035</v>
      </c>
      <c r="E190" s="32" t="e">
        <f t="shared" ca="1" si="69"/>
        <v>#REF!</v>
      </c>
      <c r="F190" s="32" t="e">
        <f t="shared" ca="1" si="69"/>
        <v>#REF!</v>
      </c>
      <c r="G190" s="32" t="e">
        <f t="shared" ca="1" si="69"/>
        <v>#REF!</v>
      </c>
      <c r="H190" s="32" t="e">
        <f t="shared" ca="1" si="69"/>
        <v>#REF!</v>
      </c>
      <c r="I190" s="32" t="e">
        <f t="shared" ca="1" si="69"/>
        <v>#REF!</v>
      </c>
      <c r="J190" s="32" t="e">
        <f t="shared" ca="1" si="69"/>
        <v>#REF!</v>
      </c>
      <c r="K190" s="32" t="e">
        <f t="shared" ca="1" si="69"/>
        <v>#REF!</v>
      </c>
      <c r="L190" s="32" t="e">
        <f t="shared" ca="1" si="69"/>
        <v>#REF!</v>
      </c>
      <c r="M190" s="32" t="e">
        <f t="shared" ca="1" si="69"/>
        <v>#REF!</v>
      </c>
      <c r="N190" s="32" t="e">
        <f t="shared" ca="1" si="69"/>
        <v>#REF!</v>
      </c>
      <c r="O190" s="32" t="e">
        <f t="shared" ca="1" si="69"/>
        <v>#REF!</v>
      </c>
      <c r="P190" s="32" t="e">
        <f t="shared" ca="1" si="69"/>
        <v>#REF!</v>
      </c>
      <c r="Q190" s="32" t="e">
        <f t="shared" ca="1" si="69"/>
        <v>#REF!</v>
      </c>
      <c r="R190">
        <v>0</v>
      </c>
      <c r="S190" s="29" t="str">
        <f t="shared" si="63"/>
        <v/>
      </c>
      <c r="T190" s="29">
        <f t="shared" si="64"/>
        <v>2035</v>
      </c>
      <c r="U190" s="32" t="e">
        <f t="shared" ca="1" si="67"/>
        <v>#REF!</v>
      </c>
      <c r="V190" s="32" t="e">
        <f t="shared" ca="1" si="67"/>
        <v>#REF!</v>
      </c>
      <c r="W190" s="32" t="e">
        <f t="shared" ca="1" si="67"/>
        <v>#REF!</v>
      </c>
      <c r="X190" s="32" t="e">
        <f t="shared" ca="1" si="67"/>
        <v>#REF!</v>
      </c>
      <c r="Y190" s="1" t="e">
        <f t="shared" ca="1" si="65"/>
        <v>#REF!</v>
      </c>
      <c r="AA190" s="31" t="e">
        <f t="shared" ca="1" si="51"/>
        <v>#REF!</v>
      </c>
      <c r="AC190" s="34" t="e">
        <f t="shared" ca="1" si="66"/>
        <v>#REF!</v>
      </c>
      <c r="AD190" s="34" t="e">
        <f t="shared" ca="1" si="55"/>
        <v>#REF!</v>
      </c>
      <c r="AE190" s="34" t="e">
        <f t="shared" ca="1" si="56"/>
        <v>#REF!</v>
      </c>
    </row>
    <row r="191" spans="1:31" x14ac:dyDescent="0.2">
      <c r="A191" s="29"/>
      <c r="C191" s="29" t="str">
        <f t="shared" si="68"/>
        <v/>
      </c>
      <c r="D191" s="29">
        <v>2035</v>
      </c>
      <c r="E191" s="32" t="e">
        <f t="shared" ca="1" si="69"/>
        <v>#REF!</v>
      </c>
      <c r="F191" s="32" t="e">
        <f t="shared" ca="1" si="69"/>
        <v>#REF!</v>
      </c>
      <c r="G191" s="32" t="e">
        <f t="shared" ca="1" si="69"/>
        <v>#REF!</v>
      </c>
      <c r="H191" s="32" t="e">
        <f t="shared" ca="1" si="69"/>
        <v>#REF!</v>
      </c>
      <c r="I191" s="32" t="e">
        <f t="shared" ca="1" si="69"/>
        <v>#REF!</v>
      </c>
      <c r="J191" s="32" t="e">
        <f t="shared" ca="1" si="69"/>
        <v>#REF!</v>
      </c>
      <c r="K191" s="32" t="e">
        <f t="shared" ca="1" si="69"/>
        <v>#REF!</v>
      </c>
      <c r="L191" s="32" t="e">
        <f t="shared" ca="1" si="69"/>
        <v>#REF!</v>
      </c>
      <c r="M191" s="32" t="e">
        <f t="shared" ca="1" si="69"/>
        <v>#REF!</v>
      </c>
      <c r="N191" s="32" t="e">
        <f t="shared" ca="1" si="69"/>
        <v>#REF!</v>
      </c>
      <c r="O191" s="32" t="e">
        <f t="shared" ca="1" si="69"/>
        <v>#REF!</v>
      </c>
      <c r="P191" s="32" t="e">
        <f t="shared" ca="1" si="69"/>
        <v>#REF!</v>
      </c>
      <c r="Q191" s="32" t="e">
        <f t="shared" ca="1" si="69"/>
        <v>#REF!</v>
      </c>
      <c r="R191">
        <v>0</v>
      </c>
      <c r="S191" s="29" t="str">
        <f t="shared" si="63"/>
        <v/>
      </c>
      <c r="T191" s="29">
        <f t="shared" si="64"/>
        <v>2035</v>
      </c>
      <c r="U191" s="32" t="e">
        <f t="shared" ca="1" si="67"/>
        <v>#REF!</v>
      </c>
      <c r="V191" s="32" t="e">
        <f t="shared" ca="1" si="67"/>
        <v>#REF!</v>
      </c>
      <c r="W191" s="32" t="e">
        <f t="shared" ca="1" si="67"/>
        <v>#REF!</v>
      </c>
      <c r="X191" s="32" t="e">
        <f t="shared" ca="1" si="67"/>
        <v>#REF!</v>
      </c>
      <c r="Y191" s="1" t="e">
        <f t="shared" ca="1" si="65"/>
        <v>#REF!</v>
      </c>
      <c r="AA191" s="31" t="e">
        <f t="shared" ca="1" si="51"/>
        <v>#REF!</v>
      </c>
      <c r="AC191" s="34" t="e">
        <f t="shared" ca="1" si="66"/>
        <v>#REF!</v>
      </c>
      <c r="AD191" s="34" t="e">
        <f t="shared" ref="AD191:AD222" ca="1" si="70">SUM(N191:P191)-125</f>
        <v>#REF!</v>
      </c>
      <c r="AE191" s="34" t="e">
        <f t="shared" ca="1" si="56"/>
        <v>#REF!</v>
      </c>
    </row>
    <row r="192" spans="1:31" x14ac:dyDescent="0.2">
      <c r="A192" s="29"/>
      <c r="C192" s="29" t="str">
        <f t="shared" si="68"/>
        <v/>
      </c>
      <c r="D192" s="29">
        <v>2035</v>
      </c>
      <c r="E192" s="32" t="e">
        <f t="shared" ref="E192:Q201" ca="1" si="71">INDEX(INDIRECT("'"&amp;$B192&amp;"'!"&amp;$A$1),MATCH(E$31,INDIRECT("'"&amp;$B192&amp;"'!G43:G55"),0),MATCH($D192,INDIRECT("'"&amp;$B192&amp;"'!H42:AG42")))</f>
        <v>#REF!</v>
      </c>
      <c r="F192" s="32" t="e">
        <f t="shared" ca="1" si="71"/>
        <v>#REF!</v>
      </c>
      <c r="G192" s="32" t="e">
        <f t="shared" ca="1" si="71"/>
        <v>#REF!</v>
      </c>
      <c r="H192" s="32" t="e">
        <f t="shared" ca="1" si="71"/>
        <v>#REF!</v>
      </c>
      <c r="I192" s="32" t="e">
        <f t="shared" ca="1" si="71"/>
        <v>#REF!</v>
      </c>
      <c r="J192" s="32" t="e">
        <f t="shared" ca="1" si="71"/>
        <v>#REF!</v>
      </c>
      <c r="K192" s="32" t="e">
        <f t="shared" ca="1" si="71"/>
        <v>#REF!</v>
      </c>
      <c r="L192" s="32" t="e">
        <f t="shared" ca="1" si="71"/>
        <v>#REF!</v>
      </c>
      <c r="M192" s="32" t="e">
        <f t="shared" ca="1" si="71"/>
        <v>#REF!</v>
      </c>
      <c r="N192" s="32" t="e">
        <f t="shared" ca="1" si="71"/>
        <v>#REF!</v>
      </c>
      <c r="O192" s="32" t="e">
        <f t="shared" ca="1" si="71"/>
        <v>#REF!</v>
      </c>
      <c r="P192" s="32" t="e">
        <f t="shared" ca="1" si="71"/>
        <v>#REF!</v>
      </c>
      <c r="Q192" s="32" t="e">
        <f t="shared" ca="1" si="71"/>
        <v>#REF!</v>
      </c>
      <c r="R192">
        <v>0</v>
      </c>
      <c r="S192" s="29" t="str">
        <f t="shared" si="63"/>
        <v/>
      </c>
      <c r="T192" s="29">
        <f t="shared" si="64"/>
        <v>2035</v>
      </c>
      <c r="U192" s="32" t="e">
        <f t="shared" ca="1" si="67"/>
        <v>#REF!</v>
      </c>
      <c r="V192" s="32" t="e">
        <f t="shared" ca="1" si="67"/>
        <v>#REF!</v>
      </c>
      <c r="W192" s="32" t="e">
        <f t="shared" ca="1" si="67"/>
        <v>#REF!</v>
      </c>
      <c r="X192" s="32" t="e">
        <f t="shared" ca="1" si="67"/>
        <v>#REF!</v>
      </c>
      <c r="Y192" s="1" t="e">
        <f t="shared" ca="1" si="65"/>
        <v>#REF!</v>
      </c>
      <c r="AA192" s="31" t="e">
        <f t="shared" ca="1" si="51"/>
        <v>#REF!</v>
      </c>
      <c r="AC192" s="34" t="e">
        <f t="shared" ca="1" si="66"/>
        <v>#REF!</v>
      </c>
      <c r="AD192" s="34" t="e">
        <f t="shared" ca="1" si="70"/>
        <v>#REF!</v>
      </c>
      <c r="AE192" s="34" t="e">
        <f t="shared" ca="1" si="56"/>
        <v>#REF!</v>
      </c>
    </row>
    <row r="193" spans="1:31" x14ac:dyDescent="0.2">
      <c r="A193" s="29"/>
      <c r="C193" s="29" t="str">
        <f t="shared" si="68"/>
        <v/>
      </c>
      <c r="D193" s="29">
        <v>2035</v>
      </c>
      <c r="E193" s="32" t="e">
        <f t="shared" ca="1" si="71"/>
        <v>#REF!</v>
      </c>
      <c r="F193" s="32" t="e">
        <f t="shared" ca="1" si="71"/>
        <v>#REF!</v>
      </c>
      <c r="G193" s="32" t="e">
        <f t="shared" ca="1" si="71"/>
        <v>#REF!</v>
      </c>
      <c r="H193" s="32" t="e">
        <f t="shared" ca="1" si="71"/>
        <v>#REF!</v>
      </c>
      <c r="I193" s="32" t="e">
        <f t="shared" ca="1" si="71"/>
        <v>#REF!</v>
      </c>
      <c r="J193" s="32" t="e">
        <f t="shared" ca="1" si="71"/>
        <v>#REF!</v>
      </c>
      <c r="K193" s="32" t="e">
        <f t="shared" ca="1" si="71"/>
        <v>#REF!</v>
      </c>
      <c r="L193" s="32" t="e">
        <f t="shared" ca="1" si="71"/>
        <v>#REF!</v>
      </c>
      <c r="M193" s="32" t="e">
        <f t="shared" ca="1" si="71"/>
        <v>#REF!</v>
      </c>
      <c r="N193" s="32" t="e">
        <f t="shared" ca="1" si="71"/>
        <v>#REF!</v>
      </c>
      <c r="O193" s="32" t="e">
        <f t="shared" ca="1" si="71"/>
        <v>#REF!</v>
      </c>
      <c r="P193" s="32" t="e">
        <f t="shared" ca="1" si="71"/>
        <v>#REF!</v>
      </c>
      <c r="Q193" s="32" t="e">
        <f t="shared" ca="1" si="71"/>
        <v>#REF!</v>
      </c>
      <c r="R193">
        <v>0</v>
      </c>
      <c r="S193" s="29" t="str">
        <f t="shared" si="63"/>
        <v/>
      </c>
      <c r="T193" s="29">
        <f t="shared" si="64"/>
        <v>2035</v>
      </c>
      <c r="U193" s="32" t="e">
        <f t="shared" ca="1" si="67"/>
        <v>#REF!</v>
      </c>
      <c r="V193" s="32" t="e">
        <f t="shared" ca="1" si="67"/>
        <v>#REF!</v>
      </c>
      <c r="W193" s="32" t="e">
        <f t="shared" ca="1" si="67"/>
        <v>#REF!</v>
      </c>
      <c r="X193" s="32" t="e">
        <f t="shared" ca="1" si="67"/>
        <v>#REF!</v>
      </c>
      <c r="Y193" s="1" t="e">
        <f t="shared" ca="1" si="65"/>
        <v>#REF!</v>
      </c>
      <c r="AA193" s="31" t="e">
        <f t="shared" ca="1" si="51"/>
        <v>#REF!</v>
      </c>
      <c r="AC193" s="34" t="e">
        <f t="shared" ca="1" si="66"/>
        <v>#REF!</v>
      </c>
      <c r="AD193" s="34" t="e">
        <f t="shared" ca="1" si="70"/>
        <v>#REF!</v>
      </c>
      <c r="AE193" s="34" t="e">
        <f t="shared" ca="1" si="56"/>
        <v>#REF!</v>
      </c>
    </row>
    <row r="194" spans="1:31" x14ac:dyDescent="0.2">
      <c r="A194" s="29"/>
      <c r="C194" s="29" t="str">
        <f t="shared" si="68"/>
        <v/>
      </c>
      <c r="D194" s="29">
        <v>2035</v>
      </c>
      <c r="E194" s="32" t="e">
        <f t="shared" ca="1" si="71"/>
        <v>#REF!</v>
      </c>
      <c r="F194" s="32" t="e">
        <f t="shared" ca="1" si="71"/>
        <v>#REF!</v>
      </c>
      <c r="G194" s="32" t="e">
        <f t="shared" ca="1" si="71"/>
        <v>#REF!</v>
      </c>
      <c r="H194" s="32" t="e">
        <f t="shared" ca="1" si="71"/>
        <v>#REF!</v>
      </c>
      <c r="I194" s="32" t="e">
        <f t="shared" ca="1" si="71"/>
        <v>#REF!</v>
      </c>
      <c r="J194" s="32" t="e">
        <f t="shared" ca="1" si="71"/>
        <v>#REF!</v>
      </c>
      <c r="K194" s="32" t="e">
        <f t="shared" ca="1" si="71"/>
        <v>#REF!</v>
      </c>
      <c r="L194" s="32" t="e">
        <f t="shared" ca="1" si="71"/>
        <v>#REF!</v>
      </c>
      <c r="M194" s="32" t="e">
        <f t="shared" ca="1" si="71"/>
        <v>#REF!</v>
      </c>
      <c r="N194" s="32" t="e">
        <f t="shared" ca="1" si="71"/>
        <v>#REF!</v>
      </c>
      <c r="O194" s="32" t="e">
        <f t="shared" ca="1" si="71"/>
        <v>#REF!</v>
      </c>
      <c r="P194" s="32" t="e">
        <f t="shared" ca="1" si="71"/>
        <v>#REF!</v>
      </c>
      <c r="Q194" s="32" t="e">
        <f t="shared" ca="1" si="71"/>
        <v>#REF!</v>
      </c>
      <c r="R194">
        <v>0</v>
      </c>
      <c r="S194" s="29" t="str">
        <f t="shared" si="63"/>
        <v/>
      </c>
      <c r="T194" s="29">
        <f t="shared" si="64"/>
        <v>2035</v>
      </c>
      <c r="U194" s="32" t="e">
        <f t="shared" ca="1" si="67"/>
        <v>#REF!</v>
      </c>
      <c r="V194" s="32" t="e">
        <f t="shared" ca="1" si="67"/>
        <v>#REF!</v>
      </c>
      <c r="W194" s="32" t="e">
        <f t="shared" ca="1" si="67"/>
        <v>#REF!</v>
      </c>
      <c r="X194" s="32" t="e">
        <f t="shared" ca="1" si="67"/>
        <v>#REF!</v>
      </c>
      <c r="Y194" s="1" t="e">
        <f t="shared" ca="1" si="65"/>
        <v>#REF!</v>
      </c>
      <c r="AA194" s="31" t="e">
        <f t="shared" ca="1" si="51"/>
        <v>#REF!</v>
      </c>
      <c r="AC194" s="34" t="e">
        <f t="shared" ca="1" si="66"/>
        <v>#REF!</v>
      </c>
      <c r="AD194" s="34" t="e">
        <f t="shared" ca="1" si="70"/>
        <v>#REF!</v>
      </c>
      <c r="AE194" s="34" t="e">
        <f t="shared" ca="1" si="56"/>
        <v>#REF!</v>
      </c>
    </row>
    <row r="195" spans="1:31" x14ac:dyDescent="0.2">
      <c r="A195" s="29"/>
      <c r="C195" s="29" t="str">
        <f t="shared" si="68"/>
        <v/>
      </c>
      <c r="D195" s="29">
        <v>2035</v>
      </c>
      <c r="E195" s="32" t="e">
        <f t="shared" ca="1" si="71"/>
        <v>#REF!</v>
      </c>
      <c r="F195" s="32" t="e">
        <f t="shared" ca="1" si="71"/>
        <v>#REF!</v>
      </c>
      <c r="G195" s="32" t="e">
        <f t="shared" ca="1" si="71"/>
        <v>#REF!</v>
      </c>
      <c r="H195" s="32" t="e">
        <f t="shared" ca="1" si="71"/>
        <v>#REF!</v>
      </c>
      <c r="I195" s="32" t="e">
        <f t="shared" ca="1" si="71"/>
        <v>#REF!</v>
      </c>
      <c r="J195" s="32" t="e">
        <f t="shared" ca="1" si="71"/>
        <v>#REF!</v>
      </c>
      <c r="K195" s="32" t="e">
        <f t="shared" ca="1" si="71"/>
        <v>#REF!</v>
      </c>
      <c r="L195" s="32" t="e">
        <f t="shared" ca="1" si="71"/>
        <v>#REF!</v>
      </c>
      <c r="M195" s="32" t="e">
        <f t="shared" ca="1" si="71"/>
        <v>#REF!</v>
      </c>
      <c r="N195" s="32" t="e">
        <f t="shared" ca="1" si="71"/>
        <v>#REF!</v>
      </c>
      <c r="O195" s="32" t="e">
        <f t="shared" ca="1" si="71"/>
        <v>#REF!</v>
      </c>
      <c r="P195" s="32" t="e">
        <f t="shared" ca="1" si="71"/>
        <v>#REF!</v>
      </c>
      <c r="Q195" s="32" t="e">
        <f t="shared" ca="1" si="71"/>
        <v>#REF!</v>
      </c>
      <c r="R195">
        <v>0</v>
      </c>
      <c r="S195" s="29" t="str">
        <f t="shared" si="63"/>
        <v/>
      </c>
      <c r="T195" s="29">
        <f t="shared" si="64"/>
        <v>2035</v>
      </c>
      <c r="U195" s="32" t="e">
        <f t="shared" ca="1" si="67"/>
        <v>#REF!</v>
      </c>
      <c r="V195" s="32" t="e">
        <f t="shared" ca="1" si="67"/>
        <v>#REF!</v>
      </c>
      <c r="W195" s="32" t="e">
        <f t="shared" ca="1" si="67"/>
        <v>#REF!</v>
      </c>
      <c r="X195" s="32" t="e">
        <f t="shared" ca="1" si="67"/>
        <v>#REF!</v>
      </c>
      <c r="Y195" s="1" t="e">
        <f t="shared" ca="1" si="65"/>
        <v>#REF!</v>
      </c>
      <c r="AA195" s="31" t="e">
        <f t="shared" ca="1" si="51"/>
        <v>#REF!</v>
      </c>
      <c r="AC195" s="34" t="e">
        <f t="shared" ca="1" si="66"/>
        <v>#REF!</v>
      </c>
      <c r="AD195" s="34" t="e">
        <f t="shared" ca="1" si="70"/>
        <v>#REF!</v>
      </c>
      <c r="AE195" s="34" t="e">
        <f t="shared" ca="1" si="56"/>
        <v>#REF!</v>
      </c>
    </row>
    <row r="196" spans="1:31" x14ac:dyDescent="0.2">
      <c r="A196" s="29"/>
      <c r="C196" s="29" t="str">
        <f t="shared" si="68"/>
        <v/>
      </c>
      <c r="D196" s="29">
        <v>2035</v>
      </c>
      <c r="E196" s="32" t="e">
        <f t="shared" ca="1" si="71"/>
        <v>#REF!</v>
      </c>
      <c r="F196" s="32" t="e">
        <f t="shared" ca="1" si="71"/>
        <v>#REF!</v>
      </c>
      <c r="G196" s="32" t="e">
        <f t="shared" ca="1" si="71"/>
        <v>#REF!</v>
      </c>
      <c r="H196" s="32" t="e">
        <f t="shared" ca="1" si="71"/>
        <v>#REF!</v>
      </c>
      <c r="I196" s="32" t="e">
        <f t="shared" ca="1" si="71"/>
        <v>#REF!</v>
      </c>
      <c r="J196" s="32" t="e">
        <f t="shared" ca="1" si="71"/>
        <v>#REF!</v>
      </c>
      <c r="K196" s="32" t="e">
        <f t="shared" ca="1" si="71"/>
        <v>#REF!</v>
      </c>
      <c r="L196" s="32" t="e">
        <f t="shared" ca="1" si="71"/>
        <v>#REF!</v>
      </c>
      <c r="M196" s="32" t="e">
        <f t="shared" ca="1" si="71"/>
        <v>#REF!</v>
      </c>
      <c r="N196" s="32" t="e">
        <f t="shared" ca="1" si="71"/>
        <v>#REF!</v>
      </c>
      <c r="O196" s="32" t="e">
        <f t="shared" ca="1" si="71"/>
        <v>#REF!</v>
      </c>
      <c r="P196" s="32" t="e">
        <f t="shared" ca="1" si="71"/>
        <v>#REF!</v>
      </c>
      <c r="Q196" s="32" t="e">
        <f t="shared" ca="1" si="71"/>
        <v>#REF!</v>
      </c>
      <c r="R196">
        <v>0</v>
      </c>
      <c r="S196" s="29" t="str">
        <f t="shared" si="63"/>
        <v/>
      </c>
      <c r="T196" s="29">
        <f t="shared" si="64"/>
        <v>2035</v>
      </c>
      <c r="U196" s="32" t="e">
        <f t="shared" ca="1" si="67"/>
        <v>#REF!</v>
      </c>
      <c r="V196" s="32" t="e">
        <f t="shared" ca="1" si="67"/>
        <v>#REF!</v>
      </c>
      <c r="W196" s="32" t="e">
        <f t="shared" ca="1" si="67"/>
        <v>#REF!</v>
      </c>
      <c r="X196" s="32" t="e">
        <f t="shared" ca="1" si="67"/>
        <v>#REF!</v>
      </c>
      <c r="Y196" s="1" t="e">
        <f t="shared" ca="1" si="65"/>
        <v>#REF!</v>
      </c>
      <c r="AA196" s="31" t="e">
        <f t="shared" ca="1" si="51"/>
        <v>#REF!</v>
      </c>
      <c r="AC196" s="34" t="e">
        <f t="shared" ca="1" si="66"/>
        <v>#REF!</v>
      </c>
      <c r="AD196" s="34" t="e">
        <f t="shared" ca="1" si="70"/>
        <v>#REF!</v>
      </c>
      <c r="AE196" s="34" t="e">
        <f t="shared" ca="1" si="56"/>
        <v>#REF!</v>
      </c>
    </row>
    <row r="197" spans="1:31" x14ac:dyDescent="0.2">
      <c r="A197" s="29"/>
      <c r="C197" s="29" t="str">
        <f t="shared" si="68"/>
        <v/>
      </c>
      <c r="D197" s="29">
        <v>2035</v>
      </c>
      <c r="E197" s="32" t="e">
        <f t="shared" ca="1" si="71"/>
        <v>#REF!</v>
      </c>
      <c r="F197" s="32" t="e">
        <f t="shared" ca="1" si="71"/>
        <v>#REF!</v>
      </c>
      <c r="G197" s="32" t="e">
        <f t="shared" ca="1" si="71"/>
        <v>#REF!</v>
      </c>
      <c r="H197" s="32" t="e">
        <f t="shared" ca="1" si="71"/>
        <v>#REF!</v>
      </c>
      <c r="I197" s="32" t="e">
        <f t="shared" ca="1" si="71"/>
        <v>#REF!</v>
      </c>
      <c r="J197" s="32" t="e">
        <f t="shared" ca="1" si="71"/>
        <v>#REF!</v>
      </c>
      <c r="K197" s="32" t="e">
        <f t="shared" ca="1" si="71"/>
        <v>#REF!</v>
      </c>
      <c r="L197" s="32" t="e">
        <f t="shared" ca="1" si="71"/>
        <v>#REF!</v>
      </c>
      <c r="M197" s="32" t="e">
        <f t="shared" ca="1" si="71"/>
        <v>#REF!</v>
      </c>
      <c r="N197" s="32" t="e">
        <f t="shared" ca="1" si="71"/>
        <v>#REF!</v>
      </c>
      <c r="O197" s="32" t="e">
        <f t="shared" ca="1" si="71"/>
        <v>#REF!</v>
      </c>
      <c r="P197" s="32" t="e">
        <f t="shared" ca="1" si="71"/>
        <v>#REF!</v>
      </c>
      <c r="Q197" s="32" t="e">
        <f t="shared" ca="1" si="71"/>
        <v>#REF!</v>
      </c>
      <c r="R197">
        <v>0</v>
      </c>
      <c r="S197" s="29" t="str">
        <f t="shared" si="63"/>
        <v/>
      </c>
      <c r="T197" s="29">
        <f t="shared" si="64"/>
        <v>2035</v>
      </c>
      <c r="U197" s="32" t="e">
        <f t="shared" ca="1" si="67"/>
        <v>#REF!</v>
      </c>
      <c r="V197" s="32" t="e">
        <f t="shared" ca="1" si="67"/>
        <v>#REF!</v>
      </c>
      <c r="W197" s="32" t="e">
        <f t="shared" ca="1" si="67"/>
        <v>#REF!</v>
      </c>
      <c r="X197" s="32" t="e">
        <f t="shared" ca="1" si="67"/>
        <v>#REF!</v>
      </c>
      <c r="Y197" s="1" t="e">
        <f t="shared" ca="1" si="65"/>
        <v>#REF!</v>
      </c>
      <c r="AA197" s="31" t="e">
        <f t="shared" ca="1" si="51"/>
        <v>#REF!</v>
      </c>
      <c r="AC197" s="34" t="e">
        <f t="shared" ca="1" si="66"/>
        <v>#REF!</v>
      </c>
      <c r="AD197" s="34" t="e">
        <f t="shared" ca="1" si="70"/>
        <v>#REF!</v>
      </c>
      <c r="AE197" s="34" t="e">
        <f t="shared" ca="1" si="56"/>
        <v>#REF!</v>
      </c>
    </row>
    <row r="198" spans="1:31" x14ac:dyDescent="0.2">
      <c r="A198" s="29"/>
      <c r="C198" s="29" t="str">
        <f t="shared" si="68"/>
        <v/>
      </c>
      <c r="D198" s="29">
        <v>2035</v>
      </c>
      <c r="E198" s="32" t="e">
        <f t="shared" ca="1" si="71"/>
        <v>#REF!</v>
      </c>
      <c r="F198" s="32" t="e">
        <f t="shared" ca="1" si="71"/>
        <v>#REF!</v>
      </c>
      <c r="G198" s="32" t="e">
        <f t="shared" ca="1" si="71"/>
        <v>#REF!</v>
      </c>
      <c r="H198" s="32" t="e">
        <f t="shared" ca="1" si="71"/>
        <v>#REF!</v>
      </c>
      <c r="I198" s="32" t="e">
        <f t="shared" ca="1" si="71"/>
        <v>#REF!</v>
      </c>
      <c r="J198" s="32" t="e">
        <f t="shared" ca="1" si="71"/>
        <v>#REF!</v>
      </c>
      <c r="K198" s="32" t="e">
        <f t="shared" ca="1" si="71"/>
        <v>#REF!</v>
      </c>
      <c r="L198" s="32" t="e">
        <f t="shared" ca="1" si="71"/>
        <v>#REF!</v>
      </c>
      <c r="M198" s="32" t="e">
        <f t="shared" ca="1" si="71"/>
        <v>#REF!</v>
      </c>
      <c r="N198" s="32" t="e">
        <f t="shared" ca="1" si="71"/>
        <v>#REF!</v>
      </c>
      <c r="O198" s="32" t="e">
        <f t="shared" ca="1" si="71"/>
        <v>#REF!</v>
      </c>
      <c r="P198" s="32" t="e">
        <f t="shared" ca="1" si="71"/>
        <v>#REF!</v>
      </c>
      <c r="Q198" s="32" t="e">
        <f t="shared" ca="1" si="71"/>
        <v>#REF!</v>
      </c>
      <c r="R198">
        <v>0</v>
      </c>
      <c r="S198" s="29" t="str">
        <f t="shared" si="63"/>
        <v/>
      </c>
      <c r="T198" s="29">
        <f t="shared" si="64"/>
        <v>2035</v>
      </c>
      <c r="U198" s="32" t="e">
        <f t="shared" ca="1" si="67"/>
        <v>#REF!</v>
      </c>
      <c r="V198" s="32" t="e">
        <f t="shared" ca="1" si="67"/>
        <v>#REF!</v>
      </c>
      <c r="W198" s="32" t="e">
        <f t="shared" ca="1" si="67"/>
        <v>#REF!</v>
      </c>
      <c r="X198" s="32" t="e">
        <f t="shared" ca="1" si="67"/>
        <v>#REF!</v>
      </c>
      <c r="Y198" s="1" t="e">
        <f t="shared" ca="1" si="65"/>
        <v>#REF!</v>
      </c>
      <c r="AA198" s="31" t="e">
        <f t="shared" ca="1" si="51"/>
        <v>#REF!</v>
      </c>
      <c r="AC198" s="34" t="e">
        <f t="shared" ca="1" si="66"/>
        <v>#REF!</v>
      </c>
      <c r="AD198" s="34" t="e">
        <f t="shared" ca="1" si="70"/>
        <v>#REF!</v>
      </c>
      <c r="AE198" s="34" t="e">
        <f t="shared" ca="1" si="56"/>
        <v>#REF!</v>
      </c>
    </row>
    <row r="199" spans="1:31" x14ac:dyDescent="0.2">
      <c r="A199" s="29"/>
      <c r="C199" s="29" t="str">
        <f t="shared" si="68"/>
        <v/>
      </c>
      <c r="D199" s="29">
        <v>2035</v>
      </c>
      <c r="E199" s="32" t="e">
        <f t="shared" ca="1" si="71"/>
        <v>#REF!</v>
      </c>
      <c r="F199" s="32" t="e">
        <f t="shared" ca="1" si="71"/>
        <v>#REF!</v>
      </c>
      <c r="G199" s="32" t="e">
        <f t="shared" ca="1" si="71"/>
        <v>#REF!</v>
      </c>
      <c r="H199" s="32" t="e">
        <f t="shared" ca="1" si="71"/>
        <v>#REF!</v>
      </c>
      <c r="I199" s="32" t="e">
        <f t="shared" ca="1" si="71"/>
        <v>#REF!</v>
      </c>
      <c r="J199" s="32" t="e">
        <f t="shared" ca="1" si="71"/>
        <v>#REF!</v>
      </c>
      <c r="K199" s="32" t="e">
        <f t="shared" ca="1" si="71"/>
        <v>#REF!</v>
      </c>
      <c r="L199" s="32" t="e">
        <f t="shared" ca="1" si="71"/>
        <v>#REF!</v>
      </c>
      <c r="M199" s="32" t="e">
        <f t="shared" ca="1" si="71"/>
        <v>#REF!</v>
      </c>
      <c r="N199" s="32" t="e">
        <f t="shared" ca="1" si="71"/>
        <v>#REF!</v>
      </c>
      <c r="O199" s="32" t="e">
        <f t="shared" ca="1" si="71"/>
        <v>#REF!</v>
      </c>
      <c r="P199" s="32" t="e">
        <f t="shared" ca="1" si="71"/>
        <v>#REF!</v>
      </c>
      <c r="Q199" s="32" t="e">
        <f t="shared" ca="1" si="71"/>
        <v>#REF!</v>
      </c>
      <c r="R199">
        <v>0</v>
      </c>
      <c r="S199" s="29" t="str">
        <f t="shared" si="63"/>
        <v/>
      </c>
      <c r="T199" s="29">
        <f t="shared" si="64"/>
        <v>2035</v>
      </c>
      <c r="U199" s="32" t="e">
        <f t="shared" ca="1" si="67"/>
        <v>#REF!</v>
      </c>
      <c r="V199" s="32" t="e">
        <f t="shared" ca="1" si="67"/>
        <v>#REF!</v>
      </c>
      <c r="W199" s="32" t="e">
        <f t="shared" ca="1" si="67"/>
        <v>#REF!</v>
      </c>
      <c r="X199" s="32" t="e">
        <f t="shared" ca="1" si="67"/>
        <v>#REF!</v>
      </c>
      <c r="Y199" s="1" t="e">
        <f t="shared" ca="1" si="65"/>
        <v>#REF!</v>
      </c>
      <c r="AA199" s="31" t="e">
        <f t="shared" ca="1" si="51"/>
        <v>#REF!</v>
      </c>
      <c r="AC199" s="34" t="e">
        <f t="shared" ca="1" si="66"/>
        <v>#REF!</v>
      </c>
      <c r="AD199" s="34" t="e">
        <f t="shared" ca="1" si="70"/>
        <v>#REF!</v>
      </c>
      <c r="AE199" s="34" t="e">
        <f t="shared" ca="1" si="56"/>
        <v>#REF!</v>
      </c>
    </row>
    <row r="200" spans="1:31" x14ac:dyDescent="0.2">
      <c r="A200" s="29"/>
      <c r="C200" s="29" t="str">
        <f t="shared" si="68"/>
        <v/>
      </c>
      <c r="D200" s="29">
        <v>2035</v>
      </c>
      <c r="E200" s="32" t="e">
        <f t="shared" ca="1" si="71"/>
        <v>#REF!</v>
      </c>
      <c r="F200" s="32" t="e">
        <f t="shared" ca="1" si="71"/>
        <v>#REF!</v>
      </c>
      <c r="G200" s="32" t="e">
        <f t="shared" ca="1" si="71"/>
        <v>#REF!</v>
      </c>
      <c r="H200" s="32" t="e">
        <f t="shared" ca="1" si="71"/>
        <v>#REF!</v>
      </c>
      <c r="I200" s="32" t="e">
        <f t="shared" ca="1" si="71"/>
        <v>#REF!</v>
      </c>
      <c r="J200" s="32" t="e">
        <f t="shared" ca="1" si="71"/>
        <v>#REF!</v>
      </c>
      <c r="K200" s="32" t="e">
        <f t="shared" ca="1" si="71"/>
        <v>#REF!</v>
      </c>
      <c r="L200" s="32" t="e">
        <f t="shared" ca="1" si="71"/>
        <v>#REF!</v>
      </c>
      <c r="M200" s="32" t="e">
        <f t="shared" ca="1" si="71"/>
        <v>#REF!</v>
      </c>
      <c r="N200" s="32" t="e">
        <f t="shared" ca="1" si="71"/>
        <v>#REF!</v>
      </c>
      <c r="O200" s="32" t="e">
        <f t="shared" ca="1" si="71"/>
        <v>#REF!</v>
      </c>
      <c r="P200" s="32" t="e">
        <f t="shared" ca="1" si="71"/>
        <v>#REF!</v>
      </c>
      <c r="Q200" s="32" t="e">
        <f t="shared" ca="1" si="71"/>
        <v>#REF!</v>
      </c>
      <c r="R200">
        <v>0</v>
      </c>
      <c r="S200" s="29" t="str">
        <f t="shared" si="63"/>
        <v/>
      </c>
      <c r="T200" s="29">
        <f t="shared" si="64"/>
        <v>2035</v>
      </c>
      <c r="U200" s="32" t="e">
        <f t="shared" ca="1" si="67"/>
        <v>#REF!</v>
      </c>
      <c r="V200" s="32" t="e">
        <f t="shared" ca="1" si="67"/>
        <v>#REF!</v>
      </c>
      <c r="W200" s="32" t="e">
        <f t="shared" ca="1" si="67"/>
        <v>#REF!</v>
      </c>
      <c r="X200" s="32" t="e">
        <f t="shared" ca="1" si="67"/>
        <v>#REF!</v>
      </c>
      <c r="Y200" s="1" t="e">
        <f t="shared" ca="1" si="65"/>
        <v>#REF!</v>
      </c>
      <c r="AA200" s="31" t="e">
        <f t="shared" ca="1" si="51"/>
        <v>#REF!</v>
      </c>
      <c r="AC200" s="34" t="e">
        <f t="shared" ca="1" si="66"/>
        <v>#REF!</v>
      </c>
      <c r="AD200" s="34" t="e">
        <f t="shared" ca="1" si="70"/>
        <v>#REF!</v>
      </c>
      <c r="AE200" s="34" t="e">
        <f t="shared" ca="1" si="56"/>
        <v>#REF!</v>
      </c>
    </row>
    <row r="201" spans="1:31" x14ac:dyDescent="0.2">
      <c r="A201" s="29"/>
      <c r="C201" s="29" t="str">
        <f t="shared" si="68"/>
        <v/>
      </c>
      <c r="D201" s="29">
        <v>2035</v>
      </c>
      <c r="E201" s="32" t="e">
        <f t="shared" ca="1" si="71"/>
        <v>#REF!</v>
      </c>
      <c r="F201" s="32" t="e">
        <f t="shared" ca="1" si="71"/>
        <v>#REF!</v>
      </c>
      <c r="G201" s="32" t="e">
        <f t="shared" ca="1" si="71"/>
        <v>#REF!</v>
      </c>
      <c r="H201" s="32" t="e">
        <f t="shared" ca="1" si="71"/>
        <v>#REF!</v>
      </c>
      <c r="I201" s="32" t="e">
        <f t="shared" ca="1" si="71"/>
        <v>#REF!</v>
      </c>
      <c r="J201" s="32" t="e">
        <f t="shared" ca="1" si="71"/>
        <v>#REF!</v>
      </c>
      <c r="K201" s="32" t="e">
        <f t="shared" ca="1" si="71"/>
        <v>#REF!</v>
      </c>
      <c r="L201" s="32" t="e">
        <f t="shared" ca="1" si="71"/>
        <v>#REF!</v>
      </c>
      <c r="M201" s="32" t="e">
        <f t="shared" ca="1" si="71"/>
        <v>#REF!</v>
      </c>
      <c r="N201" s="32" t="e">
        <f t="shared" ca="1" si="71"/>
        <v>#REF!</v>
      </c>
      <c r="O201" s="32" t="e">
        <f t="shared" ca="1" si="71"/>
        <v>#REF!</v>
      </c>
      <c r="P201" s="32" t="e">
        <f t="shared" ca="1" si="71"/>
        <v>#REF!</v>
      </c>
      <c r="Q201" s="32" t="e">
        <f t="shared" ca="1" si="71"/>
        <v>#REF!</v>
      </c>
      <c r="R201">
        <v>0</v>
      </c>
      <c r="S201" s="29" t="str">
        <f t="shared" si="63"/>
        <v/>
      </c>
      <c r="T201" s="29">
        <f t="shared" si="64"/>
        <v>2035</v>
      </c>
      <c r="U201" s="32" t="e">
        <f t="shared" ca="1" si="67"/>
        <v>#REF!</v>
      </c>
      <c r="V201" s="32" t="e">
        <f t="shared" ca="1" si="67"/>
        <v>#REF!</v>
      </c>
      <c r="W201" s="32" t="e">
        <f t="shared" ca="1" si="67"/>
        <v>#REF!</v>
      </c>
      <c r="X201" s="32" t="e">
        <f t="shared" ca="1" si="67"/>
        <v>#REF!</v>
      </c>
      <c r="Y201" s="1" t="e">
        <f t="shared" ca="1" si="65"/>
        <v>#REF!</v>
      </c>
      <c r="AA201" s="31" t="e">
        <f t="shared" ca="1" si="51"/>
        <v>#REF!</v>
      </c>
      <c r="AC201" s="34" t="e">
        <f t="shared" ca="1" si="66"/>
        <v>#REF!</v>
      </c>
      <c r="AD201" s="34" t="e">
        <f t="shared" ca="1" si="70"/>
        <v>#REF!</v>
      </c>
      <c r="AE201" s="34" t="e">
        <f t="shared" ca="1" si="56"/>
        <v>#REF!</v>
      </c>
    </row>
    <row r="202" spans="1:31" x14ac:dyDescent="0.2">
      <c r="A202" s="29"/>
      <c r="C202" s="29" t="str">
        <f t="shared" si="68"/>
        <v/>
      </c>
      <c r="D202" s="29">
        <v>2035</v>
      </c>
      <c r="E202" s="32" t="e">
        <f t="shared" ref="E202:Q211" ca="1" si="72">INDEX(INDIRECT("'"&amp;$B202&amp;"'!"&amp;$A$1),MATCH(E$31,INDIRECT("'"&amp;$B202&amp;"'!G43:G55"),0),MATCH($D202,INDIRECT("'"&amp;$B202&amp;"'!H42:AG42")))</f>
        <v>#REF!</v>
      </c>
      <c r="F202" s="32" t="e">
        <f t="shared" ca="1" si="72"/>
        <v>#REF!</v>
      </c>
      <c r="G202" s="32" t="e">
        <f t="shared" ca="1" si="72"/>
        <v>#REF!</v>
      </c>
      <c r="H202" s="32" t="e">
        <f t="shared" ca="1" si="72"/>
        <v>#REF!</v>
      </c>
      <c r="I202" s="32" t="e">
        <f t="shared" ca="1" si="72"/>
        <v>#REF!</v>
      </c>
      <c r="J202" s="32" t="e">
        <f t="shared" ca="1" si="72"/>
        <v>#REF!</v>
      </c>
      <c r="K202" s="32" t="e">
        <f t="shared" ca="1" si="72"/>
        <v>#REF!</v>
      </c>
      <c r="L202" s="32" t="e">
        <f t="shared" ca="1" si="72"/>
        <v>#REF!</v>
      </c>
      <c r="M202" s="32" t="e">
        <f t="shared" ca="1" si="72"/>
        <v>#REF!</v>
      </c>
      <c r="N202" s="32" t="e">
        <f t="shared" ca="1" si="72"/>
        <v>#REF!</v>
      </c>
      <c r="O202" s="32" t="e">
        <f t="shared" ca="1" si="72"/>
        <v>#REF!</v>
      </c>
      <c r="P202" s="32" t="e">
        <f t="shared" ca="1" si="72"/>
        <v>#REF!</v>
      </c>
      <c r="Q202" s="32" t="e">
        <f t="shared" ca="1" si="72"/>
        <v>#REF!</v>
      </c>
      <c r="R202">
        <v>0</v>
      </c>
      <c r="S202" s="29" t="str">
        <f t="shared" si="63"/>
        <v/>
      </c>
      <c r="T202" s="29">
        <f t="shared" si="64"/>
        <v>2035</v>
      </c>
      <c r="U202" s="32" t="e">
        <f t="shared" ca="1" si="67"/>
        <v>#REF!</v>
      </c>
      <c r="V202" s="32" t="e">
        <f t="shared" ca="1" si="67"/>
        <v>#REF!</v>
      </c>
      <c r="W202" s="32" t="e">
        <f t="shared" ca="1" si="67"/>
        <v>#REF!</v>
      </c>
      <c r="X202" s="32" t="e">
        <f t="shared" ca="1" si="67"/>
        <v>#REF!</v>
      </c>
      <c r="Y202" s="1" t="e">
        <f t="shared" ca="1" si="65"/>
        <v>#REF!</v>
      </c>
      <c r="AA202" s="31" t="e">
        <f t="shared" ca="1" si="51"/>
        <v>#REF!</v>
      </c>
      <c r="AC202" s="34" t="e">
        <f t="shared" ca="1" si="66"/>
        <v>#REF!</v>
      </c>
      <c r="AD202" s="34" t="e">
        <f t="shared" ca="1" si="70"/>
        <v>#REF!</v>
      </c>
      <c r="AE202" s="34" t="e">
        <f t="shared" ca="1" si="56"/>
        <v>#REF!</v>
      </c>
    </row>
    <row r="203" spans="1:31" x14ac:dyDescent="0.2">
      <c r="A203" s="29"/>
      <c r="C203" s="29" t="str">
        <f t="shared" si="68"/>
        <v/>
      </c>
      <c r="D203" s="29">
        <v>2035</v>
      </c>
      <c r="E203" s="32" t="e">
        <f t="shared" ca="1" si="72"/>
        <v>#REF!</v>
      </c>
      <c r="F203" s="32" t="e">
        <f t="shared" ca="1" si="72"/>
        <v>#REF!</v>
      </c>
      <c r="G203" s="32" t="e">
        <f t="shared" ca="1" si="72"/>
        <v>#REF!</v>
      </c>
      <c r="H203" s="32" t="e">
        <f t="shared" ca="1" si="72"/>
        <v>#REF!</v>
      </c>
      <c r="I203" s="32" t="e">
        <f t="shared" ca="1" si="72"/>
        <v>#REF!</v>
      </c>
      <c r="J203" s="32" t="e">
        <f t="shared" ca="1" si="72"/>
        <v>#REF!</v>
      </c>
      <c r="K203" s="32" t="e">
        <f t="shared" ca="1" si="72"/>
        <v>#REF!</v>
      </c>
      <c r="L203" s="32" t="e">
        <f t="shared" ca="1" si="72"/>
        <v>#REF!</v>
      </c>
      <c r="M203" s="32" t="e">
        <f t="shared" ca="1" si="72"/>
        <v>#REF!</v>
      </c>
      <c r="N203" s="32" t="e">
        <f t="shared" ca="1" si="72"/>
        <v>#REF!</v>
      </c>
      <c r="O203" s="32" t="e">
        <f t="shared" ca="1" si="72"/>
        <v>#REF!</v>
      </c>
      <c r="P203" s="32" t="e">
        <f t="shared" ca="1" si="72"/>
        <v>#REF!</v>
      </c>
      <c r="Q203" s="32" t="e">
        <f t="shared" ca="1" si="72"/>
        <v>#REF!</v>
      </c>
      <c r="R203">
        <v>0</v>
      </c>
      <c r="S203" s="29" t="str">
        <f t="shared" si="63"/>
        <v/>
      </c>
      <c r="T203" s="29">
        <f t="shared" si="64"/>
        <v>2035</v>
      </c>
      <c r="U203" s="32" t="e">
        <f t="shared" ca="1" si="67"/>
        <v>#REF!</v>
      </c>
      <c r="V203" s="32" t="e">
        <f t="shared" ca="1" si="67"/>
        <v>#REF!</v>
      </c>
      <c r="W203" s="32" t="e">
        <f t="shared" ca="1" si="67"/>
        <v>#REF!</v>
      </c>
      <c r="X203" s="32" t="e">
        <f t="shared" ca="1" si="67"/>
        <v>#REF!</v>
      </c>
      <c r="Y203" s="1" t="e">
        <f t="shared" ca="1" si="65"/>
        <v>#REF!</v>
      </c>
      <c r="AA203" s="31" t="e">
        <f t="shared" ca="1" si="51"/>
        <v>#REF!</v>
      </c>
      <c r="AC203" s="34" t="e">
        <f t="shared" ca="1" si="66"/>
        <v>#REF!</v>
      </c>
      <c r="AD203" s="34" t="e">
        <f t="shared" ca="1" si="70"/>
        <v>#REF!</v>
      </c>
      <c r="AE203" s="34" t="e">
        <f t="shared" ca="1" si="56"/>
        <v>#REF!</v>
      </c>
    </row>
    <row r="204" spans="1:31" x14ac:dyDescent="0.2">
      <c r="A204" s="29"/>
      <c r="C204" s="29" t="str">
        <f t="shared" si="68"/>
        <v/>
      </c>
      <c r="D204" s="29">
        <v>2035</v>
      </c>
      <c r="E204" s="32" t="e">
        <f t="shared" ca="1" si="72"/>
        <v>#REF!</v>
      </c>
      <c r="F204" s="32" t="e">
        <f t="shared" ca="1" si="72"/>
        <v>#REF!</v>
      </c>
      <c r="G204" s="32" t="e">
        <f t="shared" ca="1" si="72"/>
        <v>#REF!</v>
      </c>
      <c r="H204" s="32" t="e">
        <f t="shared" ca="1" si="72"/>
        <v>#REF!</v>
      </c>
      <c r="I204" s="32" t="e">
        <f t="shared" ca="1" si="72"/>
        <v>#REF!</v>
      </c>
      <c r="J204" s="32" t="e">
        <f t="shared" ca="1" si="72"/>
        <v>#REF!</v>
      </c>
      <c r="K204" s="32" t="e">
        <f t="shared" ca="1" si="72"/>
        <v>#REF!</v>
      </c>
      <c r="L204" s="32" t="e">
        <f t="shared" ca="1" si="72"/>
        <v>#REF!</v>
      </c>
      <c r="M204" s="32" t="e">
        <f t="shared" ca="1" si="72"/>
        <v>#REF!</v>
      </c>
      <c r="N204" s="32" t="e">
        <f t="shared" ca="1" si="72"/>
        <v>#REF!</v>
      </c>
      <c r="O204" s="32" t="e">
        <f t="shared" ca="1" si="72"/>
        <v>#REF!</v>
      </c>
      <c r="P204" s="32" t="e">
        <f t="shared" ca="1" si="72"/>
        <v>#REF!</v>
      </c>
      <c r="Q204" s="32" t="e">
        <f t="shared" ca="1" si="72"/>
        <v>#REF!</v>
      </c>
      <c r="R204">
        <v>0</v>
      </c>
      <c r="S204" s="29" t="str">
        <f t="shared" si="63"/>
        <v/>
      </c>
      <c r="T204" s="29">
        <f t="shared" si="64"/>
        <v>2035</v>
      </c>
      <c r="U204" s="32" t="e">
        <f t="shared" ca="1" si="67"/>
        <v>#REF!</v>
      </c>
      <c r="V204" s="32" t="e">
        <f t="shared" ca="1" si="67"/>
        <v>#REF!</v>
      </c>
      <c r="W204" s="32" t="e">
        <f t="shared" ca="1" si="67"/>
        <v>#REF!</v>
      </c>
      <c r="X204" s="32" t="e">
        <f t="shared" ca="1" si="67"/>
        <v>#REF!</v>
      </c>
      <c r="Y204" s="1" t="e">
        <f t="shared" ca="1" si="65"/>
        <v>#REF!</v>
      </c>
      <c r="AA204" s="31" t="e">
        <f t="shared" ca="1" si="51"/>
        <v>#REF!</v>
      </c>
      <c r="AC204" s="34" t="e">
        <f t="shared" ca="1" si="66"/>
        <v>#REF!</v>
      </c>
      <c r="AD204" s="34" t="e">
        <f t="shared" ca="1" si="70"/>
        <v>#REF!</v>
      </c>
      <c r="AE204" s="34" t="e">
        <f t="shared" ca="1" si="56"/>
        <v>#REF!</v>
      </c>
    </row>
    <row r="205" spans="1:31" x14ac:dyDescent="0.2">
      <c r="A205" s="29"/>
      <c r="C205" s="29" t="str">
        <f t="shared" si="68"/>
        <v/>
      </c>
      <c r="D205" s="29">
        <v>2035</v>
      </c>
      <c r="E205" s="32" t="e">
        <f t="shared" ca="1" si="72"/>
        <v>#REF!</v>
      </c>
      <c r="F205" s="32" t="e">
        <f t="shared" ca="1" si="72"/>
        <v>#REF!</v>
      </c>
      <c r="G205" s="32" t="e">
        <f t="shared" ca="1" si="72"/>
        <v>#REF!</v>
      </c>
      <c r="H205" s="32" t="e">
        <f t="shared" ca="1" si="72"/>
        <v>#REF!</v>
      </c>
      <c r="I205" s="32" t="e">
        <f t="shared" ca="1" si="72"/>
        <v>#REF!</v>
      </c>
      <c r="J205" s="32" t="e">
        <f t="shared" ca="1" si="72"/>
        <v>#REF!</v>
      </c>
      <c r="K205" s="32" t="e">
        <f t="shared" ca="1" si="72"/>
        <v>#REF!</v>
      </c>
      <c r="L205" s="32" t="e">
        <f t="shared" ca="1" si="72"/>
        <v>#REF!</v>
      </c>
      <c r="M205" s="32" t="e">
        <f t="shared" ca="1" si="72"/>
        <v>#REF!</v>
      </c>
      <c r="N205" s="32" t="e">
        <f t="shared" ca="1" si="72"/>
        <v>#REF!</v>
      </c>
      <c r="O205" s="32" t="e">
        <f t="shared" ca="1" si="72"/>
        <v>#REF!</v>
      </c>
      <c r="P205" s="32" t="e">
        <f t="shared" ca="1" si="72"/>
        <v>#REF!</v>
      </c>
      <c r="Q205" s="32" t="e">
        <f t="shared" ca="1" si="72"/>
        <v>#REF!</v>
      </c>
      <c r="R205">
        <v>0</v>
      </c>
      <c r="S205" s="29" t="str">
        <f t="shared" si="63"/>
        <v/>
      </c>
      <c r="T205" s="29">
        <f t="shared" si="64"/>
        <v>2035</v>
      </c>
      <c r="U205" s="32" t="e">
        <f t="shared" ca="1" si="67"/>
        <v>#REF!</v>
      </c>
      <c r="V205" s="32" t="e">
        <f t="shared" ca="1" si="67"/>
        <v>#REF!</v>
      </c>
      <c r="W205" s="32" t="e">
        <f t="shared" ca="1" si="67"/>
        <v>#REF!</v>
      </c>
      <c r="X205" s="32" t="e">
        <f t="shared" ca="1" si="67"/>
        <v>#REF!</v>
      </c>
      <c r="Y205" s="1" t="e">
        <f t="shared" ca="1" si="65"/>
        <v>#REF!</v>
      </c>
      <c r="AA205" s="31" t="e">
        <f t="shared" ca="1" si="51"/>
        <v>#REF!</v>
      </c>
      <c r="AC205" s="34" t="e">
        <f t="shared" ca="1" si="66"/>
        <v>#REF!</v>
      </c>
      <c r="AD205" s="34" t="e">
        <f t="shared" ca="1" si="70"/>
        <v>#REF!</v>
      </c>
      <c r="AE205" s="34" t="e">
        <f t="shared" ca="1" si="56"/>
        <v>#REF!</v>
      </c>
    </row>
    <row r="206" spans="1:31" x14ac:dyDescent="0.2">
      <c r="A206" s="29"/>
      <c r="C206" s="29" t="str">
        <f t="shared" si="68"/>
        <v/>
      </c>
      <c r="D206" s="29">
        <v>2035</v>
      </c>
      <c r="E206" s="32" t="e">
        <f t="shared" ca="1" si="72"/>
        <v>#REF!</v>
      </c>
      <c r="F206" s="32" t="e">
        <f t="shared" ca="1" si="72"/>
        <v>#REF!</v>
      </c>
      <c r="G206" s="32" t="e">
        <f t="shared" ca="1" si="72"/>
        <v>#REF!</v>
      </c>
      <c r="H206" s="32" t="e">
        <f t="shared" ca="1" si="72"/>
        <v>#REF!</v>
      </c>
      <c r="I206" s="32" t="e">
        <f t="shared" ca="1" si="72"/>
        <v>#REF!</v>
      </c>
      <c r="J206" s="32" t="e">
        <f t="shared" ca="1" si="72"/>
        <v>#REF!</v>
      </c>
      <c r="K206" s="32" t="e">
        <f t="shared" ca="1" si="72"/>
        <v>#REF!</v>
      </c>
      <c r="L206" s="32" t="e">
        <f t="shared" ca="1" si="72"/>
        <v>#REF!</v>
      </c>
      <c r="M206" s="32" t="e">
        <f t="shared" ca="1" si="72"/>
        <v>#REF!</v>
      </c>
      <c r="N206" s="32" t="e">
        <f t="shared" ca="1" si="72"/>
        <v>#REF!</v>
      </c>
      <c r="O206" s="32" t="e">
        <f t="shared" ca="1" si="72"/>
        <v>#REF!</v>
      </c>
      <c r="P206" s="32" t="e">
        <f t="shared" ca="1" si="72"/>
        <v>#REF!</v>
      </c>
      <c r="Q206" s="32" t="e">
        <f t="shared" ca="1" si="72"/>
        <v>#REF!</v>
      </c>
      <c r="R206">
        <v>0</v>
      </c>
      <c r="S206" s="29" t="str">
        <f t="shared" si="63"/>
        <v/>
      </c>
      <c r="T206" s="29">
        <f t="shared" si="64"/>
        <v>2035</v>
      </c>
      <c r="U206" s="32" t="e">
        <f t="shared" ca="1" si="67"/>
        <v>#REF!</v>
      </c>
      <c r="V206" s="32" t="e">
        <f t="shared" ca="1" si="67"/>
        <v>#REF!</v>
      </c>
      <c r="W206" s="32" t="e">
        <f t="shared" ca="1" si="67"/>
        <v>#REF!</v>
      </c>
      <c r="X206" s="32" t="e">
        <f t="shared" ca="1" si="67"/>
        <v>#REF!</v>
      </c>
      <c r="Y206" s="1" t="e">
        <f t="shared" ca="1" si="65"/>
        <v>#REF!</v>
      </c>
      <c r="AA206" s="31" t="e">
        <f t="shared" ca="1" si="51"/>
        <v>#REF!</v>
      </c>
      <c r="AC206" s="34" t="e">
        <f t="shared" ca="1" si="66"/>
        <v>#REF!</v>
      </c>
      <c r="AD206" s="34" t="e">
        <f t="shared" ca="1" si="70"/>
        <v>#REF!</v>
      </c>
      <c r="AE206" s="34" t="e">
        <f t="shared" ca="1" si="56"/>
        <v>#REF!</v>
      </c>
    </row>
    <row r="207" spans="1:31" x14ac:dyDescent="0.2">
      <c r="A207" s="29"/>
      <c r="C207" s="29" t="str">
        <f t="shared" si="68"/>
        <v/>
      </c>
      <c r="D207" s="29">
        <v>2035</v>
      </c>
      <c r="E207" s="32" t="e">
        <f t="shared" ca="1" si="72"/>
        <v>#REF!</v>
      </c>
      <c r="F207" s="32" t="e">
        <f t="shared" ca="1" si="72"/>
        <v>#REF!</v>
      </c>
      <c r="G207" s="32" t="e">
        <f t="shared" ca="1" si="72"/>
        <v>#REF!</v>
      </c>
      <c r="H207" s="32" t="e">
        <f t="shared" ca="1" si="72"/>
        <v>#REF!</v>
      </c>
      <c r="I207" s="32" t="e">
        <f t="shared" ca="1" si="72"/>
        <v>#REF!</v>
      </c>
      <c r="J207" s="32" t="e">
        <f t="shared" ca="1" si="72"/>
        <v>#REF!</v>
      </c>
      <c r="K207" s="32" t="e">
        <f t="shared" ca="1" si="72"/>
        <v>#REF!</v>
      </c>
      <c r="L207" s="32" t="e">
        <f t="shared" ca="1" si="72"/>
        <v>#REF!</v>
      </c>
      <c r="M207" s="32" t="e">
        <f t="shared" ca="1" si="72"/>
        <v>#REF!</v>
      </c>
      <c r="N207" s="32" t="e">
        <f t="shared" ca="1" si="72"/>
        <v>#REF!</v>
      </c>
      <c r="O207" s="32" t="e">
        <f t="shared" ca="1" si="72"/>
        <v>#REF!</v>
      </c>
      <c r="P207" s="32" t="e">
        <f t="shared" ca="1" si="72"/>
        <v>#REF!</v>
      </c>
      <c r="Q207" s="32" t="e">
        <f t="shared" ca="1" si="72"/>
        <v>#REF!</v>
      </c>
      <c r="R207">
        <v>0</v>
      </c>
      <c r="S207" s="29" t="str">
        <f t="shared" si="63"/>
        <v/>
      </c>
      <c r="T207" s="29">
        <f t="shared" si="64"/>
        <v>2035</v>
      </c>
      <c r="U207" s="32" t="e">
        <f t="shared" ca="1" si="67"/>
        <v>#REF!</v>
      </c>
      <c r="V207" s="32" t="e">
        <f t="shared" ca="1" si="67"/>
        <v>#REF!</v>
      </c>
      <c r="W207" s="32" t="e">
        <f t="shared" ca="1" si="67"/>
        <v>#REF!</v>
      </c>
      <c r="X207" s="32" t="e">
        <f t="shared" ca="1" si="67"/>
        <v>#REF!</v>
      </c>
      <c r="Y207" s="1" t="e">
        <f t="shared" ca="1" si="65"/>
        <v>#REF!</v>
      </c>
      <c r="AA207" s="31" t="e">
        <f t="shared" ca="1" si="51"/>
        <v>#REF!</v>
      </c>
      <c r="AC207" s="34" t="e">
        <f t="shared" ca="1" si="66"/>
        <v>#REF!</v>
      </c>
      <c r="AD207" s="34" t="e">
        <f t="shared" ca="1" si="70"/>
        <v>#REF!</v>
      </c>
      <c r="AE207" s="34" t="e">
        <f t="shared" ca="1" si="56"/>
        <v>#REF!</v>
      </c>
    </row>
    <row r="208" spans="1:31" x14ac:dyDescent="0.2">
      <c r="A208" s="29"/>
      <c r="C208" s="29" t="str">
        <f t="shared" si="68"/>
        <v/>
      </c>
      <c r="D208" s="29">
        <v>2035</v>
      </c>
      <c r="E208" s="32" t="e">
        <f t="shared" ca="1" si="72"/>
        <v>#REF!</v>
      </c>
      <c r="F208" s="32" t="e">
        <f t="shared" ca="1" si="72"/>
        <v>#REF!</v>
      </c>
      <c r="G208" s="32" t="e">
        <f t="shared" ca="1" si="72"/>
        <v>#REF!</v>
      </c>
      <c r="H208" s="32" t="e">
        <f t="shared" ca="1" si="72"/>
        <v>#REF!</v>
      </c>
      <c r="I208" s="32" t="e">
        <f t="shared" ca="1" si="72"/>
        <v>#REF!</v>
      </c>
      <c r="J208" s="32" t="e">
        <f t="shared" ca="1" si="72"/>
        <v>#REF!</v>
      </c>
      <c r="K208" s="32" t="e">
        <f t="shared" ca="1" si="72"/>
        <v>#REF!</v>
      </c>
      <c r="L208" s="32" t="e">
        <f t="shared" ca="1" si="72"/>
        <v>#REF!</v>
      </c>
      <c r="M208" s="32" t="e">
        <f t="shared" ca="1" si="72"/>
        <v>#REF!</v>
      </c>
      <c r="N208" s="32" t="e">
        <f t="shared" ca="1" si="72"/>
        <v>#REF!</v>
      </c>
      <c r="O208" s="32" t="e">
        <f t="shared" ca="1" si="72"/>
        <v>#REF!</v>
      </c>
      <c r="P208" s="32" t="e">
        <f t="shared" ca="1" si="72"/>
        <v>#REF!</v>
      </c>
      <c r="Q208" s="32" t="e">
        <f t="shared" ca="1" si="72"/>
        <v>#REF!</v>
      </c>
      <c r="R208">
        <v>0</v>
      </c>
      <c r="S208" s="29" t="str">
        <f t="shared" si="63"/>
        <v/>
      </c>
      <c r="T208" s="29">
        <f t="shared" si="64"/>
        <v>2035</v>
      </c>
      <c r="U208" s="32" t="e">
        <f t="shared" ca="1" si="67"/>
        <v>#REF!</v>
      </c>
      <c r="V208" s="32" t="e">
        <f t="shared" ca="1" si="67"/>
        <v>#REF!</v>
      </c>
      <c r="W208" s="32" t="e">
        <f t="shared" ca="1" si="67"/>
        <v>#REF!</v>
      </c>
      <c r="X208" s="32" t="e">
        <f t="shared" ca="1" si="67"/>
        <v>#REF!</v>
      </c>
      <c r="Y208" s="1" t="e">
        <f t="shared" ca="1" si="65"/>
        <v>#REF!</v>
      </c>
      <c r="AA208" s="31" t="e">
        <f t="shared" ca="1" si="51"/>
        <v>#REF!</v>
      </c>
      <c r="AC208" s="34" t="e">
        <f t="shared" ca="1" si="66"/>
        <v>#REF!</v>
      </c>
      <c r="AD208" s="34" t="e">
        <f t="shared" ca="1" si="70"/>
        <v>#REF!</v>
      </c>
      <c r="AE208" s="34" t="e">
        <f t="shared" ca="1" si="56"/>
        <v>#REF!</v>
      </c>
    </row>
    <row r="209" spans="1:31" x14ac:dyDescent="0.2">
      <c r="A209" s="29"/>
      <c r="C209" s="29" t="str">
        <f t="shared" si="68"/>
        <v/>
      </c>
      <c r="D209" s="29">
        <v>2035</v>
      </c>
      <c r="E209" s="32" t="e">
        <f t="shared" ca="1" si="72"/>
        <v>#REF!</v>
      </c>
      <c r="F209" s="32" t="e">
        <f t="shared" ca="1" si="72"/>
        <v>#REF!</v>
      </c>
      <c r="G209" s="32" t="e">
        <f t="shared" ca="1" si="72"/>
        <v>#REF!</v>
      </c>
      <c r="H209" s="32" t="e">
        <f t="shared" ca="1" si="72"/>
        <v>#REF!</v>
      </c>
      <c r="I209" s="32" t="e">
        <f t="shared" ca="1" si="72"/>
        <v>#REF!</v>
      </c>
      <c r="J209" s="32" t="e">
        <f t="shared" ca="1" si="72"/>
        <v>#REF!</v>
      </c>
      <c r="K209" s="32" t="e">
        <f t="shared" ca="1" si="72"/>
        <v>#REF!</v>
      </c>
      <c r="L209" s="32" t="e">
        <f t="shared" ca="1" si="72"/>
        <v>#REF!</v>
      </c>
      <c r="M209" s="32" t="e">
        <f t="shared" ca="1" si="72"/>
        <v>#REF!</v>
      </c>
      <c r="N209" s="32" t="e">
        <f t="shared" ca="1" si="72"/>
        <v>#REF!</v>
      </c>
      <c r="O209" s="32" t="e">
        <f t="shared" ca="1" si="72"/>
        <v>#REF!</v>
      </c>
      <c r="P209" s="32" t="e">
        <f t="shared" ca="1" si="72"/>
        <v>#REF!</v>
      </c>
      <c r="Q209" s="32" t="e">
        <f t="shared" ca="1" si="72"/>
        <v>#REF!</v>
      </c>
      <c r="R209">
        <v>0</v>
      </c>
      <c r="S209" s="29" t="str">
        <f t="shared" si="63"/>
        <v/>
      </c>
      <c r="T209" s="29">
        <f t="shared" si="64"/>
        <v>2035</v>
      </c>
      <c r="U209" s="32" t="e">
        <f t="shared" ca="1" si="67"/>
        <v>#REF!</v>
      </c>
      <c r="V209" s="32" t="e">
        <f t="shared" ca="1" si="67"/>
        <v>#REF!</v>
      </c>
      <c r="W209" s="32" t="e">
        <f t="shared" ca="1" si="67"/>
        <v>#REF!</v>
      </c>
      <c r="X209" s="32" t="e">
        <f t="shared" ca="1" si="67"/>
        <v>#REF!</v>
      </c>
      <c r="Y209" s="1" t="e">
        <f t="shared" ca="1" si="65"/>
        <v>#REF!</v>
      </c>
      <c r="AA209" s="31" t="e">
        <f t="shared" ca="1" si="51"/>
        <v>#REF!</v>
      </c>
      <c r="AC209" s="34" t="e">
        <f t="shared" ca="1" si="66"/>
        <v>#REF!</v>
      </c>
      <c r="AD209" s="34" t="e">
        <f t="shared" ca="1" si="70"/>
        <v>#REF!</v>
      </c>
      <c r="AE209" s="34" t="e">
        <f t="shared" ca="1" si="56"/>
        <v>#REF!</v>
      </c>
    </row>
    <row r="210" spans="1:31" x14ac:dyDescent="0.2">
      <c r="A210" s="29"/>
      <c r="C210" s="29" t="str">
        <f t="shared" si="68"/>
        <v/>
      </c>
      <c r="D210" s="29">
        <v>2035</v>
      </c>
      <c r="E210" s="32" t="e">
        <f t="shared" ca="1" si="72"/>
        <v>#REF!</v>
      </c>
      <c r="F210" s="32" t="e">
        <f t="shared" ca="1" si="72"/>
        <v>#REF!</v>
      </c>
      <c r="G210" s="32" t="e">
        <f t="shared" ca="1" si="72"/>
        <v>#REF!</v>
      </c>
      <c r="H210" s="32" t="e">
        <f t="shared" ca="1" si="72"/>
        <v>#REF!</v>
      </c>
      <c r="I210" s="32" t="e">
        <f t="shared" ca="1" si="72"/>
        <v>#REF!</v>
      </c>
      <c r="J210" s="32" t="e">
        <f t="shared" ca="1" si="72"/>
        <v>#REF!</v>
      </c>
      <c r="K210" s="32" t="e">
        <f t="shared" ca="1" si="72"/>
        <v>#REF!</v>
      </c>
      <c r="L210" s="32" t="e">
        <f t="shared" ca="1" si="72"/>
        <v>#REF!</v>
      </c>
      <c r="M210" s="32" t="e">
        <f t="shared" ca="1" si="72"/>
        <v>#REF!</v>
      </c>
      <c r="N210" s="32" t="e">
        <f t="shared" ca="1" si="72"/>
        <v>#REF!</v>
      </c>
      <c r="O210" s="32" t="e">
        <f t="shared" ca="1" si="72"/>
        <v>#REF!</v>
      </c>
      <c r="P210" s="32" t="e">
        <f t="shared" ca="1" si="72"/>
        <v>#REF!</v>
      </c>
      <c r="Q210" s="32" t="e">
        <f t="shared" ca="1" si="72"/>
        <v>#REF!</v>
      </c>
      <c r="R210">
        <v>0</v>
      </c>
      <c r="S210" s="29" t="str">
        <f t="shared" si="63"/>
        <v/>
      </c>
      <c r="T210" s="29">
        <f t="shared" si="64"/>
        <v>2035</v>
      </c>
      <c r="U210" s="32" t="e">
        <f t="shared" ca="1" si="67"/>
        <v>#REF!</v>
      </c>
      <c r="V210" s="32" t="e">
        <f t="shared" ca="1" si="67"/>
        <v>#REF!</v>
      </c>
      <c r="W210" s="32" t="e">
        <f t="shared" ca="1" si="67"/>
        <v>#REF!</v>
      </c>
      <c r="X210" s="32" t="e">
        <f t="shared" ca="1" si="67"/>
        <v>#REF!</v>
      </c>
      <c r="Y210" s="1" t="e">
        <f t="shared" ca="1" si="65"/>
        <v>#REF!</v>
      </c>
      <c r="AA210" s="31" t="e">
        <f t="shared" ca="1" si="51"/>
        <v>#REF!</v>
      </c>
      <c r="AC210" s="34" t="e">
        <f t="shared" ca="1" si="66"/>
        <v>#REF!</v>
      </c>
      <c r="AD210" s="34" t="e">
        <f t="shared" ca="1" si="70"/>
        <v>#REF!</v>
      </c>
      <c r="AE210" s="34" t="e">
        <f t="shared" ca="1" si="56"/>
        <v>#REF!</v>
      </c>
    </row>
    <row r="211" spans="1:31" x14ac:dyDescent="0.2">
      <c r="A211" s="29"/>
      <c r="C211" s="29" t="str">
        <f t="shared" si="68"/>
        <v/>
      </c>
      <c r="D211" s="29">
        <v>2035</v>
      </c>
      <c r="E211" s="32" t="e">
        <f t="shared" ca="1" si="72"/>
        <v>#REF!</v>
      </c>
      <c r="F211" s="32" t="e">
        <f t="shared" ca="1" si="72"/>
        <v>#REF!</v>
      </c>
      <c r="G211" s="32" t="e">
        <f t="shared" ca="1" si="72"/>
        <v>#REF!</v>
      </c>
      <c r="H211" s="32" t="e">
        <f t="shared" ca="1" si="72"/>
        <v>#REF!</v>
      </c>
      <c r="I211" s="32" t="e">
        <f t="shared" ca="1" si="72"/>
        <v>#REF!</v>
      </c>
      <c r="J211" s="32" t="e">
        <f t="shared" ca="1" si="72"/>
        <v>#REF!</v>
      </c>
      <c r="K211" s="32" t="e">
        <f t="shared" ca="1" si="72"/>
        <v>#REF!</v>
      </c>
      <c r="L211" s="32" t="e">
        <f t="shared" ca="1" si="72"/>
        <v>#REF!</v>
      </c>
      <c r="M211" s="32" t="e">
        <f t="shared" ca="1" si="72"/>
        <v>#REF!</v>
      </c>
      <c r="N211" s="32" t="e">
        <f t="shared" ca="1" si="72"/>
        <v>#REF!</v>
      </c>
      <c r="O211" s="32" t="e">
        <f t="shared" ca="1" si="72"/>
        <v>#REF!</v>
      </c>
      <c r="P211" s="32" t="e">
        <f t="shared" ca="1" si="72"/>
        <v>#REF!</v>
      </c>
      <c r="Q211" s="32" t="e">
        <f t="shared" ca="1" si="72"/>
        <v>#REF!</v>
      </c>
      <c r="R211">
        <v>0</v>
      </c>
      <c r="S211" s="29" t="str">
        <f t="shared" si="63"/>
        <v/>
      </c>
      <c r="T211" s="29">
        <f t="shared" si="64"/>
        <v>2035</v>
      </c>
      <c r="U211" s="32" t="e">
        <f t="shared" ca="1" si="67"/>
        <v>#REF!</v>
      </c>
      <c r="V211" s="32" t="e">
        <f t="shared" ca="1" si="67"/>
        <v>#REF!</v>
      </c>
      <c r="W211" s="32" t="e">
        <f t="shared" ca="1" si="67"/>
        <v>#REF!</v>
      </c>
      <c r="X211" s="32" t="e">
        <f t="shared" ca="1" si="67"/>
        <v>#REF!</v>
      </c>
      <c r="Y211" s="1" t="e">
        <f t="shared" ca="1" si="65"/>
        <v>#REF!</v>
      </c>
      <c r="AA211" s="31" t="e">
        <f t="shared" ca="1" si="51"/>
        <v>#REF!</v>
      </c>
      <c r="AC211" s="34" t="e">
        <f t="shared" ca="1" si="66"/>
        <v>#REF!</v>
      </c>
      <c r="AD211" s="34" t="e">
        <f t="shared" ca="1" si="70"/>
        <v>#REF!</v>
      </c>
      <c r="AE211" s="34" t="e">
        <f t="shared" ca="1" si="56"/>
        <v>#REF!</v>
      </c>
    </row>
    <row r="212" spans="1:31" x14ac:dyDescent="0.2">
      <c r="A212" s="29"/>
      <c r="C212" s="29" t="str">
        <f t="shared" si="68"/>
        <v/>
      </c>
      <c r="D212" s="29">
        <v>2035</v>
      </c>
      <c r="E212" s="32" t="e">
        <f t="shared" ref="E212:Q221" ca="1" si="73">INDEX(INDIRECT("'"&amp;$B212&amp;"'!"&amp;$A$1),MATCH(E$31,INDIRECT("'"&amp;$B212&amp;"'!G43:G55"),0),MATCH($D212,INDIRECT("'"&amp;$B212&amp;"'!H42:AG42")))</f>
        <v>#REF!</v>
      </c>
      <c r="F212" s="32" t="e">
        <f t="shared" ca="1" si="73"/>
        <v>#REF!</v>
      </c>
      <c r="G212" s="32" t="e">
        <f t="shared" ca="1" si="73"/>
        <v>#REF!</v>
      </c>
      <c r="H212" s="32" t="e">
        <f t="shared" ca="1" si="73"/>
        <v>#REF!</v>
      </c>
      <c r="I212" s="32" t="e">
        <f t="shared" ca="1" si="73"/>
        <v>#REF!</v>
      </c>
      <c r="J212" s="32" t="e">
        <f t="shared" ca="1" si="73"/>
        <v>#REF!</v>
      </c>
      <c r="K212" s="32" t="e">
        <f t="shared" ca="1" si="73"/>
        <v>#REF!</v>
      </c>
      <c r="L212" s="32" t="e">
        <f t="shared" ca="1" si="73"/>
        <v>#REF!</v>
      </c>
      <c r="M212" s="32" t="e">
        <f t="shared" ca="1" si="73"/>
        <v>#REF!</v>
      </c>
      <c r="N212" s="32" t="e">
        <f t="shared" ca="1" si="73"/>
        <v>#REF!</v>
      </c>
      <c r="O212" s="32" t="e">
        <f t="shared" ca="1" si="73"/>
        <v>#REF!</v>
      </c>
      <c r="P212" s="32" t="e">
        <f t="shared" ca="1" si="73"/>
        <v>#REF!</v>
      </c>
      <c r="Q212" s="32" t="e">
        <f t="shared" ca="1" si="73"/>
        <v>#REF!</v>
      </c>
      <c r="R212">
        <v>0</v>
      </c>
      <c r="S212" s="29" t="str">
        <f t="shared" si="63"/>
        <v/>
      </c>
      <c r="T212" s="29">
        <f t="shared" si="64"/>
        <v>2035</v>
      </c>
      <c r="U212" s="32" t="e">
        <f t="shared" ca="1" si="67"/>
        <v>#REF!</v>
      </c>
      <c r="V212" s="32" t="e">
        <f t="shared" ca="1" si="67"/>
        <v>#REF!</v>
      </c>
      <c r="W212" s="32" t="e">
        <f t="shared" ca="1" si="67"/>
        <v>#REF!</v>
      </c>
      <c r="X212" s="32" t="e">
        <f t="shared" ca="1" si="67"/>
        <v>#REF!</v>
      </c>
      <c r="Y212" s="1" t="e">
        <f t="shared" ca="1" si="65"/>
        <v>#REF!</v>
      </c>
      <c r="AA212" s="31" t="e">
        <f t="shared" ca="1" si="51"/>
        <v>#REF!</v>
      </c>
      <c r="AC212" s="34" t="e">
        <f t="shared" ca="1" si="66"/>
        <v>#REF!</v>
      </c>
      <c r="AD212" s="34" t="e">
        <f t="shared" ca="1" si="70"/>
        <v>#REF!</v>
      </c>
      <c r="AE212" s="34" t="e">
        <f t="shared" ca="1" si="56"/>
        <v>#REF!</v>
      </c>
    </row>
    <row r="213" spans="1:31" x14ac:dyDescent="0.2">
      <c r="A213" s="29"/>
      <c r="C213" s="29" t="str">
        <f t="shared" si="68"/>
        <v/>
      </c>
      <c r="D213" s="29">
        <v>2035</v>
      </c>
      <c r="E213" s="32" t="e">
        <f t="shared" ca="1" si="73"/>
        <v>#REF!</v>
      </c>
      <c r="F213" s="32" t="e">
        <f t="shared" ca="1" si="73"/>
        <v>#REF!</v>
      </c>
      <c r="G213" s="32" t="e">
        <f t="shared" ca="1" si="73"/>
        <v>#REF!</v>
      </c>
      <c r="H213" s="32" t="e">
        <f t="shared" ca="1" si="73"/>
        <v>#REF!</v>
      </c>
      <c r="I213" s="32" t="e">
        <f t="shared" ca="1" si="73"/>
        <v>#REF!</v>
      </c>
      <c r="J213" s="32" t="e">
        <f t="shared" ca="1" si="73"/>
        <v>#REF!</v>
      </c>
      <c r="K213" s="32" t="e">
        <f t="shared" ca="1" si="73"/>
        <v>#REF!</v>
      </c>
      <c r="L213" s="32" t="e">
        <f t="shared" ca="1" si="73"/>
        <v>#REF!</v>
      </c>
      <c r="M213" s="32" t="e">
        <f t="shared" ca="1" si="73"/>
        <v>#REF!</v>
      </c>
      <c r="N213" s="32" t="e">
        <f t="shared" ca="1" si="73"/>
        <v>#REF!</v>
      </c>
      <c r="O213" s="32" t="e">
        <f t="shared" ca="1" si="73"/>
        <v>#REF!</v>
      </c>
      <c r="P213" s="32" t="e">
        <f t="shared" ca="1" si="73"/>
        <v>#REF!</v>
      </c>
      <c r="Q213" s="32" t="e">
        <f t="shared" ca="1" si="73"/>
        <v>#REF!</v>
      </c>
      <c r="R213">
        <v>0</v>
      </c>
      <c r="S213" s="29" t="str">
        <f t="shared" si="63"/>
        <v/>
      </c>
      <c r="T213" s="29">
        <f t="shared" si="64"/>
        <v>2035</v>
      </c>
      <c r="U213" s="32" t="e">
        <f t="shared" ca="1" si="67"/>
        <v>#REF!</v>
      </c>
      <c r="V213" s="32" t="e">
        <f t="shared" ca="1" si="67"/>
        <v>#REF!</v>
      </c>
      <c r="W213" s="32" t="e">
        <f t="shared" ca="1" si="67"/>
        <v>#REF!</v>
      </c>
      <c r="X213" s="32" t="e">
        <f t="shared" ca="1" si="67"/>
        <v>#REF!</v>
      </c>
      <c r="Y213" s="1" t="e">
        <f t="shared" ca="1" si="65"/>
        <v>#REF!</v>
      </c>
      <c r="AA213" s="31" t="e">
        <f t="shared" ca="1" si="51"/>
        <v>#REF!</v>
      </c>
      <c r="AC213" s="34" t="e">
        <f t="shared" ca="1" si="66"/>
        <v>#REF!</v>
      </c>
      <c r="AD213" s="34" t="e">
        <f t="shared" ca="1" si="70"/>
        <v>#REF!</v>
      </c>
      <c r="AE213" s="34" t="e">
        <f t="shared" ca="1" si="56"/>
        <v>#REF!</v>
      </c>
    </row>
    <row r="214" spans="1:31" x14ac:dyDescent="0.2">
      <c r="A214" s="29"/>
      <c r="C214" s="29" t="str">
        <f t="shared" si="68"/>
        <v/>
      </c>
      <c r="D214" s="29">
        <v>2035</v>
      </c>
      <c r="E214" s="32" t="e">
        <f t="shared" ca="1" si="73"/>
        <v>#REF!</v>
      </c>
      <c r="F214" s="32" t="e">
        <f t="shared" ca="1" si="73"/>
        <v>#REF!</v>
      </c>
      <c r="G214" s="32" t="e">
        <f t="shared" ca="1" si="73"/>
        <v>#REF!</v>
      </c>
      <c r="H214" s="32" t="e">
        <f t="shared" ca="1" si="73"/>
        <v>#REF!</v>
      </c>
      <c r="I214" s="32" t="e">
        <f t="shared" ca="1" si="73"/>
        <v>#REF!</v>
      </c>
      <c r="J214" s="32" t="e">
        <f t="shared" ca="1" si="73"/>
        <v>#REF!</v>
      </c>
      <c r="K214" s="32" t="e">
        <f t="shared" ca="1" si="73"/>
        <v>#REF!</v>
      </c>
      <c r="L214" s="32" t="e">
        <f t="shared" ca="1" si="73"/>
        <v>#REF!</v>
      </c>
      <c r="M214" s="32" t="e">
        <f t="shared" ca="1" si="73"/>
        <v>#REF!</v>
      </c>
      <c r="N214" s="32" t="e">
        <f t="shared" ca="1" si="73"/>
        <v>#REF!</v>
      </c>
      <c r="O214" s="32" t="e">
        <f t="shared" ca="1" si="73"/>
        <v>#REF!</v>
      </c>
      <c r="P214" s="32" t="e">
        <f t="shared" ca="1" si="73"/>
        <v>#REF!</v>
      </c>
      <c r="Q214" s="32" t="e">
        <f t="shared" ca="1" si="73"/>
        <v>#REF!</v>
      </c>
      <c r="R214">
        <v>0</v>
      </c>
      <c r="S214" s="29" t="str">
        <f t="shared" si="63"/>
        <v/>
      </c>
      <c r="T214" s="29">
        <f t="shared" si="64"/>
        <v>2035</v>
      </c>
      <c r="U214" s="32" t="e">
        <f t="shared" ca="1" si="67"/>
        <v>#REF!</v>
      </c>
      <c r="V214" s="32" t="e">
        <f t="shared" ca="1" si="67"/>
        <v>#REF!</v>
      </c>
      <c r="W214" s="32" t="e">
        <f t="shared" ca="1" si="67"/>
        <v>#REF!</v>
      </c>
      <c r="X214" s="32" t="e">
        <f t="shared" ca="1" si="67"/>
        <v>#REF!</v>
      </c>
      <c r="Y214" s="1" t="e">
        <f t="shared" ca="1" si="65"/>
        <v>#REF!</v>
      </c>
      <c r="AA214" s="31" t="e">
        <f t="shared" ca="1" si="51"/>
        <v>#REF!</v>
      </c>
      <c r="AC214" s="34" t="e">
        <f t="shared" ca="1" si="66"/>
        <v>#REF!</v>
      </c>
      <c r="AD214" s="34" t="e">
        <f t="shared" ca="1" si="70"/>
        <v>#REF!</v>
      </c>
      <c r="AE214" s="34" t="e">
        <f t="shared" ca="1" si="56"/>
        <v>#REF!</v>
      </c>
    </row>
    <row r="215" spans="1:31" x14ac:dyDescent="0.2">
      <c r="A215" s="29"/>
      <c r="C215" s="29" t="str">
        <f t="shared" si="68"/>
        <v/>
      </c>
      <c r="D215" s="29">
        <v>2035</v>
      </c>
      <c r="E215" s="32" t="e">
        <f t="shared" ca="1" si="73"/>
        <v>#REF!</v>
      </c>
      <c r="F215" s="32" t="e">
        <f t="shared" ca="1" si="73"/>
        <v>#REF!</v>
      </c>
      <c r="G215" s="32" t="e">
        <f t="shared" ca="1" si="73"/>
        <v>#REF!</v>
      </c>
      <c r="H215" s="32" t="e">
        <f t="shared" ca="1" si="73"/>
        <v>#REF!</v>
      </c>
      <c r="I215" s="32" t="e">
        <f t="shared" ca="1" si="73"/>
        <v>#REF!</v>
      </c>
      <c r="J215" s="32" t="e">
        <f t="shared" ca="1" si="73"/>
        <v>#REF!</v>
      </c>
      <c r="K215" s="32" t="e">
        <f t="shared" ca="1" si="73"/>
        <v>#REF!</v>
      </c>
      <c r="L215" s="32" t="e">
        <f t="shared" ca="1" si="73"/>
        <v>#REF!</v>
      </c>
      <c r="M215" s="32" t="e">
        <f t="shared" ca="1" si="73"/>
        <v>#REF!</v>
      </c>
      <c r="N215" s="32" t="e">
        <f t="shared" ca="1" si="73"/>
        <v>#REF!</v>
      </c>
      <c r="O215" s="32" t="e">
        <f t="shared" ca="1" si="73"/>
        <v>#REF!</v>
      </c>
      <c r="P215" s="32" t="e">
        <f t="shared" ca="1" si="73"/>
        <v>#REF!</v>
      </c>
      <c r="Q215" s="32" t="e">
        <f t="shared" ca="1" si="73"/>
        <v>#REF!</v>
      </c>
      <c r="R215">
        <v>0</v>
      </c>
      <c r="S215" s="29" t="str">
        <f t="shared" si="63"/>
        <v/>
      </c>
      <c r="T215" s="29">
        <f t="shared" si="64"/>
        <v>2035</v>
      </c>
      <c r="U215" s="32" t="e">
        <f t="shared" ca="1" si="67"/>
        <v>#REF!</v>
      </c>
      <c r="V215" s="32" t="e">
        <f t="shared" ca="1" si="67"/>
        <v>#REF!</v>
      </c>
      <c r="W215" s="32" t="e">
        <f t="shared" ca="1" si="67"/>
        <v>#REF!</v>
      </c>
      <c r="X215" s="32" t="e">
        <f t="shared" ca="1" si="67"/>
        <v>#REF!</v>
      </c>
      <c r="Y215" s="1" t="e">
        <f t="shared" ca="1" si="65"/>
        <v>#REF!</v>
      </c>
      <c r="AA215" s="31" t="e">
        <f t="shared" ca="1" si="51"/>
        <v>#REF!</v>
      </c>
      <c r="AC215" s="34" t="e">
        <f t="shared" ca="1" si="66"/>
        <v>#REF!</v>
      </c>
      <c r="AD215" s="34" t="e">
        <f t="shared" ca="1" si="70"/>
        <v>#REF!</v>
      </c>
      <c r="AE215" s="34" t="e">
        <f t="shared" ca="1" si="56"/>
        <v>#REF!</v>
      </c>
    </row>
    <row r="216" spans="1:31" x14ac:dyDescent="0.2">
      <c r="A216" s="29"/>
      <c r="C216" s="29" t="str">
        <f t="shared" si="68"/>
        <v/>
      </c>
      <c r="D216" s="29">
        <v>2035</v>
      </c>
      <c r="E216" s="32" t="e">
        <f t="shared" ca="1" si="73"/>
        <v>#REF!</v>
      </c>
      <c r="F216" s="32" t="e">
        <f t="shared" ca="1" si="73"/>
        <v>#REF!</v>
      </c>
      <c r="G216" s="32" t="e">
        <f t="shared" ca="1" si="73"/>
        <v>#REF!</v>
      </c>
      <c r="H216" s="32" t="e">
        <f t="shared" ca="1" si="73"/>
        <v>#REF!</v>
      </c>
      <c r="I216" s="32" t="e">
        <f t="shared" ca="1" si="73"/>
        <v>#REF!</v>
      </c>
      <c r="J216" s="32" t="e">
        <f t="shared" ca="1" si="73"/>
        <v>#REF!</v>
      </c>
      <c r="K216" s="32" t="e">
        <f t="shared" ca="1" si="73"/>
        <v>#REF!</v>
      </c>
      <c r="L216" s="32" t="e">
        <f t="shared" ca="1" si="73"/>
        <v>#REF!</v>
      </c>
      <c r="M216" s="32" t="e">
        <f t="shared" ca="1" si="73"/>
        <v>#REF!</v>
      </c>
      <c r="N216" s="32" t="e">
        <f t="shared" ca="1" si="73"/>
        <v>#REF!</v>
      </c>
      <c r="O216" s="32" t="e">
        <f t="shared" ca="1" si="73"/>
        <v>#REF!</v>
      </c>
      <c r="P216" s="32" t="e">
        <f t="shared" ca="1" si="73"/>
        <v>#REF!</v>
      </c>
      <c r="Q216" s="32" t="e">
        <f t="shared" ca="1" si="73"/>
        <v>#REF!</v>
      </c>
      <c r="R216">
        <v>0</v>
      </c>
      <c r="S216" s="29" t="str">
        <f t="shared" si="63"/>
        <v/>
      </c>
      <c r="T216" s="29">
        <f t="shared" si="64"/>
        <v>2035</v>
      </c>
      <c r="U216" s="32" t="e">
        <f t="shared" ca="1" si="67"/>
        <v>#REF!</v>
      </c>
      <c r="V216" s="32" t="e">
        <f t="shared" ca="1" si="67"/>
        <v>#REF!</v>
      </c>
      <c r="W216" s="32" t="e">
        <f t="shared" ca="1" si="67"/>
        <v>#REF!</v>
      </c>
      <c r="X216" s="32" t="e">
        <f t="shared" ca="1" si="67"/>
        <v>#REF!</v>
      </c>
      <c r="Y216" s="1" t="e">
        <f t="shared" ca="1" si="65"/>
        <v>#REF!</v>
      </c>
      <c r="AA216" s="31" t="e">
        <f t="shared" ca="1" si="51"/>
        <v>#REF!</v>
      </c>
      <c r="AC216" s="34" t="e">
        <f t="shared" ca="1" si="66"/>
        <v>#REF!</v>
      </c>
      <c r="AD216" s="34" t="e">
        <f t="shared" ca="1" si="70"/>
        <v>#REF!</v>
      </c>
      <c r="AE216" s="34" t="e">
        <f t="shared" ca="1" si="56"/>
        <v>#REF!</v>
      </c>
    </row>
    <row r="217" spans="1:31" x14ac:dyDescent="0.2">
      <c r="A217" s="29"/>
      <c r="C217" s="29" t="str">
        <f t="shared" si="68"/>
        <v/>
      </c>
      <c r="D217" s="29">
        <v>2035</v>
      </c>
      <c r="E217" s="32" t="e">
        <f t="shared" ca="1" si="73"/>
        <v>#REF!</v>
      </c>
      <c r="F217" s="32" t="e">
        <f t="shared" ca="1" si="73"/>
        <v>#REF!</v>
      </c>
      <c r="G217" s="32" t="e">
        <f t="shared" ca="1" si="73"/>
        <v>#REF!</v>
      </c>
      <c r="H217" s="32" t="e">
        <f t="shared" ca="1" si="73"/>
        <v>#REF!</v>
      </c>
      <c r="I217" s="32" t="e">
        <f t="shared" ca="1" si="73"/>
        <v>#REF!</v>
      </c>
      <c r="J217" s="32" t="e">
        <f t="shared" ca="1" si="73"/>
        <v>#REF!</v>
      </c>
      <c r="K217" s="32" t="e">
        <f t="shared" ca="1" si="73"/>
        <v>#REF!</v>
      </c>
      <c r="L217" s="32" t="e">
        <f t="shared" ca="1" si="73"/>
        <v>#REF!</v>
      </c>
      <c r="M217" s="32" t="e">
        <f t="shared" ca="1" si="73"/>
        <v>#REF!</v>
      </c>
      <c r="N217" s="32" t="e">
        <f t="shared" ca="1" si="73"/>
        <v>#REF!</v>
      </c>
      <c r="O217" s="32" t="e">
        <f t="shared" ca="1" si="73"/>
        <v>#REF!</v>
      </c>
      <c r="P217" s="32" t="e">
        <f t="shared" ca="1" si="73"/>
        <v>#REF!</v>
      </c>
      <c r="Q217" s="32" t="e">
        <f t="shared" ca="1" si="73"/>
        <v>#REF!</v>
      </c>
      <c r="R217">
        <v>0</v>
      </c>
      <c r="S217" s="29" t="str">
        <f t="shared" si="63"/>
        <v/>
      </c>
      <c r="T217" s="29">
        <f t="shared" si="64"/>
        <v>2035</v>
      </c>
      <c r="U217" s="32" t="e">
        <f t="shared" ca="1" si="67"/>
        <v>#REF!</v>
      </c>
      <c r="V217" s="32" t="e">
        <f t="shared" ca="1" si="67"/>
        <v>#REF!</v>
      </c>
      <c r="W217" s="32" t="e">
        <f t="shared" ca="1" si="67"/>
        <v>#REF!</v>
      </c>
      <c r="X217" s="32" t="e">
        <f t="shared" ca="1" si="67"/>
        <v>#REF!</v>
      </c>
      <c r="Y217" s="1" t="e">
        <f t="shared" ca="1" si="65"/>
        <v>#REF!</v>
      </c>
      <c r="AA217" s="31" t="e">
        <f t="shared" ca="1" si="51"/>
        <v>#REF!</v>
      </c>
      <c r="AC217" s="34" t="e">
        <f t="shared" ca="1" si="66"/>
        <v>#REF!</v>
      </c>
      <c r="AD217" s="34" t="e">
        <f t="shared" ca="1" si="70"/>
        <v>#REF!</v>
      </c>
      <c r="AE217" s="34" t="e">
        <f t="shared" ca="1" si="56"/>
        <v>#REF!</v>
      </c>
    </row>
    <row r="218" spans="1:31" x14ac:dyDescent="0.2">
      <c r="A218" s="29"/>
      <c r="C218" s="29" t="str">
        <f t="shared" si="68"/>
        <v/>
      </c>
      <c r="D218" s="29">
        <v>2035</v>
      </c>
      <c r="E218" s="32" t="e">
        <f t="shared" ca="1" si="73"/>
        <v>#REF!</v>
      </c>
      <c r="F218" s="32" t="e">
        <f t="shared" ca="1" si="73"/>
        <v>#REF!</v>
      </c>
      <c r="G218" s="32" t="e">
        <f t="shared" ca="1" si="73"/>
        <v>#REF!</v>
      </c>
      <c r="H218" s="32" t="e">
        <f t="shared" ca="1" si="73"/>
        <v>#REF!</v>
      </c>
      <c r="I218" s="32" t="e">
        <f t="shared" ca="1" si="73"/>
        <v>#REF!</v>
      </c>
      <c r="J218" s="32" t="e">
        <f t="shared" ca="1" si="73"/>
        <v>#REF!</v>
      </c>
      <c r="K218" s="32" t="e">
        <f t="shared" ca="1" si="73"/>
        <v>#REF!</v>
      </c>
      <c r="L218" s="32" t="e">
        <f t="shared" ca="1" si="73"/>
        <v>#REF!</v>
      </c>
      <c r="M218" s="32" t="e">
        <f t="shared" ca="1" si="73"/>
        <v>#REF!</v>
      </c>
      <c r="N218" s="32" t="e">
        <f t="shared" ca="1" si="73"/>
        <v>#REF!</v>
      </c>
      <c r="O218" s="32" t="e">
        <f t="shared" ca="1" si="73"/>
        <v>#REF!</v>
      </c>
      <c r="P218" s="32" t="e">
        <f t="shared" ca="1" si="73"/>
        <v>#REF!</v>
      </c>
      <c r="Q218" s="32" t="e">
        <f t="shared" ca="1" si="73"/>
        <v>#REF!</v>
      </c>
      <c r="R218">
        <v>0</v>
      </c>
      <c r="S218" s="29" t="str">
        <f t="shared" si="63"/>
        <v/>
      </c>
      <c r="T218" s="29">
        <f t="shared" si="64"/>
        <v>2035</v>
      </c>
      <c r="U218" s="32" t="e">
        <f t="shared" ca="1" si="67"/>
        <v>#REF!</v>
      </c>
      <c r="V218" s="32" t="e">
        <f t="shared" ca="1" si="67"/>
        <v>#REF!</v>
      </c>
      <c r="W218" s="32" t="e">
        <f t="shared" ca="1" si="67"/>
        <v>#REF!</v>
      </c>
      <c r="X218" s="32" t="e">
        <f t="shared" ca="1" si="67"/>
        <v>#REF!</v>
      </c>
      <c r="Y218" s="1" t="e">
        <f t="shared" ca="1" si="65"/>
        <v>#REF!</v>
      </c>
      <c r="AA218" s="31" t="e">
        <f t="shared" ref="AA218:AA229" ca="1" si="74">INDEX(INDIRECT("'"&amp;$B218&amp;"'!BL58:CK58"),MATCH($D218,INDIRECT("'"&amp;$B218&amp;"'!BL42:CK42")))</f>
        <v>#REF!</v>
      </c>
      <c r="AC218" s="34" t="e">
        <f t="shared" ca="1" si="66"/>
        <v>#REF!</v>
      </c>
      <c r="AD218" s="34" t="e">
        <f t="shared" ca="1" si="70"/>
        <v>#REF!</v>
      </c>
      <c r="AE218" s="34" t="e">
        <f t="shared" ca="1" si="56"/>
        <v>#REF!</v>
      </c>
    </row>
    <row r="219" spans="1:31" x14ac:dyDescent="0.2">
      <c r="A219" s="29"/>
      <c r="C219" s="29" t="str">
        <f t="shared" si="68"/>
        <v/>
      </c>
      <c r="D219" s="29">
        <v>2035</v>
      </c>
      <c r="E219" s="32" t="e">
        <f t="shared" ca="1" si="73"/>
        <v>#REF!</v>
      </c>
      <c r="F219" s="32" t="e">
        <f t="shared" ca="1" si="73"/>
        <v>#REF!</v>
      </c>
      <c r="G219" s="32" t="e">
        <f t="shared" ca="1" si="73"/>
        <v>#REF!</v>
      </c>
      <c r="H219" s="32" t="e">
        <f t="shared" ca="1" si="73"/>
        <v>#REF!</v>
      </c>
      <c r="I219" s="32" t="e">
        <f t="shared" ca="1" si="73"/>
        <v>#REF!</v>
      </c>
      <c r="J219" s="32" t="e">
        <f t="shared" ca="1" si="73"/>
        <v>#REF!</v>
      </c>
      <c r="K219" s="32" t="e">
        <f t="shared" ca="1" si="73"/>
        <v>#REF!</v>
      </c>
      <c r="L219" s="32" t="e">
        <f t="shared" ca="1" si="73"/>
        <v>#REF!</v>
      </c>
      <c r="M219" s="32" t="e">
        <f t="shared" ca="1" si="73"/>
        <v>#REF!</v>
      </c>
      <c r="N219" s="32" t="e">
        <f t="shared" ca="1" si="73"/>
        <v>#REF!</v>
      </c>
      <c r="O219" s="32" t="e">
        <f t="shared" ca="1" si="73"/>
        <v>#REF!</v>
      </c>
      <c r="P219" s="32" t="e">
        <f t="shared" ca="1" si="73"/>
        <v>#REF!</v>
      </c>
      <c r="Q219" s="32" t="e">
        <f t="shared" ca="1" si="73"/>
        <v>#REF!</v>
      </c>
      <c r="R219">
        <v>0</v>
      </c>
      <c r="S219" s="29" t="str">
        <f t="shared" si="63"/>
        <v/>
      </c>
      <c r="T219" s="29">
        <f t="shared" si="64"/>
        <v>2035</v>
      </c>
      <c r="U219" s="32" t="e">
        <f t="shared" ca="1" si="67"/>
        <v>#REF!</v>
      </c>
      <c r="V219" s="32" t="e">
        <f t="shared" ca="1" si="67"/>
        <v>#REF!</v>
      </c>
      <c r="W219" s="32" t="e">
        <f t="shared" ca="1" si="67"/>
        <v>#REF!</v>
      </c>
      <c r="X219" s="32" t="e">
        <f t="shared" ca="1" si="67"/>
        <v>#REF!</v>
      </c>
      <c r="Y219" s="1" t="e">
        <f t="shared" ca="1" si="65"/>
        <v>#REF!</v>
      </c>
      <c r="AA219" s="31" t="e">
        <f t="shared" ca="1" si="74"/>
        <v>#REF!</v>
      </c>
      <c r="AC219" s="34" t="e">
        <f t="shared" ca="1" si="66"/>
        <v>#REF!</v>
      </c>
      <c r="AD219" s="34" t="e">
        <f t="shared" ca="1" si="70"/>
        <v>#REF!</v>
      </c>
      <c r="AE219" s="34" t="e">
        <f t="shared" ca="1" si="56"/>
        <v>#REF!</v>
      </c>
    </row>
    <row r="220" spans="1:31" x14ac:dyDescent="0.2">
      <c r="A220" s="29"/>
      <c r="C220" s="29" t="str">
        <f t="shared" si="68"/>
        <v/>
      </c>
      <c r="D220" s="29">
        <v>2035</v>
      </c>
      <c r="E220" s="32" t="e">
        <f t="shared" ca="1" si="73"/>
        <v>#REF!</v>
      </c>
      <c r="F220" s="32" t="e">
        <f t="shared" ca="1" si="73"/>
        <v>#REF!</v>
      </c>
      <c r="G220" s="32" t="e">
        <f t="shared" ca="1" si="73"/>
        <v>#REF!</v>
      </c>
      <c r="H220" s="32" t="e">
        <f t="shared" ca="1" si="73"/>
        <v>#REF!</v>
      </c>
      <c r="I220" s="32" t="e">
        <f t="shared" ca="1" si="73"/>
        <v>#REF!</v>
      </c>
      <c r="J220" s="32" t="e">
        <f t="shared" ca="1" si="73"/>
        <v>#REF!</v>
      </c>
      <c r="K220" s="32" t="e">
        <f t="shared" ca="1" si="73"/>
        <v>#REF!</v>
      </c>
      <c r="L220" s="32" t="e">
        <f t="shared" ca="1" si="73"/>
        <v>#REF!</v>
      </c>
      <c r="M220" s="32" t="e">
        <f t="shared" ca="1" si="73"/>
        <v>#REF!</v>
      </c>
      <c r="N220" s="32" t="e">
        <f t="shared" ca="1" si="73"/>
        <v>#REF!</v>
      </c>
      <c r="O220" s="32" t="e">
        <f t="shared" ca="1" si="73"/>
        <v>#REF!</v>
      </c>
      <c r="P220" s="32" t="e">
        <f t="shared" ca="1" si="73"/>
        <v>#REF!</v>
      </c>
      <c r="Q220" s="32" t="e">
        <f t="shared" ca="1" si="73"/>
        <v>#REF!</v>
      </c>
      <c r="R220">
        <v>0</v>
      </c>
      <c r="S220" s="29" t="str">
        <f t="shared" si="63"/>
        <v/>
      </c>
      <c r="T220" s="29">
        <f t="shared" si="64"/>
        <v>2035</v>
      </c>
      <c r="U220" s="32" t="e">
        <f t="shared" ca="1" si="67"/>
        <v>#REF!</v>
      </c>
      <c r="V220" s="32" t="e">
        <f t="shared" ca="1" si="67"/>
        <v>#REF!</v>
      </c>
      <c r="W220" s="32" t="e">
        <f t="shared" ca="1" si="67"/>
        <v>#REF!</v>
      </c>
      <c r="X220" s="32" t="e">
        <f t="shared" ca="1" si="67"/>
        <v>#REF!</v>
      </c>
      <c r="Y220" s="1" t="e">
        <f t="shared" ca="1" si="65"/>
        <v>#REF!</v>
      </c>
      <c r="AA220" s="31" t="e">
        <f t="shared" ca="1" si="74"/>
        <v>#REF!</v>
      </c>
      <c r="AC220" s="34" t="e">
        <f t="shared" ca="1" si="66"/>
        <v>#REF!</v>
      </c>
      <c r="AD220" s="34" t="e">
        <f t="shared" ca="1" si="70"/>
        <v>#REF!</v>
      </c>
      <c r="AE220" s="34" t="e">
        <f t="shared" ca="1" si="56"/>
        <v>#REF!</v>
      </c>
    </row>
    <row r="221" spans="1:31" x14ac:dyDescent="0.2">
      <c r="A221" s="29"/>
      <c r="C221" s="29" t="str">
        <f t="shared" si="68"/>
        <v/>
      </c>
      <c r="D221" s="29">
        <v>2035</v>
      </c>
      <c r="E221" s="32" t="e">
        <f t="shared" ca="1" si="73"/>
        <v>#REF!</v>
      </c>
      <c r="F221" s="32" t="e">
        <f t="shared" ca="1" si="73"/>
        <v>#REF!</v>
      </c>
      <c r="G221" s="32" t="e">
        <f t="shared" ca="1" si="73"/>
        <v>#REF!</v>
      </c>
      <c r="H221" s="32" t="e">
        <f t="shared" ca="1" si="73"/>
        <v>#REF!</v>
      </c>
      <c r="I221" s="32" t="e">
        <f t="shared" ca="1" si="73"/>
        <v>#REF!</v>
      </c>
      <c r="J221" s="32" t="e">
        <f t="shared" ca="1" si="73"/>
        <v>#REF!</v>
      </c>
      <c r="K221" s="32" t="e">
        <f t="shared" ca="1" si="73"/>
        <v>#REF!</v>
      </c>
      <c r="L221" s="32" t="e">
        <f t="shared" ca="1" si="73"/>
        <v>#REF!</v>
      </c>
      <c r="M221" s="32" t="e">
        <f t="shared" ca="1" si="73"/>
        <v>#REF!</v>
      </c>
      <c r="N221" s="32" t="e">
        <f t="shared" ca="1" si="73"/>
        <v>#REF!</v>
      </c>
      <c r="O221" s="32" t="e">
        <f t="shared" ca="1" si="73"/>
        <v>#REF!</v>
      </c>
      <c r="P221" s="32" t="e">
        <f t="shared" ca="1" si="73"/>
        <v>#REF!</v>
      </c>
      <c r="Q221" s="32" t="e">
        <f t="shared" ca="1" si="73"/>
        <v>#REF!</v>
      </c>
      <c r="R221">
        <v>0</v>
      </c>
      <c r="S221" s="29" t="str">
        <f t="shared" si="63"/>
        <v/>
      </c>
      <c r="T221" s="29">
        <f t="shared" si="64"/>
        <v>2035</v>
      </c>
      <c r="U221" s="32" t="e">
        <f t="shared" ca="1" si="67"/>
        <v>#REF!</v>
      </c>
      <c r="V221" s="32" t="e">
        <f t="shared" ca="1" si="67"/>
        <v>#REF!</v>
      </c>
      <c r="W221" s="32" t="e">
        <f t="shared" ca="1" si="67"/>
        <v>#REF!</v>
      </c>
      <c r="X221" s="32" t="e">
        <f t="shared" ca="1" si="67"/>
        <v>#REF!</v>
      </c>
      <c r="Y221" s="1" t="e">
        <f t="shared" ca="1" si="65"/>
        <v>#REF!</v>
      </c>
      <c r="AA221" s="31" t="e">
        <f t="shared" ca="1" si="74"/>
        <v>#REF!</v>
      </c>
      <c r="AC221" s="34" t="e">
        <f t="shared" ca="1" si="66"/>
        <v>#REF!</v>
      </c>
      <c r="AD221" s="34" t="e">
        <f t="shared" ca="1" si="70"/>
        <v>#REF!</v>
      </c>
      <c r="AE221" s="34" t="e">
        <f t="shared" ca="1" si="56"/>
        <v>#REF!</v>
      </c>
    </row>
    <row r="222" spans="1:31" x14ac:dyDescent="0.2">
      <c r="A222" s="29"/>
      <c r="C222" s="29" t="str">
        <f t="shared" si="68"/>
        <v/>
      </c>
      <c r="D222" s="29">
        <v>2035</v>
      </c>
      <c r="E222" s="32" t="e">
        <f t="shared" ref="E222:Q229" ca="1" si="75">INDEX(INDIRECT("'"&amp;$B222&amp;"'!"&amp;$A$1),MATCH(E$31,INDIRECT("'"&amp;$B222&amp;"'!G43:G55"),0),MATCH($D222,INDIRECT("'"&amp;$B222&amp;"'!H42:AG42")))</f>
        <v>#REF!</v>
      </c>
      <c r="F222" s="32" t="e">
        <f t="shared" ca="1" si="75"/>
        <v>#REF!</v>
      </c>
      <c r="G222" s="32" t="e">
        <f t="shared" ca="1" si="75"/>
        <v>#REF!</v>
      </c>
      <c r="H222" s="32" t="e">
        <f t="shared" ca="1" si="75"/>
        <v>#REF!</v>
      </c>
      <c r="I222" s="32" t="e">
        <f t="shared" ca="1" si="75"/>
        <v>#REF!</v>
      </c>
      <c r="J222" s="32" t="e">
        <f t="shared" ca="1" si="75"/>
        <v>#REF!</v>
      </c>
      <c r="K222" s="32" t="e">
        <f t="shared" ca="1" si="75"/>
        <v>#REF!</v>
      </c>
      <c r="L222" s="32" t="e">
        <f t="shared" ca="1" si="75"/>
        <v>#REF!</v>
      </c>
      <c r="M222" s="32" t="e">
        <f t="shared" ca="1" si="75"/>
        <v>#REF!</v>
      </c>
      <c r="N222" s="32" t="e">
        <f t="shared" ca="1" si="75"/>
        <v>#REF!</v>
      </c>
      <c r="O222" s="32" t="e">
        <f t="shared" ca="1" si="75"/>
        <v>#REF!</v>
      </c>
      <c r="P222" s="32" t="e">
        <f t="shared" ca="1" si="75"/>
        <v>#REF!</v>
      </c>
      <c r="Q222" s="32" t="e">
        <f t="shared" ca="1" si="75"/>
        <v>#REF!</v>
      </c>
      <c r="R222">
        <v>0</v>
      </c>
      <c r="S222" s="29" t="str">
        <f t="shared" si="63"/>
        <v/>
      </c>
      <c r="T222" s="29">
        <f t="shared" si="64"/>
        <v>2035</v>
      </c>
      <c r="U222" s="32" t="e">
        <f t="shared" ca="1" si="67"/>
        <v>#REF!</v>
      </c>
      <c r="V222" s="32" t="e">
        <f t="shared" ca="1" si="67"/>
        <v>#REF!</v>
      </c>
      <c r="W222" s="32" t="e">
        <f t="shared" ca="1" si="67"/>
        <v>#REF!</v>
      </c>
      <c r="X222" s="32" t="e">
        <f t="shared" ca="1" si="67"/>
        <v>#REF!</v>
      </c>
      <c r="Y222" s="1" t="e">
        <f t="shared" ca="1" si="65"/>
        <v>#REF!</v>
      </c>
      <c r="AA222" s="31" t="e">
        <f t="shared" ca="1" si="74"/>
        <v>#REF!</v>
      </c>
      <c r="AC222" s="34" t="e">
        <f t="shared" ca="1" si="66"/>
        <v>#REF!</v>
      </c>
      <c r="AD222" s="34" t="e">
        <f t="shared" ca="1" si="70"/>
        <v>#REF!</v>
      </c>
      <c r="AE222" s="34" t="e">
        <f t="shared" ca="1" si="56"/>
        <v>#REF!</v>
      </c>
    </row>
    <row r="223" spans="1:31" x14ac:dyDescent="0.2">
      <c r="A223" s="29"/>
      <c r="C223" s="29" t="str">
        <f t="shared" si="68"/>
        <v/>
      </c>
      <c r="D223" s="29">
        <v>2035</v>
      </c>
      <c r="E223" s="32" t="e">
        <f t="shared" ca="1" si="75"/>
        <v>#REF!</v>
      </c>
      <c r="F223" s="32" t="e">
        <f t="shared" ca="1" si="75"/>
        <v>#REF!</v>
      </c>
      <c r="G223" s="32" t="e">
        <f t="shared" ca="1" si="75"/>
        <v>#REF!</v>
      </c>
      <c r="H223" s="32" t="e">
        <f t="shared" ca="1" si="75"/>
        <v>#REF!</v>
      </c>
      <c r="I223" s="32" t="e">
        <f t="shared" ca="1" si="75"/>
        <v>#REF!</v>
      </c>
      <c r="J223" s="32" t="e">
        <f t="shared" ca="1" si="75"/>
        <v>#REF!</v>
      </c>
      <c r="K223" s="32" t="e">
        <f t="shared" ca="1" si="75"/>
        <v>#REF!</v>
      </c>
      <c r="L223" s="32" t="e">
        <f t="shared" ca="1" si="75"/>
        <v>#REF!</v>
      </c>
      <c r="M223" s="32" t="e">
        <f t="shared" ca="1" si="75"/>
        <v>#REF!</v>
      </c>
      <c r="N223" s="32" t="e">
        <f t="shared" ca="1" si="75"/>
        <v>#REF!</v>
      </c>
      <c r="O223" s="32" t="e">
        <f t="shared" ca="1" si="75"/>
        <v>#REF!</v>
      </c>
      <c r="P223" s="32" t="e">
        <f t="shared" ca="1" si="75"/>
        <v>#REF!</v>
      </c>
      <c r="Q223" s="32" t="e">
        <f t="shared" ca="1" si="75"/>
        <v>#REF!</v>
      </c>
      <c r="R223">
        <v>0</v>
      </c>
      <c r="S223" s="29" t="str">
        <f t="shared" si="63"/>
        <v/>
      </c>
      <c r="T223" s="29">
        <f t="shared" si="64"/>
        <v>2035</v>
      </c>
      <c r="U223" s="32" t="e">
        <f t="shared" ca="1" si="67"/>
        <v>#REF!</v>
      </c>
      <c r="V223" s="32" t="e">
        <f t="shared" ca="1" si="67"/>
        <v>#REF!</v>
      </c>
      <c r="W223" s="32" t="e">
        <f t="shared" ca="1" si="67"/>
        <v>#REF!</v>
      </c>
      <c r="X223" s="32" t="e">
        <f t="shared" ca="1" si="67"/>
        <v>#REF!</v>
      </c>
      <c r="Y223" s="1" t="e">
        <f t="shared" ca="1" si="65"/>
        <v>#REF!</v>
      </c>
      <c r="AA223" s="31" t="e">
        <f t="shared" ca="1" si="74"/>
        <v>#REF!</v>
      </c>
      <c r="AC223" s="34" t="e">
        <f t="shared" ca="1" si="66"/>
        <v>#REF!</v>
      </c>
      <c r="AD223" s="34" t="e">
        <f t="shared" ref="AD223:AD229" ca="1" si="76">SUM(N223:P223)-125</f>
        <v>#REF!</v>
      </c>
      <c r="AE223" s="34" t="e">
        <f t="shared" ca="1" si="56"/>
        <v>#REF!</v>
      </c>
    </row>
    <row r="224" spans="1:31" x14ac:dyDescent="0.2">
      <c r="A224" s="29"/>
      <c r="C224" s="29" t="str">
        <f t="shared" si="68"/>
        <v/>
      </c>
      <c r="D224" s="29">
        <v>2035</v>
      </c>
      <c r="E224" s="32" t="e">
        <f t="shared" ca="1" si="75"/>
        <v>#REF!</v>
      </c>
      <c r="F224" s="32" t="e">
        <f t="shared" ca="1" si="75"/>
        <v>#REF!</v>
      </c>
      <c r="G224" s="32" t="e">
        <f t="shared" ca="1" si="75"/>
        <v>#REF!</v>
      </c>
      <c r="H224" s="32" t="e">
        <f t="shared" ca="1" si="75"/>
        <v>#REF!</v>
      </c>
      <c r="I224" s="32" t="e">
        <f t="shared" ca="1" si="75"/>
        <v>#REF!</v>
      </c>
      <c r="J224" s="32" t="e">
        <f t="shared" ca="1" si="75"/>
        <v>#REF!</v>
      </c>
      <c r="K224" s="32" t="e">
        <f t="shared" ca="1" si="75"/>
        <v>#REF!</v>
      </c>
      <c r="L224" s="32" t="e">
        <f t="shared" ca="1" si="75"/>
        <v>#REF!</v>
      </c>
      <c r="M224" s="32" t="e">
        <f t="shared" ca="1" si="75"/>
        <v>#REF!</v>
      </c>
      <c r="N224" s="32" t="e">
        <f t="shared" ca="1" si="75"/>
        <v>#REF!</v>
      </c>
      <c r="O224" s="32" t="e">
        <f t="shared" ca="1" si="75"/>
        <v>#REF!</v>
      </c>
      <c r="P224" s="32" t="e">
        <f t="shared" ca="1" si="75"/>
        <v>#REF!</v>
      </c>
      <c r="Q224" s="32" t="e">
        <f t="shared" ca="1" si="75"/>
        <v>#REF!</v>
      </c>
      <c r="R224">
        <v>0</v>
      </c>
      <c r="S224" s="29" t="str">
        <f t="shared" si="63"/>
        <v/>
      </c>
      <c r="T224" s="29">
        <f t="shared" si="64"/>
        <v>2035</v>
      </c>
      <c r="U224" s="32" t="e">
        <f t="shared" ca="1" si="67"/>
        <v>#REF!</v>
      </c>
      <c r="V224" s="32" t="e">
        <f t="shared" ca="1" si="67"/>
        <v>#REF!</v>
      </c>
      <c r="W224" s="32" t="e">
        <f t="shared" ca="1" si="67"/>
        <v>#REF!</v>
      </c>
      <c r="X224" s="32" t="e">
        <f t="shared" ca="1" si="67"/>
        <v>#REF!</v>
      </c>
      <c r="Y224" s="1" t="e">
        <f t="shared" ca="1" si="65"/>
        <v>#REF!</v>
      </c>
      <c r="AA224" s="31" t="e">
        <f t="shared" ca="1" si="74"/>
        <v>#REF!</v>
      </c>
      <c r="AC224" s="34" t="e">
        <f t="shared" ca="1" si="66"/>
        <v>#REF!</v>
      </c>
      <c r="AD224" s="34" t="e">
        <f t="shared" ca="1" si="76"/>
        <v>#REF!</v>
      </c>
      <c r="AE224" s="34" t="e">
        <f t="shared" ref="AE224:AE229" ca="1" si="77">SUM(L224:M224)</f>
        <v>#REF!</v>
      </c>
    </row>
    <row r="225" spans="1:31" x14ac:dyDescent="0.2">
      <c r="A225" s="29"/>
      <c r="C225" s="29" t="str">
        <f t="shared" ref="C225:C229" si="78">IF(B225=B223,"",B225)</f>
        <v/>
      </c>
      <c r="D225" s="29">
        <v>2035</v>
      </c>
      <c r="E225" s="32" t="e">
        <f t="shared" ca="1" si="75"/>
        <v>#REF!</v>
      </c>
      <c r="F225" s="32" t="e">
        <f t="shared" ca="1" si="75"/>
        <v>#REF!</v>
      </c>
      <c r="G225" s="32" t="e">
        <f t="shared" ca="1" si="75"/>
        <v>#REF!</v>
      </c>
      <c r="H225" s="32" t="e">
        <f t="shared" ca="1" si="75"/>
        <v>#REF!</v>
      </c>
      <c r="I225" s="32" t="e">
        <f t="shared" ca="1" si="75"/>
        <v>#REF!</v>
      </c>
      <c r="J225" s="32" t="e">
        <f t="shared" ca="1" si="75"/>
        <v>#REF!</v>
      </c>
      <c r="K225" s="32" t="e">
        <f t="shared" ca="1" si="75"/>
        <v>#REF!</v>
      </c>
      <c r="L225" s="32" t="e">
        <f t="shared" ca="1" si="75"/>
        <v>#REF!</v>
      </c>
      <c r="M225" s="32" t="e">
        <f t="shared" ca="1" si="75"/>
        <v>#REF!</v>
      </c>
      <c r="N225" s="32" t="e">
        <f t="shared" ca="1" si="75"/>
        <v>#REF!</v>
      </c>
      <c r="O225" s="32" t="e">
        <f t="shared" ca="1" si="75"/>
        <v>#REF!</v>
      </c>
      <c r="P225" s="32" t="e">
        <f t="shared" ca="1" si="75"/>
        <v>#REF!</v>
      </c>
      <c r="Q225" s="32" t="e">
        <f t="shared" ca="1" si="75"/>
        <v>#REF!</v>
      </c>
      <c r="R225">
        <v>0</v>
      </c>
      <c r="S225" s="29" t="str">
        <f t="shared" si="63"/>
        <v/>
      </c>
      <c r="T225" s="29">
        <f t="shared" si="64"/>
        <v>2035</v>
      </c>
      <c r="U225" s="32" t="e">
        <f t="shared" ca="1" si="67"/>
        <v>#REF!</v>
      </c>
      <c r="V225" s="32" t="e">
        <f t="shared" ca="1" si="67"/>
        <v>#REF!</v>
      </c>
      <c r="W225" s="32" t="e">
        <f t="shared" ca="1" si="67"/>
        <v>#REF!</v>
      </c>
      <c r="X225" s="32" t="e">
        <f t="shared" ca="1" si="67"/>
        <v>#REF!</v>
      </c>
      <c r="Y225" s="1" t="e">
        <f t="shared" ca="1" si="65"/>
        <v>#REF!</v>
      </c>
      <c r="AA225" s="31" t="e">
        <f t="shared" ca="1" si="74"/>
        <v>#REF!</v>
      </c>
      <c r="AC225" s="34" t="e">
        <f t="shared" ca="1" si="66"/>
        <v>#REF!</v>
      </c>
      <c r="AD225" s="34" t="e">
        <f t="shared" ca="1" si="76"/>
        <v>#REF!</v>
      </c>
      <c r="AE225" s="34" t="e">
        <f t="shared" ca="1" si="77"/>
        <v>#REF!</v>
      </c>
    </row>
    <row r="226" spans="1:31" x14ac:dyDescent="0.2">
      <c r="A226" s="29"/>
      <c r="C226" s="29" t="str">
        <f t="shared" si="78"/>
        <v/>
      </c>
      <c r="D226" s="29">
        <v>2035</v>
      </c>
      <c r="E226" s="32" t="e">
        <f t="shared" ca="1" si="75"/>
        <v>#REF!</v>
      </c>
      <c r="F226" s="32" t="e">
        <f t="shared" ca="1" si="75"/>
        <v>#REF!</v>
      </c>
      <c r="G226" s="32" t="e">
        <f t="shared" ca="1" si="75"/>
        <v>#REF!</v>
      </c>
      <c r="H226" s="32" t="e">
        <f t="shared" ca="1" si="75"/>
        <v>#REF!</v>
      </c>
      <c r="I226" s="32" t="e">
        <f t="shared" ca="1" si="75"/>
        <v>#REF!</v>
      </c>
      <c r="J226" s="32" t="e">
        <f t="shared" ca="1" si="75"/>
        <v>#REF!</v>
      </c>
      <c r="K226" s="32" t="e">
        <f t="shared" ca="1" si="75"/>
        <v>#REF!</v>
      </c>
      <c r="L226" s="32" t="e">
        <f t="shared" ca="1" si="75"/>
        <v>#REF!</v>
      </c>
      <c r="M226" s="32" t="e">
        <f t="shared" ca="1" si="75"/>
        <v>#REF!</v>
      </c>
      <c r="N226" s="32" t="e">
        <f t="shared" ca="1" si="75"/>
        <v>#REF!</v>
      </c>
      <c r="O226" s="32" t="e">
        <f t="shared" ca="1" si="75"/>
        <v>#REF!</v>
      </c>
      <c r="P226" s="32" t="e">
        <f t="shared" ca="1" si="75"/>
        <v>#REF!</v>
      </c>
      <c r="Q226" s="32" t="e">
        <f t="shared" ca="1" si="75"/>
        <v>#REF!</v>
      </c>
      <c r="R226">
        <v>0</v>
      </c>
      <c r="S226" s="29" t="str">
        <f t="shared" si="63"/>
        <v/>
      </c>
      <c r="T226" s="29">
        <f t="shared" si="64"/>
        <v>2035</v>
      </c>
      <c r="U226" s="32" t="e">
        <f t="shared" ca="1" si="67"/>
        <v>#REF!</v>
      </c>
      <c r="V226" s="32" t="e">
        <f t="shared" ca="1" si="67"/>
        <v>#REF!</v>
      </c>
      <c r="W226" s="32" t="e">
        <f t="shared" ca="1" si="67"/>
        <v>#REF!</v>
      </c>
      <c r="X226" s="32" t="e">
        <f t="shared" ca="1" si="67"/>
        <v>#REF!</v>
      </c>
      <c r="Y226" s="1" t="e">
        <f t="shared" ca="1" si="65"/>
        <v>#REF!</v>
      </c>
      <c r="AA226" s="31" t="e">
        <f t="shared" ca="1" si="74"/>
        <v>#REF!</v>
      </c>
      <c r="AC226" s="34" t="e">
        <f t="shared" ca="1" si="66"/>
        <v>#REF!</v>
      </c>
      <c r="AD226" s="34" t="e">
        <f t="shared" ca="1" si="76"/>
        <v>#REF!</v>
      </c>
      <c r="AE226" s="34" t="e">
        <f t="shared" ca="1" si="77"/>
        <v>#REF!</v>
      </c>
    </row>
    <row r="227" spans="1:31" x14ac:dyDescent="0.2">
      <c r="A227" s="29"/>
      <c r="C227" s="29" t="str">
        <f t="shared" si="78"/>
        <v/>
      </c>
      <c r="D227" s="29">
        <v>2035</v>
      </c>
      <c r="E227" s="32" t="e">
        <f t="shared" ca="1" si="75"/>
        <v>#REF!</v>
      </c>
      <c r="F227" s="32" t="e">
        <f t="shared" ca="1" si="75"/>
        <v>#REF!</v>
      </c>
      <c r="G227" s="32" t="e">
        <f t="shared" ca="1" si="75"/>
        <v>#REF!</v>
      </c>
      <c r="H227" s="32" t="e">
        <f t="shared" ca="1" si="75"/>
        <v>#REF!</v>
      </c>
      <c r="I227" s="32" t="e">
        <f t="shared" ca="1" si="75"/>
        <v>#REF!</v>
      </c>
      <c r="J227" s="32" t="e">
        <f t="shared" ca="1" si="75"/>
        <v>#REF!</v>
      </c>
      <c r="K227" s="32" t="e">
        <f t="shared" ca="1" si="75"/>
        <v>#REF!</v>
      </c>
      <c r="L227" s="32" t="e">
        <f t="shared" ca="1" si="75"/>
        <v>#REF!</v>
      </c>
      <c r="M227" s="32" t="e">
        <f t="shared" ca="1" si="75"/>
        <v>#REF!</v>
      </c>
      <c r="N227" s="32" t="e">
        <f t="shared" ca="1" si="75"/>
        <v>#REF!</v>
      </c>
      <c r="O227" s="32" t="e">
        <f t="shared" ca="1" si="75"/>
        <v>#REF!</v>
      </c>
      <c r="P227" s="32" t="e">
        <f t="shared" ca="1" si="75"/>
        <v>#REF!</v>
      </c>
      <c r="Q227" s="32" t="e">
        <f t="shared" ca="1" si="75"/>
        <v>#REF!</v>
      </c>
      <c r="R227">
        <v>0</v>
      </c>
      <c r="S227" s="29" t="str">
        <f t="shared" si="63"/>
        <v/>
      </c>
      <c r="T227" s="29">
        <f t="shared" si="64"/>
        <v>2035</v>
      </c>
      <c r="U227" s="32" t="e">
        <f t="shared" ca="1" si="67"/>
        <v>#REF!</v>
      </c>
      <c r="V227" s="32" t="e">
        <f t="shared" ca="1" si="67"/>
        <v>#REF!</v>
      </c>
      <c r="W227" s="32" t="e">
        <f t="shared" ca="1" si="67"/>
        <v>#REF!</v>
      </c>
      <c r="X227" s="32" t="e">
        <f t="shared" ca="1" si="67"/>
        <v>#REF!</v>
      </c>
      <c r="Y227" s="1" t="e">
        <f t="shared" ca="1" si="65"/>
        <v>#REF!</v>
      </c>
      <c r="AA227" s="31" t="e">
        <f t="shared" ca="1" si="74"/>
        <v>#REF!</v>
      </c>
      <c r="AC227" s="34" t="e">
        <f t="shared" ca="1" si="66"/>
        <v>#REF!</v>
      </c>
      <c r="AD227" s="34" t="e">
        <f t="shared" ca="1" si="76"/>
        <v>#REF!</v>
      </c>
      <c r="AE227" s="34" t="e">
        <f t="shared" ca="1" si="77"/>
        <v>#REF!</v>
      </c>
    </row>
    <row r="228" spans="1:31" x14ac:dyDescent="0.2">
      <c r="A228" s="29"/>
      <c r="C228" s="29" t="str">
        <f t="shared" si="78"/>
        <v/>
      </c>
      <c r="D228" s="29">
        <v>2035</v>
      </c>
      <c r="E228" s="32" t="e">
        <f t="shared" ca="1" si="75"/>
        <v>#REF!</v>
      </c>
      <c r="F228" s="32" t="e">
        <f t="shared" ca="1" si="75"/>
        <v>#REF!</v>
      </c>
      <c r="G228" s="32" t="e">
        <f t="shared" ca="1" si="75"/>
        <v>#REF!</v>
      </c>
      <c r="H228" s="32" t="e">
        <f t="shared" ca="1" si="75"/>
        <v>#REF!</v>
      </c>
      <c r="I228" s="32" t="e">
        <f t="shared" ca="1" si="75"/>
        <v>#REF!</v>
      </c>
      <c r="J228" s="32" t="e">
        <f t="shared" ca="1" si="75"/>
        <v>#REF!</v>
      </c>
      <c r="K228" s="32" t="e">
        <f t="shared" ca="1" si="75"/>
        <v>#REF!</v>
      </c>
      <c r="L228" s="32" t="e">
        <f t="shared" ca="1" si="75"/>
        <v>#REF!</v>
      </c>
      <c r="M228" s="32" t="e">
        <f t="shared" ca="1" si="75"/>
        <v>#REF!</v>
      </c>
      <c r="N228" s="32" t="e">
        <f t="shared" ca="1" si="75"/>
        <v>#REF!</v>
      </c>
      <c r="O228" s="32" t="e">
        <f t="shared" ca="1" si="75"/>
        <v>#REF!</v>
      </c>
      <c r="P228" s="32" t="e">
        <f t="shared" ca="1" si="75"/>
        <v>#REF!</v>
      </c>
      <c r="Q228" s="32" t="e">
        <f t="shared" ca="1" si="75"/>
        <v>#REF!</v>
      </c>
      <c r="R228">
        <v>0</v>
      </c>
      <c r="S228" s="29" t="str">
        <f t="shared" si="63"/>
        <v/>
      </c>
      <c r="T228" s="29">
        <f t="shared" si="64"/>
        <v>2035</v>
      </c>
      <c r="U228" s="32" t="e">
        <f t="shared" ca="1" si="67"/>
        <v>#REF!</v>
      </c>
      <c r="V228" s="32" t="e">
        <f t="shared" ca="1" si="67"/>
        <v>#REF!</v>
      </c>
      <c r="W228" s="32" t="e">
        <f t="shared" ca="1" si="67"/>
        <v>#REF!</v>
      </c>
      <c r="X228" s="32" t="e">
        <f t="shared" ca="1" si="67"/>
        <v>#REF!</v>
      </c>
      <c r="Y228" s="1" t="e">
        <f t="shared" ca="1" si="65"/>
        <v>#REF!</v>
      </c>
      <c r="AA228" s="31" t="e">
        <f t="shared" ca="1" si="74"/>
        <v>#REF!</v>
      </c>
      <c r="AC228" s="34" t="e">
        <f t="shared" ca="1" si="66"/>
        <v>#REF!</v>
      </c>
      <c r="AD228" s="34" t="e">
        <f t="shared" ca="1" si="76"/>
        <v>#REF!</v>
      </c>
      <c r="AE228" s="34" t="e">
        <f t="shared" ca="1" si="77"/>
        <v>#REF!</v>
      </c>
    </row>
    <row r="229" spans="1:31" x14ac:dyDescent="0.2">
      <c r="A229" s="29"/>
      <c r="C229" s="29" t="str">
        <f t="shared" si="78"/>
        <v/>
      </c>
      <c r="D229" s="29">
        <v>2035</v>
      </c>
      <c r="E229" s="32" t="e">
        <f t="shared" ca="1" si="75"/>
        <v>#REF!</v>
      </c>
      <c r="F229" s="32" t="e">
        <f t="shared" ca="1" si="75"/>
        <v>#REF!</v>
      </c>
      <c r="G229" s="32" t="e">
        <f t="shared" ca="1" si="75"/>
        <v>#REF!</v>
      </c>
      <c r="H229" s="32" t="e">
        <f t="shared" ca="1" si="75"/>
        <v>#REF!</v>
      </c>
      <c r="I229" s="32" t="e">
        <f t="shared" ca="1" si="75"/>
        <v>#REF!</v>
      </c>
      <c r="J229" s="32" t="e">
        <f t="shared" ca="1" si="75"/>
        <v>#REF!</v>
      </c>
      <c r="K229" s="32" t="e">
        <f t="shared" ca="1" si="75"/>
        <v>#REF!</v>
      </c>
      <c r="L229" s="32" t="e">
        <f t="shared" ca="1" si="75"/>
        <v>#REF!</v>
      </c>
      <c r="M229" s="32" t="e">
        <f t="shared" ca="1" si="75"/>
        <v>#REF!</v>
      </c>
      <c r="N229" s="32" t="e">
        <f t="shared" ca="1" si="75"/>
        <v>#REF!</v>
      </c>
      <c r="O229" s="32" t="e">
        <f t="shared" ca="1" si="75"/>
        <v>#REF!</v>
      </c>
      <c r="P229" s="32" t="e">
        <f t="shared" ca="1" si="75"/>
        <v>#REF!</v>
      </c>
      <c r="Q229" s="32" t="e">
        <f t="shared" ca="1" si="75"/>
        <v>#REF!</v>
      </c>
      <c r="R229">
        <v>0</v>
      </c>
      <c r="S229" s="29" t="str">
        <f t="shared" si="63"/>
        <v/>
      </c>
      <c r="T229" s="29">
        <f t="shared" si="64"/>
        <v>2035</v>
      </c>
      <c r="U229" s="32" t="e">
        <f t="shared" ca="1" si="67"/>
        <v>#REF!</v>
      </c>
      <c r="V229" s="32" t="e">
        <f t="shared" ca="1" si="67"/>
        <v>#REF!</v>
      </c>
      <c r="W229" s="32" t="e">
        <f t="shared" ca="1" si="67"/>
        <v>#REF!</v>
      </c>
      <c r="X229" s="32" t="e">
        <f t="shared" ca="1" si="67"/>
        <v>#REF!</v>
      </c>
      <c r="Y229" s="1" t="e">
        <f t="shared" ca="1" si="65"/>
        <v>#REF!</v>
      </c>
      <c r="AA229" s="31" t="e">
        <f t="shared" ca="1" si="74"/>
        <v>#REF!</v>
      </c>
      <c r="AC229" s="34" t="e">
        <f t="shared" ca="1" si="66"/>
        <v>#REF!</v>
      </c>
      <c r="AD229" s="34" t="e">
        <f t="shared" ca="1" si="76"/>
        <v>#REF!</v>
      </c>
      <c r="AE229" s="34" t="e">
        <f t="shared" ca="1" si="77"/>
        <v>#REF!</v>
      </c>
    </row>
    <row r="230" spans="1:31" x14ac:dyDescent="0.2">
      <c r="A230" s="29"/>
      <c r="AE230" s="34"/>
    </row>
    <row r="231" spans="1:31" x14ac:dyDescent="0.2">
      <c r="A231" s="29"/>
      <c r="AE231" s="34"/>
    </row>
    <row r="232" spans="1:31" x14ac:dyDescent="0.2">
      <c r="A232" s="29"/>
    </row>
  </sheetData>
  <autoFilter ref="A31:AE232" xr:uid="{D07137C9-12B6-604B-A81C-42EAA0521FAB}"/>
  <phoneticPr fontId="11" type="noConversion"/>
  <dataValidations count="1">
    <dataValidation type="list" allowBlank="1" showInputMessage="1" showErrorMessage="1" sqref="A1" xr:uid="{F9CAED86-6761-ED47-8B00-A0FEE7275630}">
      <formula1>"summaryTotalBuild,summaryNewBuild,summaryGeneration"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4D79-AA60-DF47-BA12-F9B77DFDFB9E}">
  <sheetPr codeName="Sheet511">
    <tabColor theme="7"/>
  </sheetPr>
  <dimension ref="C1:GS248"/>
  <sheetViews>
    <sheetView showGridLines="0" tabSelected="1" topLeftCell="A42" zoomScaleNormal="75" workbookViewId="0">
      <selection activeCell="E37" sqref="E37"/>
    </sheetView>
  </sheetViews>
  <sheetFormatPr baseColWidth="10" defaultRowHeight="14" outlineLevelCol="1" x14ac:dyDescent="0.2"/>
  <cols>
    <col min="1" max="2" width="10.83203125" style="2"/>
    <col min="3" max="4" width="9.1640625" style="2" customWidth="1"/>
    <col min="5" max="5" width="10.6640625" style="2" bestFit="1" customWidth="1"/>
    <col min="6" max="6" width="20.83203125" style="2" bestFit="1" customWidth="1"/>
    <col min="7" max="7" width="21.83203125" style="2" bestFit="1" customWidth="1"/>
    <col min="8" max="8" width="10.83203125" style="2"/>
    <col min="9" max="12" width="9.1640625" style="2" customWidth="1" outlineLevel="1"/>
    <col min="13" max="13" width="10.83203125" style="2"/>
    <col min="14" max="16" width="9.1640625" style="2" customWidth="1" outlineLevel="1"/>
    <col min="17" max="17" width="10.83203125" style="2" customWidth="1" outlineLevel="1"/>
    <col min="18" max="18" width="10.83203125" style="2"/>
    <col min="19" max="22" width="9.1640625" style="2" customWidth="1" outlineLevel="1"/>
    <col min="23" max="23" width="10.83203125" style="2"/>
    <col min="24" max="27" width="9.1640625" style="2" customWidth="1" outlineLevel="1"/>
    <col min="28" max="28" width="10.83203125" style="2"/>
    <col min="29" max="32" width="9.1640625" style="2" customWidth="1" outlineLevel="1"/>
    <col min="33" max="34" width="10.83203125" style="2"/>
    <col min="35" max="35" width="20.83203125" style="2" customWidth="1"/>
    <col min="36" max="36" width="9.1640625" style="2" customWidth="1"/>
    <col min="37" max="40" width="9.1640625" style="2" customWidth="1" outlineLevel="1"/>
    <col min="41" max="41" width="9.1640625" style="2" customWidth="1"/>
    <col min="42" max="45" width="9.1640625" style="2" customWidth="1" outlineLevel="1"/>
    <col min="46" max="46" width="9.1640625" style="2" customWidth="1"/>
    <col min="47" max="50" width="9.1640625" style="2" customWidth="1" outlineLevel="1"/>
    <col min="51" max="51" width="9.1640625" style="2" customWidth="1"/>
    <col min="52" max="55" width="9.1640625" style="2" customWidth="1" outlineLevel="1"/>
    <col min="56" max="56" width="9.1640625" style="2" customWidth="1"/>
    <col min="57" max="60" width="9.1640625" style="2" customWidth="1" outlineLevel="1"/>
    <col min="61" max="62" width="9.1640625" style="2" customWidth="1"/>
    <col min="63" max="63" width="20.83203125" style="2" customWidth="1"/>
    <col min="64" max="64" width="9.1640625" style="2" customWidth="1"/>
    <col min="65" max="68" width="9.1640625" style="2" customWidth="1" outlineLevel="1"/>
    <col min="69" max="69" width="9.1640625" style="2" customWidth="1"/>
    <col min="70" max="73" width="9.1640625" style="2" customWidth="1" outlineLevel="1"/>
    <col min="74" max="74" width="9.1640625" style="2" customWidth="1"/>
    <col min="75" max="78" width="9.1640625" style="2" customWidth="1" outlineLevel="1"/>
    <col min="79" max="79" width="9.1640625" style="2" customWidth="1"/>
    <col min="80" max="83" width="9.1640625" style="2" customWidth="1" outlineLevel="1"/>
    <col min="84" max="84" width="9.1640625" style="2" customWidth="1"/>
    <col min="85" max="88" width="9.1640625" style="2" customWidth="1" outlineLevel="1"/>
    <col min="89" max="90" width="9.1640625" style="2" customWidth="1"/>
    <col min="91" max="91" width="22.5" style="2" bestFit="1" customWidth="1"/>
    <col min="92" max="118" width="9.1640625" style="2" customWidth="1"/>
    <col min="119" max="119" width="20.83203125" style="2" customWidth="1"/>
    <col min="120" max="120" width="9.1640625" style="2" customWidth="1"/>
    <col min="121" max="124" width="9.1640625" style="2" customWidth="1" outlineLevel="1"/>
    <col min="125" max="125" width="9.1640625" style="2" customWidth="1"/>
    <col min="126" max="129" width="9.1640625" style="2" customWidth="1" outlineLevel="1"/>
    <col min="130" max="130" width="9.1640625" style="2" customWidth="1"/>
    <col min="131" max="134" width="9.1640625" style="2" customWidth="1" outlineLevel="1"/>
    <col min="135" max="135" width="9.1640625" style="2" customWidth="1"/>
    <col min="136" max="139" width="9.1640625" style="2" customWidth="1" outlineLevel="1"/>
    <col min="140" max="140" width="9.1640625" style="2" customWidth="1"/>
    <col min="141" max="144" width="9.1640625" style="2" customWidth="1" outlineLevel="1"/>
    <col min="145" max="148" width="9.1640625" style="2" customWidth="1"/>
    <col min="149" max="149" width="11.33203125" style="2" bestFit="1" customWidth="1"/>
    <col min="150" max="150" width="10.83203125" style="2"/>
    <col min="151" max="151" width="20.83203125" style="2" bestFit="1" customWidth="1"/>
    <col min="152" max="152" width="10.6640625" style="2" bestFit="1" customWidth="1"/>
    <col min="153" max="156" width="10.83203125" style="2" outlineLevel="1"/>
    <col min="157" max="157" width="10.83203125" style="2"/>
    <col min="158" max="161" width="10.83203125" style="2" outlineLevel="1"/>
    <col min="162" max="162" width="10.83203125" style="2"/>
    <col min="163" max="166" width="10.83203125" style="2" outlineLevel="1"/>
    <col min="167" max="167" width="10.83203125" style="2"/>
    <col min="168" max="171" width="10.83203125" style="2" outlineLevel="1"/>
    <col min="172" max="172" width="10.83203125" style="2"/>
    <col min="173" max="176" width="10.83203125" style="2" outlineLevel="1"/>
    <col min="177" max="16384" width="10.83203125" style="2"/>
  </cols>
  <sheetData>
    <row r="1" spans="3:3" x14ac:dyDescent="0.2">
      <c r="C1" s="2" t="s">
        <v>112</v>
      </c>
    </row>
    <row r="39" spans="7:201" x14ac:dyDescent="0.2">
      <c r="AJ39" s="3" t="s">
        <v>13</v>
      </c>
    </row>
    <row r="40" spans="7:201" x14ac:dyDescent="0.2">
      <c r="AJ40" s="3" t="s">
        <v>14</v>
      </c>
      <c r="AK40" s="3" t="s">
        <v>15</v>
      </c>
      <c r="FU40" s="2">
        <f>FT41/1.02</f>
        <v>0.68333918002400729</v>
      </c>
      <c r="FV40" s="2">
        <f t="shared" ref="FV40:GS40" si="0">FU40/1.02</f>
        <v>0.66994037257255612</v>
      </c>
      <c r="FW40" s="2">
        <f t="shared" si="0"/>
        <v>0.65680428683583936</v>
      </c>
      <c r="FX40" s="2">
        <f t="shared" si="0"/>
        <v>0.64392577140768559</v>
      </c>
      <c r="FY40" s="2">
        <f t="shared" si="0"/>
        <v>0.63129977588988784</v>
      </c>
      <c r="FZ40" s="2">
        <f t="shared" si="0"/>
        <v>0.61892134891165473</v>
      </c>
      <c r="GA40" s="2">
        <f t="shared" si="0"/>
        <v>0.60678563618789683</v>
      </c>
      <c r="GB40" s="2">
        <f t="shared" si="0"/>
        <v>0.59488787861558512</v>
      </c>
      <c r="GC40" s="2">
        <f t="shared" si="0"/>
        <v>0.58322341040743642</v>
      </c>
      <c r="GD40" s="2">
        <f t="shared" si="0"/>
        <v>0.57178765726219261</v>
      </c>
      <c r="GE40" s="2">
        <f t="shared" si="0"/>
        <v>0.56057613457077704</v>
      </c>
      <c r="GF40" s="2">
        <f t="shared" si="0"/>
        <v>0.54958444565762454</v>
      </c>
      <c r="GG40" s="2">
        <f t="shared" si="0"/>
        <v>0.53880828005649462</v>
      </c>
      <c r="GH40" s="2">
        <f t="shared" si="0"/>
        <v>0.52824341182009271</v>
      </c>
      <c r="GI40" s="2">
        <f t="shared" si="0"/>
        <v>0.517885697862836</v>
      </c>
      <c r="GJ40" s="2">
        <f t="shared" si="0"/>
        <v>0.5077310763361137</v>
      </c>
      <c r="GK40" s="2">
        <f t="shared" si="0"/>
        <v>0.4977755650354056</v>
      </c>
      <c r="GL40" s="2">
        <f t="shared" si="0"/>
        <v>0.48801525983863292</v>
      </c>
      <c r="GM40" s="2">
        <f t="shared" si="0"/>
        <v>0.4784463331751303</v>
      </c>
      <c r="GN40" s="2">
        <f t="shared" si="0"/>
        <v>0.46906503252463755</v>
      </c>
      <c r="GO40" s="2">
        <f t="shared" si="0"/>
        <v>0.45986767894572306</v>
      </c>
      <c r="GP40" s="2">
        <f t="shared" si="0"/>
        <v>0.45085066563306181</v>
      </c>
      <c r="GQ40" s="2">
        <f t="shared" si="0"/>
        <v>0.44201045650300175</v>
      </c>
      <c r="GR40" s="2">
        <f t="shared" si="0"/>
        <v>0.43334358480686447</v>
      </c>
      <c r="GS40" s="2">
        <f t="shared" si="0"/>
        <v>0.42484665177143577</v>
      </c>
    </row>
    <row r="41" spans="7:201" x14ac:dyDescent="0.2">
      <c r="EV41" s="2">
        <f>1*1.065*1.023*1.029</f>
        <v>1.1210903549999998</v>
      </c>
      <c r="EW41" s="2">
        <f t="shared" ref="EW41:FT41" si="1">EV41/1.02</f>
        <v>1.0991081911764704</v>
      </c>
      <c r="EX41" s="2">
        <f t="shared" si="1"/>
        <v>1.0775570501730103</v>
      </c>
      <c r="EY41" s="2">
        <f t="shared" si="1"/>
        <v>1.0564284805617747</v>
      </c>
      <c r="EZ41" s="2">
        <f t="shared" si="1"/>
        <v>1.035714196629191</v>
      </c>
      <c r="FA41" s="2">
        <f t="shared" si="1"/>
        <v>1.0154060751266578</v>
      </c>
      <c r="FB41" s="2">
        <f t="shared" si="1"/>
        <v>0.99549615208495867</v>
      </c>
      <c r="FC41" s="2">
        <f t="shared" si="1"/>
        <v>0.97597661969113592</v>
      </c>
      <c r="FD41" s="2">
        <f t="shared" si="1"/>
        <v>0.95683982322660377</v>
      </c>
      <c r="FE41" s="2">
        <f t="shared" si="1"/>
        <v>0.93807825806529777</v>
      </c>
      <c r="FF41" s="2">
        <f t="shared" si="1"/>
        <v>0.91968456673068411</v>
      </c>
      <c r="FG41" s="2">
        <f t="shared" si="1"/>
        <v>0.90165153601047465</v>
      </c>
      <c r="FH41" s="2">
        <f t="shared" si="1"/>
        <v>0.88397209412791633</v>
      </c>
      <c r="FI41" s="2">
        <f t="shared" si="1"/>
        <v>0.86663930796854538</v>
      </c>
      <c r="FJ41" s="2">
        <f t="shared" si="1"/>
        <v>0.84964638036131901</v>
      </c>
      <c r="FK41" s="2">
        <f t="shared" si="1"/>
        <v>0.83298664741305783</v>
      </c>
      <c r="FL41" s="2">
        <f t="shared" si="1"/>
        <v>0.81665357589515475</v>
      </c>
      <c r="FM41" s="2">
        <f t="shared" si="1"/>
        <v>0.80064076068152423</v>
      </c>
      <c r="FN41" s="2">
        <f t="shared" si="1"/>
        <v>0.78494192223678849</v>
      </c>
      <c r="FO41" s="2">
        <f t="shared" si="1"/>
        <v>0.76955090415371419</v>
      </c>
      <c r="FP41" s="2">
        <f t="shared" si="1"/>
        <v>0.75446167073893544</v>
      </c>
      <c r="FQ41" s="2">
        <f t="shared" si="1"/>
        <v>0.73966830464601507</v>
      </c>
      <c r="FR41" s="2">
        <f t="shared" si="1"/>
        <v>0.72516500455491673</v>
      </c>
      <c r="FS41" s="2">
        <f t="shared" si="1"/>
        <v>0.71094608289697714</v>
      </c>
      <c r="FT41" s="2">
        <f t="shared" si="1"/>
        <v>0.69700596362448741</v>
      </c>
      <c r="FU41" s="2">
        <f>SUM(FU40:GS40)</f>
        <v>13.607965592652576</v>
      </c>
    </row>
    <row r="42" spans="7:201" x14ac:dyDescent="0.2">
      <c r="G42" s="4" t="str">
        <f>G75</f>
        <v>Total Operational Capacity (MW)</v>
      </c>
      <c r="H42" s="4">
        <v>2025</v>
      </c>
      <c r="I42" s="4">
        <f>H42+1</f>
        <v>2026</v>
      </c>
      <c r="J42" s="4">
        <f t="shared" ref="J42:AG42" si="2">I42+1</f>
        <v>2027</v>
      </c>
      <c r="K42" s="4">
        <f t="shared" si="2"/>
        <v>2028</v>
      </c>
      <c r="L42" s="4">
        <f t="shared" si="2"/>
        <v>2029</v>
      </c>
      <c r="M42" s="4">
        <f t="shared" si="2"/>
        <v>2030</v>
      </c>
      <c r="N42" s="4">
        <f t="shared" si="2"/>
        <v>2031</v>
      </c>
      <c r="O42" s="4">
        <f t="shared" si="2"/>
        <v>2032</v>
      </c>
      <c r="P42" s="4">
        <f t="shared" si="2"/>
        <v>2033</v>
      </c>
      <c r="Q42" s="4">
        <f t="shared" si="2"/>
        <v>2034</v>
      </c>
      <c r="R42" s="4">
        <f t="shared" si="2"/>
        <v>2035</v>
      </c>
      <c r="S42" s="4">
        <f t="shared" si="2"/>
        <v>2036</v>
      </c>
      <c r="T42" s="4">
        <f t="shared" si="2"/>
        <v>2037</v>
      </c>
      <c r="U42" s="4">
        <f t="shared" si="2"/>
        <v>2038</v>
      </c>
      <c r="V42" s="4">
        <f t="shared" si="2"/>
        <v>2039</v>
      </c>
      <c r="W42" s="4">
        <f t="shared" si="2"/>
        <v>2040</v>
      </c>
      <c r="X42" s="4">
        <f t="shared" si="2"/>
        <v>2041</v>
      </c>
      <c r="Y42" s="4">
        <f t="shared" si="2"/>
        <v>2042</v>
      </c>
      <c r="Z42" s="4">
        <f t="shared" si="2"/>
        <v>2043</v>
      </c>
      <c r="AA42" s="4">
        <f t="shared" si="2"/>
        <v>2044</v>
      </c>
      <c r="AB42" s="4">
        <f t="shared" si="2"/>
        <v>2045</v>
      </c>
      <c r="AC42" s="4">
        <f t="shared" si="2"/>
        <v>2046</v>
      </c>
      <c r="AD42" s="4">
        <f t="shared" si="2"/>
        <v>2047</v>
      </c>
      <c r="AE42" s="4">
        <f t="shared" si="2"/>
        <v>2048</v>
      </c>
      <c r="AF42" s="4">
        <f t="shared" si="2"/>
        <v>2049</v>
      </c>
      <c r="AG42" s="4">
        <f t="shared" si="2"/>
        <v>2050</v>
      </c>
      <c r="AI42" s="4" t="str">
        <f>AI75</f>
        <v>New Capacity (MW)</v>
      </c>
      <c r="AJ42" s="4">
        <v>2025</v>
      </c>
      <c r="AK42" s="4">
        <f t="shared" ref="AK42:BI42" si="3">AJ42+1</f>
        <v>2026</v>
      </c>
      <c r="AL42" s="4">
        <f t="shared" si="3"/>
        <v>2027</v>
      </c>
      <c r="AM42" s="4">
        <f t="shared" si="3"/>
        <v>2028</v>
      </c>
      <c r="AN42" s="4">
        <f t="shared" si="3"/>
        <v>2029</v>
      </c>
      <c r="AO42" s="4">
        <f t="shared" si="3"/>
        <v>2030</v>
      </c>
      <c r="AP42" s="4">
        <f t="shared" si="3"/>
        <v>2031</v>
      </c>
      <c r="AQ42" s="4">
        <f t="shared" si="3"/>
        <v>2032</v>
      </c>
      <c r="AR42" s="4">
        <f t="shared" si="3"/>
        <v>2033</v>
      </c>
      <c r="AS42" s="4">
        <f t="shared" si="3"/>
        <v>2034</v>
      </c>
      <c r="AT42" s="4">
        <f t="shared" si="3"/>
        <v>2035</v>
      </c>
      <c r="AU42" s="4">
        <f t="shared" si="3"/>
        <v>2036</v>
      </c>
      <c r="AV42" s="4">
        <f t="shared" si="3"/>
        <v>2037</v>
      </c>
      <c r="AW42" s="4">
        <f t="shared" si="3"/>
        <v>2038</v>
      </c>
      <c r="AX42" s="4">
        <f t="shared" si="3"/>
        <v>2039</v>
      </c>
      <c r="AY42" s="4">
        <f t="shared" si="3"/>
        <v>2040</v>
      </c>
      <c r="AZ42" s="4">
        <f t="shared" si="3"/>
        <v>2041</v>
      </c>
      <c r="BA42" s="4">
        <f t="shared" si="3"/>
        <v>2042</v>
      </c>
      <c r="BB42" s="4">
        <f t="shared" si="3"/>
        <v>2043</v>
      </c>
      <c r="BC42" s="4">
        <f t="shared" si="3"/>
        <v>2044</v>
      </c>
      <c r="BD42" s="4">
        <f t="shared" si="3"/>
        <v>2045</v>
      </c>
      <c r="BE42" s="4">
        <f t="shared" si="3"/>
        <v>2046</v>
      </c>
      <c r="BF42" s="4">
        <f t="shared" si="3"/>
        <v>2047</v>
      </c>
      <c r="BG42" s="4">
        <f t="shared" si="3"/>
        <v>2048</v>
      </c>
      <c r="BH42" s="4">
        <f t="shared" si="3"/>
        <v>2049</v>
      </c>
      <c r="BI42" s="4">
        <f t="shared" si="3"/>
        <v>2050</v>
      </c>
      <c r="BK42" s="4" t="str">
        <f>BK75</f>
        <v>Generation (TWh)</v>
      </c>
      <c r="BL42" s="4">
        <v>2025</v>
      </c>
      <c r="BM42" s="4">
        <f t="shared" ref="BM42:CK42" si="4">BL42+1</f>
        <v>2026</v>
      </c>
      <c r="BN42" s="4">
        <f t="shared" si="4"/>
        <v>2027</v>
      </c>
      <c r="BO42" s="4">
        <f t="shared" si="4"/>
        <v>2028</v>
      </c>
      <c r="BP42" s="4">
        <f t="shared" si="4"/>
        <v>2029</v>
      </c>
      <c r="BQ42" s="4">
        <f t="shared" si="4"/>
        <v>2030</v>
      </c>
      <c r="BR42" s="4">
        <f t="shared" si="4"/>
        <v>2031</v>
      </c>
      <c r="BS42" s="4">
        <f t="shared" si="4"/>
        <v>2032</v>
      </c>
      <c r="BT42" s="4">
        <f t="shared" si="4"/>
        <v>2033</v>
      </c>
      <c r="BU42" s="4">
        <f t="shared" si="4"/>
        <v>2034</v>
      </c>
      <c r="BV42" s="4">
        <f t="shared" si="4"/>
        <v>2035</v>
      </c>
      <c r="BW42" s="4">
        <f t="shared" si="4"/>
        <v>2036</v>
      </c>
      <c r="BX42" s="4">
        <f t="shared" si="4"/>
        <v>2037</v>
      </c>
      <c r="BY42" s="4">
        <f t="shared" si="4"/>
        <v>2038</v>
      </c>
      <c r="BZ42" s="4">
        <f t="shared" si="4"/>
        <v>2039</v>
      </c>
      <c r="CA42" s="4">
        <f t="shared" si="4"/>
        <v>2040</v>
      </c>
      <c r="CB42" s="4">
        <f t="shared" si="4"/>
        <v>2041</v>
      </c>
      <c r="CC42" s="4">
        <f t="shared" si="4"/>
        <v>2042</v>
      </c>
      <c r="CD42" s="4">
        <f t="shared" si="4"/>
        <v>2043</v>
      </c>
      <c r="CE42" s="4">
        <f t="shared" si="4"/>
        <v>2044</v>
      </c>
      <c r="CF42" s="4">
        <f t="shared" si="4"/>
        <v>2045</v>
      </c>
      <c r="CG42" s="4">
        <f t="shared" si="4"/>
        <v>2046</v>
      </c>
      <c r="CH42" s="4">
        <f t="shared" si="4"/>
        <v>2047</v>
      </c>
      <c r="CI42" s="4">
        <f t="shared" si="4"/>
        <v>2048</v>
      </c>
      <c r="CJ42" s="4">
        <f t="shared" si="4"/>
        <v>2049</v>
      </c>
      <c r="CK42" s="4">
        <f t="shared" si="4"/>
        <v>2050</v>
      </c>
      <c r="CM42" s="4" t="str">
        <f>CM75</f>
        <v>Emissions (MMT)</v>
      </c>
      <c r="CN42" s="4">
        <v>2025</v>
      </c>
      <c r="CO42" s="4">
        <f t="shared" ref="CO42:DM42" si="5">CN42+1</f>
        <v>2026</v>
      </c>
      <c r="CP42" s="4">
        <f t="shared" si="5"/>
        <v>2027</v>
      </c>
      <c r="CQ42" s="4">
        <f t="shared" si="5"/>
        <v>2028</v>
      </c>
      <c r="CR42" s="4">
        <f t="shared" si="5"/>
        <v>2029</v>
      </c>
      <c r="CS42" s="4">
        <f t="shared" si="5"/>
        <v>2030</v>
      </c>
      <c r="CT42" s="4">
        <f t="shared" si="5"/>
        <v>2031</v>
      </c>
      <c r="CU42" s="4">
        <f t="shared" si="5"/>
        <v>2032</v>
      </c>
      <c r="CV42" s="4">
        <f t="shared" si="5"/>
        <v>2033</v>
      </c>
      <c r="CW42" s="4">
        <f t="shared" si="5"/>
        <v>2034</v>
      </c>
      <c r="CX42" s="4">
        <f t="shared" si="5"/>
        <v>2035</v>
      </c>
      <c r="CY42" s="4">
        <f t="shared" si="5"/>
        <v>2036</v>
      </c>
      <c r="CZ42" s="4">
        <f t="shared" si="5"/>
        <v>2037</v>
      </c>
      <c r="DA42" s="4">
        <f t="shared" si="5"/>
        <v>2038</v>
      </c>
      <c r="DB42" s="4">
        <f t="shared" si="5"/>
        <v>2039</v>
      </c>
      <c r="DC42" s="4">
        <f t="shared" si="5"/>
        <v>2040</v>
      </c>
      <c r="DD42" s="4">
        <f t="shared" si="5"/>
        <v>2041</v>
      </c>
      <c r="DE42" s="4">
        <f t="shared" si="5"/>
        <v>2042</v>
      </c>
      <c r="DF42" s="4">
        <f t="shared" si="5"/>
        <v>2043</v>
      </c>
      <c r="DG42" s="4">
        <f t="shared" si="5"/>
        <v>2044</v>
      </c>
      <c r="DH42" s="4">
        <f t="shared" si="5"/>
        <v>2045</v>
      </c>
      <c r="DI42" s="4">
        <f t="shared" si="5"/>
        <v>2046</v>
      </c>
      <c r="DJ42" s="4">
        <f t="shared" si="5"/>
        <v>2047</v>
      </c>
      <c r="DK42" s="4">
        <f t="shared" si="5"/>
        <v>2048</v>
      </c>
      <c r="DL42" s="4">
        <f t="shared" si="5"/>
        <v>2049</v>
      </c>
      <c r="DM42" s="4">
        <f t="shared" si="5"/>
        <v>2050</v>
      </c>
      <c r="DO42" s="4"/>
      <c r="DP42" s="4">
        <v>2025</v>
      </c>
      <c r="DQ42" s="4">
        <f t="shared" ref="DQ42:EO42" si="6">DP42+1</f>
        <v>2026</v>
      </c>
      <c r="DR42" s="4">
        <f t="shared" si="6"/>
        <v>2027</v>
      </c>
      <c r="DS42" s="4">
        <f t="shared" si="6"/>
        <v>2028</v>
      </c>
      <c r="DT42" s="4">
        <f t="shared" si="6"/>
        <v>2029</v>
      </c>
      <c r="DU42" s="4">
        <f t="shared" si="6"/>
        <v>2030</v>
      </c>
      <c r="DV42" s="4">
        <f t="shared" si="6"/>
        <v>2031</v>
      </c>
      <c r="DW42" s="4">
        <f t="shared" si="6"/>
        <v>2032</v>
      </c>
      <c r="DX42" s="4">
        <f t="shared" si="6"/>
        <v>2033</v>
      </c>
      <c r="DY42" s="4">
        <f t="shared" si="6"/>
        <v>2034</v>
      </c>
      <c r="DZ42" s="4">
        <f t="shared" si="6"/>
        <v>2035</v>
      </c>
      <c r="EA42" s="4">
        <f t="shared" si="6"/>
        <v>2036</v>
      </c>
      <c r="EB42" s="4">
        <f t="shared" si="6"/>
        <v>2037</v>
      </c>
      <c r="EC42" s="4">
        <f t="shared" si="6"/>
        <v>2038</v>
      </c>
      <c r="ED42" s="4">
        <f t="shared" si="6"/>
        <v>2039</v>
      </c>
      <c r="EE42" s="4">
        <f t="shared" si="6"/>
        <v>2040</v>
      </c>
      <c r="EF42" s="4">
        <f t="shared" si="6"/>
        <v>2041</v>
      </c>
      <c r="EG42" s="4">
        <f t="shared" si="6"/>
        <v>2042</v>
      </c>
      <c r="EH42" s="4">
        <f t="shared" si="6"/>
        <v>2043</v>
      </c>
      <c r="EI42" s="4">
        <f t="shared" si="6"/>
        <v>2044</v>
      </c>
      <c r="EJ42" s="4">
        <f t="shared" si="6"/>
        <v>2045</v>
      </c>
      <c r="EK42" s="4">
        <f t="shared" si="6"/>
        <v>2046</v>
      </c>
      <c r="EL42" s="4">
        <f t="shared" si="6"/>
        <v>2047</v>
      </c>
      <c r="EM42" s="4">
        <f t="shared" si="6"/>
        <v>2048</v>
      </c>
      <c r="EN42" s="4">
        <f t="shared" si="6"/>
        <v>2049</v>
      </c>
      <c r="EO42" s="4">
        <f t="shared" si="6"/>
        <v>2050</v>
      </c>
      <c r="ET42" s="4"/>
      <c r="EU42" s="4"/>
      <c r="EV42" s="4">
        <v>2025</v>
      </c>
      <c r="EW42" s="4">
        <f t="shared" ref="EW42:FU42" si="7">EV42+1</f>
        <v>2026</v>
      </c>
      <c r="EX42" s="4">
        <f t="shared" si="7"/>
        <v>2027</v>
      </c>
      <c r="EY42" s="4">
        <f t="shared" si="7"/>
        <v>2028</v>
      </c>
      <c r="EZ42" s="4">
        <f t="shared" si="7"/>
        <v>2029</v>
      </c>
      <c r="FA42" s="4">
        <f t="shared" si="7"/>
        <v>2030</v>
      </c>
      <c r="FB42" s="4">
        <f t="shared" si="7"/>
        <v>2031</v>
      </c>
      <c r="FC42" s="4">
        <f t="shared" si="7"/>
        <v>2032</v>
      </c>
      <c r="FD42" s="4">
        <f t="shared" si="7"/>
        <v>2033</v>
      </c>
      <c r="FE42" s="4">
        <f t="shared" si="7"/>
        <v>2034</v>
      </c>
      <c r="FF42" s="4">
        <f t="shared" si="7"/>
        <v>2035</v>
      </c>
      <c r="FG42" s="4">
        <f t="shared" si="7"/>
        <v>2036</v>
      </c>
      <c r="FH42" s="4">
        <f t="shared" si="7"/>
        <v>2037</v>
      </c>
      <c r="FI42" s="4">
        <f t="shared" si="7"/>
        <v>2038</v>
      </c>
      <c r="FJ42" s="4">
        <f t="shared" si="7"/>
        <v>2039</v>
      </c>
      <c r="FK42" s="4">
        <f t="shared" si="7"/>
        <v>2040</v>
      </c>
      <c r="FL42" s="4">
        <f t="shared" si="7"/>
        <v>2041</v>
      </c>
      <c r="FM42" s="4">
        <f t="shared" si="7"/>
        <v>2042</v>
      </c>
      <c r="FN42" s="4">
        <f t="shared" si="7"/>
        <v>2043</v>
      </c>
      <c r="FO42" s="4">
        <f t="shared" si="7"/>
        <v>2044</v>
      </c>
      <c r="FP42" s="4">
        <f t="shared" si="7"/>
        <v>2045</v>
      </c>
      <c r="FQ42" s="4">
        <f t="shared" si="7"/>
        <v>2046</v>
      </c>
      <c r="FR42" s="4">
        <f t="shared" si="7"/>
        <v>2047</v>
      </c>
      <c r="FS42" s="4">
        <f t="shared" si="7"/>
        <v>2048</v>
      </c>
      <c r="FT42" s="4">
        <f t="shared" si="7"/>
        <v>2049</v>
      </c>
      <c r="FU42" s="4">
        <f t="shared" si="7"/>
        <v>2050</v>
      </c>
    </row>
    <row r="43" spans="7:201" ht="16" x14ac:dyDescent="0.2">
      <c r="G43" s="5" t="s">
        <v>0</v>
      </c>
      <c r="H43" s="6">
        <f t="shared" ref="H43:W55" si="8">SUMIFS(INDEX($H$78:$AG$134,,MATCH(H$42,$H$77:$AG$77,0)),$F$78:$F$134,$G43)</f>
        <v>7899</v>
      </c>
      <c r="I43" s="6">
        <f t="shared" si="8"/>
        <v>7899</v>
      </c>
      <c r="J43" s="6">
        <f t="shared" si="8"/>
        <v>7899</v>
      </c>
      <c r="K43" s="6">
        <f t="shared" si="8"/>
        <v>7602</v>
      </c>
      <c r="L43" s="6">
        <f t="shared" si="8"/>
        <v>6822</v>
      </c>
      <c r="M43" s="6">
        <f t="shared" si="8"/>
        <v>4803</v>
      </c>
      <c r="N43" s="6">
        <f t="shared" si="8"/>
        <v>4803</v>
      </c>
      <c r="O43" s="6">
        <f t="shared" si="8"/>
        <v>4803</v>
      </c>
      <c r="P43" s="6">
        <f t="shared" si="8"/>
        <v>4803</v>
      </c>
      <c r="Q43" s="6">
        <f t="shared" si="8"/>
        <v>4803</v>
      </c>
      <c r="R43" s="6">
        <f t="shared" si="8"/>
        <v>4803</v>
      </c>
      <c r="S43" s="6">
        <f t="shared" si="8"/>
        <v>3523</v>
      </c>
      <c r="T43" s="6">
        <f t="shared" si="8"/>
        <v>3523</v>
      </c>
      <c r="U43" s="6">
        <f t="shared" si="8"/>
        <v>3523</v>
      </c>
      <c r="V43" s="6">
        <f t="shared" si="8"/>
        <v>3523</v>
      </c>
      <c r="W43" s="6">
        <f t="shared" si="8"/>
        <v>3523</v>
      </c>
      <c r="X43" s="6">
        <f t="shared" ref="R43:AG55" si="9">SUMIFS(INDEX($H$78:$AG$134,,MATCH(X$42,$H$77:$AG$77,0)),$F$78:$F$134,$G43)</f>
        <v>3523</v>
      </c>
      <c r="Y43" s="6">
        <f t="shared" si="9"/>
        <v>3523</v>
      </c>
      <c r="Z43" s="6">
        <f t="shared" si="9"/>
        <v>3523</v>
      </c>
      <c r="AA43" s="6">
        <f t="shared" si="9"/>
        <v>3523</v>
      </c>
      <c r="AB43" s="6">
        <f t="shared" si="9"/>
        <v>3523</v>
      </c>
      <c r="AC43" s="6">
        <f t="shared" si="9"/>
        <v>3523</v>
      </c>
      <c r="AD43" s="6">
        <f t="shared" si="9"/>
        <v>3523</v>
      </c>
      <c r="AE43" s="6">
        <f t="shared" si="9"/>
        <v>3523</v>
      </c>
      <c r="AF43" s="6">
        <f t="shared" si="9"/>
        <v>3523</v>
      </c>
      <c r="AG43" s="6">
        <f t="shared" si="9"/>
        <v>3523</v>
      </c>
      <c r="AI43" s="5" t="str">
        <f t="shared" ref="AI43:AI55" si="10">$G43</f>
        <v>Coal</v>
      </c>
      <c r="AJ43" s="28">
        <f t="shared" ref="AJ43:AY55" si="11">SUMIFS(INDEX($AJ$78:$BI$134,,MATCH(H$42,$AJ$77:$BI$77,0)),$F$78:$F$134,$AI43)</f>
        <v>0</v>
      </c>
      <c r="AK43" s="28">
        <f t="shared" si="11"/>
        <v>0</v>
      </c>
      <c r="AL43" s="28">
        <f t="shared" si="11"/>
        <v>0</v>
      </c>
      <c r="AM43" s="28">
        <f t="shared" si="11"/>
        <v>0</v>
      </c>
      <c r="AN43" s="28">
        <f t="shared" si="11"/>
        <v>0</v>
      </c>
      <c r="AO43" s="28">
        <f t="shared" si="11"/>
        <v>0</v>
      </c>
      <c r="AP43" s="28">
        <f t="shared" si="11"/>
        <v>0</v>
      </c>
      <c r="AQ43" s="28">
        <f t="shared" si="11"/>
        <v>0</v>
      </c>
      <c r="AR43" s="28">
        <f t="shared" si="11"/>
        <v>0</v>
      </c>
      <c r="AS43" s="28">
        <f t="shared" si="11"/>
        <v>0</v>
      </c>
      <c r="AT43" s="28">
        <f t="shared" si="11"/>
        <v>0</v>
      </c>
      <c r="AU43" s="28">
        <f t="shared" si="11"/>
        <v>0</v>
      </c>
      <c r="AV43" s="28">
        <f t="shared" si="11"/>
        <v>0</v>
      </c>
      <c r="AW43" s="28">
        <f t="shared" si="11"/>
        <v>0</v>
      </c>
      <c r="AX43" s="28">
        <f t="shared" si="11"/>
        <v>0</v>
      </c>
      <c r="AY43" s="28">
        <f t="shared" si="11"/>
        <v>0</v>
      </c>
      <c r="AZ43" s="28">
        <f t="shared" ref="AZ43:BI55" si="12">SUMIFS(INDEX($AJ$78:$BI$134,,MATCH(X$42,$AJ$77:$BI$77,0)),$F$78:$F$134,$AI43)</f>
        <v>0</v>
      </c>
      <c r="BA43" s="28">
        <f t="shared" si="12"/>
        <v>0</v>
      </c>
      <c r="BB43" s="28">
        <f t="shared" si="12"/>
        <v>0</v>
      </c>
      <c r="BC43" s="28">
        <f t="shared" si="12"/>
        <v>0</v>
      </c>
      <c r="BD43" s="28">
        <f t="shared" si="12"/>
        <v>0</v>
      </c>
      <c r="BE43" s="28">
        <f t="shared" si="12"/>
        <v>0</v>
      </c>
      <c r="BF43" s="28">
        <f t="shared" si="12"/>
        <v>0</v>
      </c>
      <c r="BG43" s="28">
        <f t="shared" si="12"/>
        <v>0</v>
      </c>
      <c r="BH43" s="28">
        <f t="shared" si="12"/>
        <v>0</v>
      </c>
      <c r="BI43" s="28">
        <f t="shared" si="12"/>
        <v>0</v>
      </c>
      <c r="BK43" s="5" t="str">
        <f t="shared" ref="BK43:BK55" si="13">$G43</f>
        <v>Coal</v>
      </c>
      <c r="BL43" s="6">
        <f t="shared" ref="BL43:CA55" si="14">SUMIFS(INDEX($BL$78:$CK$134,,MATCH(AJ$42,$BL$77:$CK$77,0)),$F$78:$F$134,$AI43)*1000</f>
        <v>39864.999999999993</v>
      </c>
      <c r="BM43" s="6">
        <f t="shared" si="14"/>
        <v>39196.999999999993</v>
      </c>
      <c r="BN43" s="6">
        <f t="shared" si="14"/>
        <v>36543</v>
      </c>
      <c r="BO43" s="6">
        <f t="shared" si="14"/>
        <v>33317</v>
      </c>
      <c r="BP43" s="6">
        <f t="shared" si="14"/>
        <v>30012.999999999996</v>
      </c>
      <c r="BQ43" s="6">
        <f t="shared" si="14"/>
        <v>21915</v>
      </c>
      <c r="BR43" s="6">
        <f t="shared" si="14"/>
        <v>21915</v>
      </c>
      <c r="BS43" s="6">
        <f t="shared" si="14"/>
        <v>21915</v>
      </c>
      <c r="BT43" s="6">
        <f t="shared" si="14"/>
        <v>21915</v>
      </c>
      <c r="BU43" s="6">
        <f t="shared" si="14"/>
        <v>21915</v>
      </c>
      <c r="BV43" s="6">
        <f t="shared" si="14"/>
        <v>21915</v>
      </c>
      <c r="BW43" s="6">
        <f t="shared" si="14"/>
        <v>15171</v>
      </c>
      <c r="BX43" s="6">
        <f t="shared" si="14"/>
        <v>15171</v>
      </c>
      <c r="BY43" s="6">
        <f t="shared" si="14"/>
        <v>15171</v>
      </c>
      <c r="BZ43" s="6">
        <f t="shared" si="14"/>
        <v>15171</v>
      </c>
      <c r="CA43" s="6">
        <f t="shared" si="14"/>
        <v>15171</v>
      </c>
      <c r="CB43" s="6">
        <f t="shared" ref="CB43:CK55" si="15">SUMIFS(INDEX($BL$78:$CK$134,,MATCH(AZ$42,$BL$77:$CK$77,0)),$F$78:$F$134,$AI43)*1000</f>
        <v>15171</v>
      </c>
      <c r="CC43" s="6">
        <f t="shared" si="15"/>
        <v>15171</v>
      </c>
      <c r="CD43" s="6">
        <f t="shared" si="15"/>
        <v>15171</v>
      </c>
      <c r="CE43" s="6">
        <f t="shared" si="15"/>
        <v>15171</v>
      </c>
      <c r="CF43" s="6">
        <f t="shared" si="15"/>
        <v>15171</v>
      </c>
      <c r="CG43" s="6">
        <f t="shared" si="15"/>
        <v>15171</v>
      </c>
      <c r="CH43" s="6">
        <f t="shared" si="15"/>
        <v>15171</v>
      </c>
      <c r="CI43" s="6">
        <f t="shared" si="15"/>
        <v>15171</v>
      </c>
      <c r="CJ43" s="6">
        <f t="shared" si="15"/>
        <v>15171</v>
      </c>
      <c r="CK43" s="6">
        <f t="shared" si="15"/>
        <v>15171</v>
      </c>
      <c r="CM43" s="5" t="str">
        <f t="shared" ref="CM43:CM55" si="16">$G43</f>
        <v>Coal</v>
      </c>
      <c r="CN43" s="7">
        <f t="shared" ref="CN43:DC55" si="17">SUMIFS(INDEX($CN$78:$DM$134,,MATCH(BL$42,$BL$77:$CK$77,0)),$F$78:$F$134,$AI43)</f>
        <v>36.76</v>
      </c>
      <c r="CO43" s="7">
        <f t="shared" si="17"/>
        <v>36.158000000000001</v>
      </c>
      <c r="CP43" s="7">
        <f t="shared" si="17"/>
        <v>33.898000000000003</v>
      </c>
      <c r="CQ43" s="7">
        <f t="shared" si="17"/>
        <v>31.086000000000002</v>
      </c>
      <c r="CR43" s="7">
        <f t="shared" si="17"/>
        <v>27.609000000000002</v>
      </c>
      <c r="CS43" s="7">
        <f t="shared" si="17"/>
        <v>19.847000000000001</v>
      </c>
      <c r="CT43" s="7">
        <f t="shared" si="17"/>
        <v>19.847000000000001</v>
      </c>
      <c r="CU43" s="7">
        <f t="shared" si="17"/>
        <v>19.847000000000001</v>
      </c>
      <c r="CV43" s="7">
        <f t="shared" si="17"/>
        <v>19.847000000000001</v>
      </c>
      <c r="CW43" s="7">
        <f t="shared" si="17"/>
        <v>19.847000000000001</v>
      </c>
      <c r="CX43" s="7">
        <f t="shared" si="17"/>
        <v>19.847000000000001</v>
      </c>
      <c r="CY43" s="7">
        <f t="shared" si="17"/>
        <v>13.699</v>
      </c>
      <c r="CZ43" s="7">
        <f t="shared" si="17"/>
        <v>13.699</v>
      </c>
      <c r="DA43" s="7">
        <f t="shared" si="17"/>
        <v>13.699</v>
      </c>
      <c r="DB43" s="7">
        <f t="shared" si="17"/>
        <v>13.699</v>
      </c>
      <c r="DC43" s="7">
        <f t="shared" si="17"/>
        <v>13.699</v>
      </c>
      <c r="DD43" s="7">
        <f t="shared" ref="DD43:DM55" si="18">SUMIFS(INDEX($CN$78:$DM$134,,MATCH(CB$42,$BL$77:$CK$77,0)),$F$78:$F$134,$AI43)</f>
        <v>13.699</v>
      </c>
      <c r="DE43" s="7">
        <f t="shared" si="18"/>
        <v>13.699</v>
      </c>
      <c r="DF43" s="7">
        <f t="shared" si="18"/>
        <v>13.699</v>
      </c>
      <c r="DG43" s="7">
        <f t="shared" si="18"/>
        <v>13.699</v>
      </c>
      <c r="DH43" s="7">
        <f t="shared" si="18"/>
        <v>13.699</v>
      </c>
      <c r="DI43" s="7">
        <f t="shared" si="18"/>
        <v>13.699</v>
      </c>
      <c r="DJ43" s="7">
        <f t="shared" si="18"/>
        <v>13.699</v>
      </c>
      <c r="DK43" s="7">
        <f t="shared" si="18"/>
        <v>13.699</v>
      </c>
      <c r="DL43" s="7">
        <f t="shared" si="18"/>
        <v>13.699</v>
      </c>
      <c r="DM43" s="7">
        <f t="shared" si="18"/>
        <v>13.699</v>
      </c>
      <c r="DO43" s="5" t="str">
        <f>$G43</f>
        <v>Coal</v>
      </c>
      <c r="DP43" s="8">
        <f t="shared" ref="DP43:EE50" si="19">INDEX(BL$43:BL$55,MATCH($DO43,$BK$43:$BK$55,0))/INDEX(H$43:H$55,MATCH($DO43,$BK$43:$BK$55,0))/8.76</f>
        <v>0.57612344432940754</v>
      </c>
      <c r="DQ43" s="8">
        <f t="shared" si="19"/>
        <v>0.56646960108816724</v>
      </c>
      <c r="DR43" s="8">
        <f t="shared" si="19"/>
        <v>0.52811436162371872</v>
      </c>
      <c r="DS43" s="8">
        <f t="shared" si="19"/>
        <v>0.5003039334758097</v>
      </c>
      <c r="DT43" s="8">
        <f t="shared" si="19"/>
        <v>0.50221951810486876</v>
      </c>
      <c r="DU43" s="8">
        <f t="shared" si="19"/>
        <v>0.52086452816304873</v>
      </c>
      <c r="DV43" s="8">
        <f t="shared" si="19"/>
        <v>0.52086452816304873</v>
      </c>
      <c r="DW43" s="8">
        <f t="shared" si="19"/>
        <v>0.52086452816304873</v>
      </c>
      <c r="DX43" s="8">
        <f t="shared" si="19"/>
        <v>0.52086452816304873</v>
      </c>
      <c r="DY43" s="8">
        <f t="shared" si="19"/>
        <v>0.52086452816304873</v>
      </c>
      <c r="DZ43" s="8">
        <f t="shared" si="19"/>
        <v>0.52086452816304873</v>
      </c>
      <c r="EA43" s="8">
        <f t="shared" si="19"/>
        <v>0.49158368296011723</v>
      </c>
      <c r="EB43" s="8">
        <f t="shared" si="19"/>
        <v>0.49158368296011723</v>
      </c>
      <c r="EC43" s="8">
        <f t="shared" si="19"/>
        <v>0.49158368296011723</v>
      </c>
      <c r="ED43" s="8">
        <f t="shared" si="19"/>
        <v>0.49158368296011723</v>
      </c>
      <c r="EE43" s="8">
        <f t="shared" si="19"/>
        <v>0.49158368296011723</v>
      </c>
      <c r="EF43" s="8">
        <f t="shared" ref="DZ43:EO50" si="20">INDEX(CB$43:CB$55,MATCH($DO43,$BK$43:$BK$55,0))/INDEX(X$43:X$55,MATCH($DO43,$BK$43:$BK$55,0))/8.76</f>
        <v>0.49158368296011723</v>
      </c>
      <c r="EG43" s="8">
        <f t="shared" si="20"/>
        <v>0.49158368296011723</v>
      </c>
      <c r="EH43" s="8">
        <f t="shared" si="20"/>
        <v>0.49158368296011723</v>
      </c>
      <c r="EI43" s="8">
        <f t="shared" si="20"/>
        <v>0.49158368296011723</v>
      </c>
      <c r="EJ43" s="8">
        <f t="shared" si="20"/>
        <v>0.49158368296011723</v>
      </c>
      <c r="EK43" s="8">
        <f t="shared" si="20"/>
        <v>0.49158368296011723</v>
      </c>
      <c r="EL43" s="8">
        <f t="shared" si="20"/>
        <v>0.49158368296011723</v>
      </c>
      <c r="EM43" s="8">
        <f t="shared" si="20"/>
        <v>0.49158368296011723</v>
      </c>
      <c r="EN43" s="8">
        <f t="shared" si="20"/>
        <v>0.49158368296011723</v>
      </c>
      <c r="EO43" s="8">
        <f t="shared" si="20"/>
        <v>0.49158368296011723</v>
      </c>
      <c r="ET43" s="5"/>
      <c r="EU43" s="5" t="s">
        <v>16</v>
      </c>
      <c r="EV43" s="6">
        <f t="shared" ref="EV43:FU43" si="21">SUM(AJ$196:AJ$248)</f>
        <v>0</v>
      </c>
      <c r="EW43" s="6">
        <f t="shared" si="21"/>
        <v>11.327484897195907</v>
      </c>
      <c r="EX43" s="6">
        <f t="shared" si="21"/>
        <v>34.799356955179576</v>
      </c>
      <c r="EY43" s="6">
        <f t="shared" si="21"/>
        <v>209.6922020193349</v>
      </c>
      <c r="EZ43" s="6">
        <f t="shared" si="21"/>
        <v>336.04223392997051</v>
      </c>
      <c r="FA43" s="6">
        <f t="shared" si="21"/>
        <v>435.30235757795907</v>
      </c>
      <c r="FB43" s="6">
        <f t="shared" si="21"/>
        <v>524.56395521540708</v>
      </c>
      <c r="FC43" s="6">
        <f t="shared" si="21"/>
        <v>519.40949838814083</v>
      </c>
      <c r="FD43" s="6">
        <f t="shared" si="21"/>
        <v>515.75652083401576</v>
      </c>
      <c r="FE43" s="6">
        <f t="shared" si="21"/>
        <v>510.42085566781651</v>
      </c>
      <c r="FF43" s="6">
        <f t="shared" si="21"/>
        <v>551.45792089954693</v>
      </c>
      <c r="FG43" s="6">
        <f t="shared" si="21"/>
        <v>548.55842105925524</v>
      </c>
      <c r="FH43" s="6">
        <f t="shared" si="21"/>
        <v>544.52008057348291</v>
      </c>
      <c r="FI43" s="6">
        <f t="shared" si="21"/>
        <v>540.48181842865904</v>
      </c>
      <c r="FJ43" s="6">
        <f t="shared" si="21"/>
        <v>598.82720894520128</v>
      </c>
      <c r="FK43" s="6">
        <f t="shared" si="21"/>
        <v>594.74475599400762</v>
      </c>
      <c r="FL43" s="6">
        <f t="shared" si="21"/>
        <v>590.66239161440978</v>
      </c>
      <c r="FM43" s="6">
        <f t="shared" si="21"/>
        <v>586.58011975126294</v>
      </c>
      <c r="FN43" s="6">
        <f t="shared" si="21"/>
        <v>582.49794496057018</v>
      </c>
      <c r="FO43" s="6">
        <f t="shared" si="21"/>
        <v>578.41587144024083</v>
      </c>
      <c r="FP43" s="6">
        <f t="shared" si="21"/>
        <v>574.33390393209936</v>
      </c>
      <c r="FQ43" s="6">
        <f t="shared" si="21"/>
        <v>570.25204683174945</v>
      </c>
      <c r="FR43" s="6">
        <f t="shared" si="21"/>
        <v>566.17030607453876</v>
      </c>
      <c r="FS43" s="6">
        <f t="shared" si="21"/>
        <v>562.08868700273172</v>
      </c>
      <c r="FT43" s="6">
        <f t="shared" si="21"/>
        <v>558.00719593351562</v>
      </c>
      <c r="FU43" s="6">
        <f t="shared" si="21"/>
        <v>553.92583856557314</v>
      </c>
    </row>
    <row r="44" spans="7:201" ht="16" x14ac:dyDescent="0.2">
      <c r="G44" s="5" t="s">
        <v>1</v>
      </c>
      <c r="H44" s="6">
        <f t="shared" si="8"/>
        <v>749</v>
      </c>
      <c r="I44" s="6">
        <f t="shared" si="8"/>
        <v>749</v>
      </c>
      <c r="J44" s="6">
        <f t="shared" si="8"/>
        <v>749</v>
      </c>
      <c r="K44" s="6">
        <f t="shared" si="8"/>
        <v>749</v>
      </c>
      <c r="L44" s="6">
        <f t="shared" si="8"/>
        <v>749</v>
      </c>
      <c r="M44" s="6">
        <f t="shared" si="8"/>
        <v>2768</v>
      </c>
      <c r="N44" s="6">
        <f t="shared" si="8"/>
        <v>2768</v>
      </c>
      <c r="O44" s="6">
        <f t="shared" si="8"/>
        <v>2768</v>
      </c>
      <c r="P44" s="6">
        <f t="shared" si="8"/>
        <v>2768</v>
      </c>
      <c r="Q44" s="6">
        <f t="shared" si="8"/>
        <v>2768</v>
      </c>
      <c r="R44" s="6">
        <f t="shared" si="9"/>
        <v>2768</v>
      </c>
      <c r="S44" s="6">
        <f t="shared" si="9"/>
        <v>2768</v>
      </c>
      <c r="T44" s="6">
        <f t="shared" si="9"/>
        <v>2768</v>
      </c>
      <c r="U44" s="6">
        <f t="shared" si="9"/>
        <v>2768</v>
      </c>
      <c r="V44" s="6">
        <f t="shared" si="9"/>
        <v>3432</v>
      </c>
      <c r="W44" s="6">
        <f t="shared" si="9"/>
        <v>3432</v>
      </c>
      <c r="X44" s="6">
        <f t="shared" si="9"/>
        <v>3432</v>
      </c>
      <c r="Y44" s="6">
        <f t="shared" si="9"/>
        <v>3137</v>
      </c>
      <c r="Z44" s="6">
        <f t="shared" si="9"/>
        <v>3137</v>
      </c>
      <c r="AA44" s="6">
        <f t="shared" si="9"/>
        <v>3137</v>
      </c>
      <c r="AB44" s="6">
        <f t="shared" si="9"/>
        <v>3137</v>
      </c>
      <c r="AC44" s="6">
        <f t="shared" si="9"/>
        <v>3137</v>
      </c>
      <c r="AD44" s="6">
        <f t="shared" si="9"/>
        <v>3137</v>
      </c>
      <c r="AE44" s="6">
        <f t="shared" si="9"/>
        <v>3137</v>
      </c>
      <c r="AF44" s="6">
        <f t="shared" si="9"/>
        <v>3137</v>
      </c>
      <c r="AG44" s="6">
        <f t="shared" si="9"/>
        <v>3137</v>
      </c>
      <c r="AI44" s="5" t="str">
        <f t="shared" si="10"/>
        <v>Gas Other</v>
      </c>
      <c r="AJ44" s="28">
        <f t="shared" si="11"/>
        <v>0</v>
      </c>
      <c r="AK44" s="28">
        <f t="shared" si="11"/>
        <v>0</v>
      </c>
      <c r="AL44" s="28">
        <f t="shared" si="11"/>
        <v>0</v>
      </c>
      <c r="AM44" s="28">
        <f t="shared" si="11"/>
        <v>0</v>
      </c>
      <c r="AN44" s="28">
        <f t="shared" si="11"/>
        <v>0</v>
      </c>
      <c r="AO44" s="28">
        <f t="shared" si="11"/>
        <v>0</v>
      </c>
      <c r="AP44" s="28">
        <f t="shared" si="11"/>
        <v>0</v>
      </c>
      <c r="AQ44" s="28">
        <f t="shared" si="11"/>
        <v>0</v>
      </c>
      <c r="AR44" s="28">
        <f t="shared" si="11"/>
        <v>0</v>
      </c>
      <c r="AS44" s="28">
        <f t="shared" si="11"/>
        <v>0</v>
      </c>
      <c r="AT44" s="28">
        <f t="shared" si="11"/>
        <v>0</v>
      </c>
      <c r="AU44" s="28">
        <f t="shared" si="11"/>
        <v>0</v>
      </c>
      <c r="AV44" s="28">
        <f t="shared" si="11"/>
        <v>0</v>
      </c>
      <c r="AW44" s="28">
        <f t="shared" si="11"/>
        <v>0</v>
      </c>
      <c r="AX44" s="28">
        <f t="shared" si="11"/>
        <v>664</v>
      </c>
      <c r="AY44" s="28">
        <f t="shared" si="11"/>
        <v>664</v>
      </c>
      <c r="AZ44" s="28">
        <f t="shared" si="12"/>
        <v>664</v>
      </c>
      <c r="BA44" s="28">
        <f t="shared" si="12"/>
        <v>664</v>
      </c>
      <c r="BB44" s="28">
        <f t="shared" si="12"/>
        <v>664</v>
      </c>
      <c r="BC44" s="28">
        <f t="shared" si="12"/>
        <v>664</v>
      </c>
      <c r="BD44" s="28">
        <f t="shared" si="12"/>
        <v>664</v>
      </c>
      <c r="BE44" s="28">
        <f t="shared" si="12"/>
        <v>664</v>
      </c>
      <c r="BF44" s="28">
        <f t="shared" si="12"/>
        <v>664</v>
      </c>
      <c r="BG44" s="28">
        <f t="shared" si="12"/>
        <v>664</v>
      </c>
      <c r="BH44" s="28">
        <f t="shared" si="12"/>
        <v>664</v>
      </c>
      <c r="BI44" s="28">
        <f t="shared" si="12"/>
        <v>664</v>
      </c>
      <c r="BK44" s="5" t="str">
        <f t="shared" si="13"/>
        <v>Gas Other</v>
      </c>
      <c r="BL44" s="6">
        <f t="shared" si="14"/>
        <v>3589</v>
      </c>
      <c r="BM44" s="6">
        <f t="shared" si="14"/>
        <v>3589</v>
      </c>
      <c r="BN44" s="6">
        <f t="shared" si="14"/>
        <v>3589</v>
      </c>
      <c r="BO44" s="6">
        <f t="shared" si="14"/>
        <v>3589</v>
      </c>
      <c r="BP44" s="6">
        <f t="shared" si="14"/>
        <v>3589</v>
      </c>
      <c r="BQ44" s="6">
        <f t="shared" si="14"/>
        <v>13471.000000000002</v>
      </c>
      <c r="BR44" s="6">
        <f t="shared" si="14"/>
        <v>11947.000000000002</v>
      </c>
      <c r="BS44" s="6">
        <f t="shared" si="14"/>
        <v>12694</v>
      </c>
      <c r="BT44" s="6">
        <f t="shared" si="14"/>
        <v>12634</v>
      </c>
      <c r="BU44" s="6">
        <f t="shared" si="14"/>
        <v>12297</v>
      </c>
      <c r="BV44" s="6">
        <f t="shared" si="14"/>
        <v>11752</v>
      </c>
      <c r="BW44" s="6">
        <f t="shared" si="14"/>
        <v>16706.000000000004</v>
      </c>
      <c r="BX44" s="6">
        <f t="shared" si="14"/>
        <v>16706.000000000004</v>
      </c>
      <c r="BY44" s="6">
        <f t="shared" si="14"/>
        <v>16706.000000000004</v>
      </c>
      <c r="BZ44" s="6">
        <f t="shared" si="14"/>
        <v>18896</v>
      </c>
      <c r="CA44" s="6">
        <f t="shared" si="14"/>
        <v>19676.000000000004</v>
      </c>
      <c r="CB44" s="6">
        <f t="shared" si="15"/>
        <v>19294.000000000004</v>
      </c>
      <c r="CC44" s="6">
        <f t="shared" si="15"/>
        <v>19550</v>
      </c>
      <c r="CD44" s="6">
        <f t="shared" si="15"/>
        <v>19550</v>
      </c>
      <c r="CE44" s="6">
        <f t="shared" si="15"/>
        <v>19550</v>
      </c>
      <c r="CF44" s="6">
        <f t="shared" si="15"/>
        <v>19550</v>
      </c>
      <c r="CG44" s="6">
        <f t="shared" si="15"/>
        <v>19550</v>
      </c>
      <c r="CH44" s="6">
        <f t="shared" si="15"/>
        <v>19550</v>
      </c>
      <c r="CI44" s="6">
        <f t="shared" si="15"/>
        <v>19550</v>
      </c>
      <c r="CJ44" s="6">
        <f t="shared" si="15"/>
        <v>19550</v>
      </c>
      <c r="CK44" s="6">
        <f t="shared" si="15"/>
        <v>19550</v>
      </c>
      <c r="CM44" s="5" t="str">
        <f t="shared" si="16"/>
        <v>Gas Other</v>
      </c>
      <c r="CN44" s="7">
        <f t="shared" si="17"/>
        <v>1.9950000000000001</v>
      </c>
      <c r="CO44" s="7">
        <f t="shared" si="17"/>
        <v>1.9950000000000001</v>
      </c>
      <c r="CP44" s="7">
        <f t="shared" si="17"/>
        <v>1.9950000000000001</v>
      </c>
      <c r="CQ44" s="7">
        <f t="shared" si="17"/>
        <v>1.9950000000000001</v>
      </c>
      <c r="CR44" s="7">
        <f t="shared" si="17"/>
        <v>1.9950000000000001</v>
      </c>
      <c r="CS44" s="7">
        <f t="shared" si="17"/>
        <v>7.0939999999999994</v>
      </c>
      <c r="CT44" s="7">
        <f t="shared" si="17"/>
        <v>6.2919999999999998</v>
      </c>
      <c r="CU44" s="7">
        <f t="shared" si="17"/>
        <v>6.6850000000000005</v>
      </c>
      <c r="CV44" s="7">
        <f t="shared" si="17"/>
        <v>6.6530000000000005</v>
      </c>
      <c r="CW44" s="7">
        <f t="shared" si="17"/>
        <v>6.476</v>
      </c>
      <c r="CX44" s="7">
        <f t="shared" si="17"/>
        <v>6.1909999999999998</v>
      </c>
      <c r="CY44" s="7">
        <f t="shared" si="17"/>
        <v>8.8940000000000001</v>
      </c>
      <c r="CZ44" s="7">
        <f t="shared" si="17"/>
        <v>8.8940000000000001</v>
      </c>
      <c r="DA44" s="7">
        <f t="shared" si="17"/>
        <v>8.8940000000000001</v>
      </c>
      <c r="DB44" s="7">
        <f t="shared" si="17"/>
        <v>9.3740000000000006</v>
      </c>
      <c r="DC44" s="7">
        <f t="shared" si="17"/>
        <v>9.8049999999999997</v>
      </c>
      <c r="DD44" s="7">
        <f t="shared" si="18"/>
        <v>9.5890000000000004</v>
      </c>
      <c r="DE44" s="7">
        <f t="shared" si="18"/>
        <v>9.7710000000000008</v>
      </c>
      <c r="DF44" s="7">
        <f t="shared" si="18"/>
        <v>9.7710000000000008</v>
      </c>
      <c r="DG44" s="7">
        <f t="shared" si="18"/>
        <v>9.7710000000000008</v>
      </c>
      <c r="DH44" s="7">
        <f t="shared" si="18"/>
        <v>9.7710000000000008</v>
      </c>
      <c r="DI44" s="7">
        <f t="shared" si="18"/>
        <v>9.7710000000000008</v>
      </c>
      <c r="DJ44" s="7">
        <f t="shared" si="18"/>
        <v>9.7710000000000008</v>
      </c>
      <c r="DK44" s="7">
        <f t="shared" si="18"/>
        <v>9.7710000000000008</v>
      </c>
      <c r="DL44" s="7">
        <f t="shared" si="18"/>
        <v>9.7710000000000008</v>
      </c>
      <c r="DM44" s="7">
        <f t="shared" si="18"/>
        <v>9.7710000000000008</v>
      </c>
      <c r="DO44" s="5" t="str">
        <f>$G44</f>
        <v>Gas Other</v>
      </c>
      <c r="DP44" s="8">
        <f t="shared" si="19"/>
        <v>0.54700026214557007</v>
      </c>
      <c r="DQ44" s="8">
        <f t="shared" si="19"/>
        <v>0.54700026214557007</v>
      </c>
      <c r="DR44" s="8">
        <f t="shared" si="19"/>
        <v>0.54700026214557007</v>
      </c>
      <c r="DS44" s="8">
        <f t="shared" si="19"/>
        <v>0.54700026214557007</v>
      </c>
      <c r="DT44" s="8">
        <f t="shared" si="19"/>
        <v>0.54700026214557007</v>
      </c>
      <c r="DU44" s="8">
        <f t="shared" si="19"/>
        <v>0.55555830495948488</v>
      </c>
      <c r="DV44" s="8">
        <f t="shared" si="19"/>
        <v>0.49270693113732955</v>
      </c>
      <c r="DW44" s="8">
        <f t="shared" si="19"/>
        <v>0.52351400216433075</v>
      </c>
      <c r="DX44" s="8">
        <f t="shared" si="19"/>
        <v>0.52103953862802543</v>
      </c>
      <c r="DY44" s="8">
        <f t="shared" si="19"/>
        <v>0.50714130176577721</v>
      </c>
      <c r="DZ44" s="8">
        <f t="shared" si="20"/>
        <v>0.48466492464433714</v>
      </c>
      <c r="EA44" s="8">
        <f t="shared" si="20"/>
        <v>0.68897313062528065</v>
      </c>
      <c r="EB44" s="8">
        <f t="shared" si="20"/>
        <v>0.68897313062528065</v>
      </c>
      <c r="EC44" s="8">
        <f t="shared" si="20"/>
        <v>0.68897313062528065</v>
      </c>
      <c r="ED44" s="8">
        <f t="shared" si="20"/>
        <v>0.62851912166980661</v>
      </c>
      <c r="EE44" s="8">
        <f t="shared" si="20"/>
        <v>0.65446349692925054</v>
      </c>
      <c r="EF44" s="8">
        <f t="shared" si="20"/>
        <v>0.64175740545603577</v>
      </c>
      <c r="EG44" s="8">
        <f t="shared" si="20"/>
        <v>0.7114233853418398</v>
      </c>
      <c r="EH44" s="8">
        <f t="shared" si="20"/>
        <v>0.7114233853418398</v>
      </c>
      <c r="EI44" s="8">
        <f t="shared" si="20"/>
        <v>0.7114233853418398</v>
      </c>
      <c r="EJ44" s="8">
        <f t="shared" si="20"/>
        <v>0.7114233853418398</v>
      </c>
      <c r="EK44" s="8">
        <f t="shared" si="20"/>
        <v>0.7114233853418398</v>
      </c>
      <c r="EL44" s="8">
        <f t="shared" si="20"/>
        <v>0.7114233853418398</v>
      </c>
      <c r="EM44" s="8">
        <f t="shared" si="20"/>
        <v>0.7114233853418398</v>
      </c>
      <c r="EN44" s="8">
        <f t="shared" si="20"/>
        <v>0.7114233853418398</v>
      </c>
      <c r="EO44" s="8">
        <f t="shared" si="20"/>
        <v>0.7114233853418398</v>
      </c>
      <c r="ET44" s="5"/>
      <c r="EU44" s="5" t="s">
        <v>17</v>
      </c>
      <c r="EV44" s="6">
        <f t="shared" ref="EV44:FU44" si="22">SUM(H$140:H$191)</f>
        <v>754.99733779999997</v>
      </c>
      <c r="EW44" s="6">
        <f t="shared" si="22"/>
        <v>766.78963279999982</v>
      </c>
      <c r="EX44" s="6">
        <f t="shared" si="22"/>
        <v>805.96500279999987</v>
      </c>
      <c r="EY44" s="6">
        <f t="shared" si="22"/>
        <v>847.95410279999987</v>
      </c>
      <c r="EZ44" s="6">
        <f t="shared" si="22"/>
        <v>832.24025279999989</v>
      </c>
      <c r="FA44" s="6">
        <f t="shared" si="22"/>
        <v>864.42025279999996</v>
      </c>
      <c r="FB44" s="6">
        <f t="shared" si="22"/>
        <v>893.75030279999999</v>
      </c>
      <c r="FC44" s="6">
        <f t="shared" si="22"/>
        <v>892.07980280000004</v>
      </c>
      <c r="FD44" s="6">
        <f t="shared" si="22"/>
        <v>893.12985279999998</v>
      </c>
      <c r="FE44" s="6">
        <f t="shared" si="22"/>
        <v>893.12985279999998</v>
      </c>
      <c r="FF44" s="6">
        <f t="shared" si="22"/>
        <v>924.95660280000004</v>
      </c>
      <c r="FG44" s="6">
        <f t="shared" si="22"/>
        <v>836.40665280000007</v>
      </c>
      <c r="FH44" s="6">
        <f t="shared" si="22"/>
        <v>836.40665280000007</v>
      </c>
      <c r="FI44" s="6">
        <f t="shared" si="22"/>
        <v>836.40665280000007</v>
      </c>
      <c r="FJ44" s="6">
        <f t="shared" si="22"/>
        <v>864.34470279999994</v>
      </c>
      <c r="FK44" s="6">
        <f t="shared" si="22"/>
        <v>864.34470279999994</v>
      </c>
      <c r="FL44" s="6">
        <f t="shared" si="22"/>
        <v>864.34470279999994</v>
      </c>
      <c r="FM44" s="6">
        <f t="shared" si="22"/>
        <v>843.69470279999996</v>
      </c>
      <c r="FN44" s="6">
        <f t="shared" si="22"/>
        <v>843.69470279999996</v>
      </c>
      <c r="FO44" s="6">
        <f t="shared" si="22"/>
        <v>843.69470279999996</v>
      </c>
      <c r="FP44" s="6">
        <f t="shared" si="22"/>
        <v>843.69470279999996</v>
      </c>
      <c r="FQ44" s="6">
        <f t="shared" si="22"/>
        <v>843.69470279999996</v>
      </c>
      <c r="FR44" s="6">
        <f t="shared" si="22"/>
        <v>843.69470279999996</v>
      </c>
      <c r="FS44" s="6">
        <f t="shared" si="22"/>
        <v>843.69470279999996</v>
      </c>
      <c r="FT44" s="6">
        <f t="shared" si="22"/>
        <v>843.69470279999996</v>
      </c>
      <c r="FU44" s="6">
        <f t="shared" si="22"/>
        <v>843.69470279999996</v>
      </c>
    </row>
    <row r="45" spans="7:201" ht="16" x14ac:dyDescent="0.2">
      <c r="G45" s="5" t="s">
        <v>2</v>
      </c>
      <c r="H45" s="6">
        <f t="shared" si="8"/>
        <v>0</v>
      </c>
      <c r="I45" s="6">
        <f t="shared" si="8"/>
        <v>0</v>
      </c>
      <c r="J45" s="6">
        <f t="shared" si="8"/>
        <v>645</v>
      </c>
      <c r="K45" s="6">
        <f t="shared" si="8"/>
        <v>1290</v>
      </c>
      <c r="L45" s="6">
        <f t="shared" si="8"/>
        <v>1890</v>
      </c>
      <c r="M45" s="6">
        <f t="shared" si="8"/>
        <v>2635</v>
      </c>
      <c r="N45" s="6">
        <f t="shared" si="8"/>
        <v>3280</v>
      </c>
      <c r="O45" s="6">
        <f t="shared" si="8"/>
        <v>3280</v>
      </c>
      <c r="P45" s="6">
        <f t="shared" si="8"/>
        <v>3280</v>
      </c>
      <c r="Q45" s="6">
        <f t="shared" si="8"/>
        <v>3280</v>
      </c>
      <c r="R45" s="6">
        <f t="shared" si="9"/>
        <v>3280</v>
      </c>
      <c r="S45" s="6">
        <f t="shared" si="9"/>
        <v>3280</v>
      </c>
      <c r="T45" s="6">
        <f t="shared" si="9"/>
        <v>3280</v>
      </c>
      <c r="U45" s="6">
        <f t="shared" si="9"/>
        <v>3280</v>
      </c>
      <c r="V45" s="6">
        <f t="shared" si="9"/>
        <v>3280</v>
      </c>
      <c r="W45" s="6">
        <f t="shared" si="9"/>
        <v>3280</v>
      </c>
      <c r="X45" s="6">
        <f t="shared" si="9"/>
        <v>3280</v>
      </c>
      <c r="Y45" s="6">
        <f t="shared" si="9"/>
        <v>3280</v>
      </c>
      <c r="Z45" s="6">
        <f t="shared" si="9"/>
        <v>3280</v>
      </c>
      <c r="AA45" s="6">
        <f t="shared" si="9"/>
        <v>3280</v>
      </c>
      <c r="AB45" s="6">
        <f t="shared" si="9"/>
        <v>3280</v>
      </c>
      <c r="AC45" s="6">
        <f t="shared" si="9"/>
        <v>3280</v>
      </c>
      <c r="AD45" s="6">
        <f t="shared" si="9"/>
        <v>3280</v>
      </c>
      <c r="AE45" s="6">
        <f t="shared" si="9"/>
        <v>3280</v>
      </c>
      <c r="AF45" s="6">
        <f t="shared" si="9"/>
        <v>3280</v>
      </c>
      <c r="AG45" s="6">
        <f t="shared" si="9"/>
        <v>3280</v>
      </c>
      <c r="AI45" s="5" t="str">
        <f t="shared" si="10"/>
        <v>Gas CCGT</v>
      </c>
      <c r="AJ45" s="28">
        <f t="shared" si="11"/>
        <v>0</v>
      </c>
      <c r="AK45" s="28">
        <f t="shared" si="11"/>
        <v>0</v>
      </c>
      <c r="AL45" s="28">
        <f t="shared" si="11"/>
        <v>0</v>
      </c>
      <c r="AM45" s="28">
        <f t="shared" si="11"/>
        <v>645</v>
      </c>
      <c r="AN45" s="28">
        <f t="shared" si="11"/>
        <v>1245</v>
      </c>
      <c r="AO45" s="28">
        <f t="shared" si="11"/>
        <v>1990</v>
      </c>
      <c r="AP45" s="28">
        <f t="shared" si="11"/>
        <v>2635</v>
      </c>
      <c r="AQ45" s="28">
        <f t="shared" si="11"/>
        <v>2635</v>
      </c>
      <c r="AR45" s="28">
        <f t="shared" si="11"/>
        <v>2635</v>
      </c>
      <c r="AS45" s="28">
        <f t="shared" si="11"/>
        <v>2635</v>
      </c>
      <c r="AT45" s="28">
        <f t="shared" si="11"/>
        <v>2635</v>
      </c>
      <c r="AU45" s="28">
        <f t="shared" si="11"/>
        <v>2635</v>
      </c>
      <c r="AV45" s="28">
        <f t="shared" si="11"/>
        <v>2635</v>
      </c>
      <c r="AW45" s="28">
        <f t="shared" si="11"/>
        <v>2635</v>
      </c>
      <c r="AX45" s="28">
        <f t="shared" si="11"/>
        <v>2635</v>
      </c>
      <c r="AY45" s="28">
        <f t="shared" si="11"/>
        <v>2635</v>
      </c>
      <c r="AZ45" s="28">
        <f t="shared" si="12"/>
        <v>2635</v>
      </c>
      <c r="BA45" s="28">
        <f t="shared" si="12"/>
        <v>2635</v>
      </c>
      <c r="BB45" s="28">
        <f t="shared" si="12"/>
        <v>2635</v>
      </c>
      <c r="BC45" s="28">
        <f t="shared" si="12"/>
        <v>2635</v>
      </c>
      <c r="BD45" s="28">
        <f t="shared" si="12"/>
        <v>2635</v>
      </c>
      <c r="BE45" s="28">
        <f t="shared" si="12"/>
        <v>2635</v>
      </c>
      <c r="BF45" s="28">
        <f t="shared" si="12"/>
        <v>2635</v>
      </c>
      <c r="BG45" s="28">
        <f t="shared" si="12"/>
        <v>2635</v>
      </c>
      <c r="BH45" s="28">
        <f t="shared" si="12"/>
        <v>2635</v>
      </c>
      <c r="BI45" s="28">
        <f t="shared" si="12"/>
        <v>2635</v>
      </c>
      <c r="BK45" s="5" t="str">
        <f t="shared" si="13"/>
        <v>Gas CCGT</v>
      </c>
      <c r="BL45" s="6">
        <f t="shared" si="14"/>
        <v>0</v>
      </c>
      <c r="BM45" s="6">
        <f t="shared" si="14"/>
        <v>0</v>
      </c>
      <c r="BN45" s="6">
        <f t="shared" si="14"/>
        <v>1413</v>
      </c>
      <c r="BO45" s="6">
        <f t="shared" si="14"/>
        <v>2826</v>
      </c>
      <c r="BP45" s="6">
        <f t="shared" si="14"/>
        <v>5980</v>
      </c>
      <c r="BQ45" s="6">
        <f t="shared" si="14"/>
        <v>9895</v>
      </c>
      <c r="BR45" s="6">
        <f t="shared" si="14"/>
        <v>13285</v>
      </c>
      <c r="BS45" s="6">
        <f t="shared" si="14"/>
        <v>13285</v>
      </c>
      <c r="BT45" s="6">
        <f t="shared" si="14"/>
        <v>13285</v>
      </c>
      <c r="BU45" s="6">
        <f t="shared" si="14"/>
        <v>13285</v>
      </c>
      <c r="BV45" s="6">
        <f t="shared" si="14"/>
        <v>13285</v>
      </c>
      <c r="BW45" s="6">
        <f t="shared" si="14"/>
        <v>13285</v>
      </c>
      <c r="BX45" s="6">
        <f t="shared" si="14"/>
        <v>13285</v>
      </c>
      <c r="BY45" s="6">
        <f t="shared" si="14"/>
        <v>13285</v>
      </c>
      <c r="BZ45" s="6">
        <f t="shared" si="14"/>
        <v>13285</v>
      </c>
      <c r="CA45" s="6">
        <f t="shared" si="14"/>
        <v>13285</v>
      </c>
      <c r="CB45" s="6">
        <f t="shared" si="15"/>
        <v>13285</v>
      </c>
      <c r="CC45" s="6">
        <f t="shared" si="15"/>
        <v>13285</v>
      </c>
      <c r="CD45" s="6">
        <f t="shared" si="15"/>
        <v>13285</v>
      </c>
      <c r="CE45" s="6">
        <f t="shared" si="15"/>
        <v>13285</v>
      </c>
      <c r="CF45" s="6">
        <f t="shared" si="15"/>
        <v>13285</v>
      </c>
      <c r="CG45" s="6">
        <f t="shared" si="15"/>
        <v>13285</v>
      </c>
      <c r="CH45" s="6">
        <f t="shared" si="15"/>
        <v>13285</v>
      </c>
      <c r="CI45" s="6">
        <f t="shared" si="15"/>
        <v>13285</v>
      </c>
      <c r="CJ45" s="6">
        <f t="shared" si="15"/>
        <v>13285</v>
      </c>
      <c r="CK45" s="6">
        <f t="shared" si="15"/>
        <v>13285</v>
      </c>
      <c r="CM45" s="5" t="str">
        <f t="shared" si="16"/>
        <v>Gas CCGT</v>
      </c>
      <c r="CN45" s="7">
        <f t="shared" si="17"/>
        <v>0</v>
      </c>
      <c r="CO45" s="7">
        <f t="shared" si="17"/>
        <v>0</v>
      </c>
      <c r="CP45" s="7">
        <f t="shared" si="17"/>
        <v>0.47199999999999998</v>
      </c>
      <c r="CQ45" s="7">
        <f t="shared" si="17"/>
        <v>0.94399999999999995</v>
      </c>
      <c r="CR45" s="7">
        <f t="shared" si="17"/>
        <v>1.9969999999999999</v>
      </c>
      <c r="CS45" s="7">
        <f t="shared" si="17"/>
        <v>3.3039999999999998</v>
      </c>
      <c r="CT45" s="7">
        <f t="shared" si="17"/>
        <v>4.4359999999999999</v>
      </c>
      <c r="CU45" s="7">
        <f t="shared" si="17"/>
        <v>4.4359999999999999</v>
      </c>
      <c r="CV45" s="7">
        <f t="shared" si="17"/>
        <v>4.4359999999999999</v>
      </c>
      <c r="CW45" s="7">
        <f t="shared" si="17"/>
        <v>4.4359999999999999</v>
      </c>
      <c r="CX45" s="7">
        <f t="shared" si="17"/>
        <v>4.4359999999999999</v>
      </c>
      <c r="CY45" s="7">
        <f t="shared" si="17"/>
        <v>4.4359999999999999</v>
      </c>
      <c r="CZ45" s="7">
        <f t="shared" si="17"/>
        <v>4.4359999999999999</v>
      </c>
      <c r="DA45" s="7">
        <f t="shared" si="17"/>
        <v>4.4359999999999999</v>
      </c>
      <c r="DB45" s="7">
        <f t="shared" si="17"/>
        <v>4.4359999999999999</v>
      </c>
      <c r="DC45" s="7">
        <f t="shared" si="17"/>
        <v>4.4359999999999999</v>
      </c>
      <c r="DD45" s="7">
        <f t="shared" si="18"/>
        <v>4.4359999999999999</v>
      </c>
      <c r="DE45" s="7">
        <f t="shared" si="18"/>
        <v>4.4359999999999999</v>
      </c>
      <c r="DF45" s="7">
        <f t="shared" si="18"/>
        <v>4.4359999999999999</v>
      </c>
      <c r="DG45" s="7">
        <f t="shared" si="18"/>
        <v>4.4359999999999999</v>
      </c>
      <c r="DH45" s="7">
        <f t="shared" si="18"/>
        <v>4.4359999999999999</v>
      </c>
      <c r="DI45" s="7">
        <f t="shared" si="18"/>
        <v>4.4359999999999999</v>
      </c>
      <c r="DJ45" s="7">
        <f t="shared" si="18"/>
        <v>4.4359999999999999</v>
      </c>
      <c r="DK45" s="7">
        <f t="shared" si="18"/>
        <v>4.4359999999999999</v>
      </c>
      <c r="DL45" s="7">
        <f t="shared" si="18"/>
        <v>4.4359999999999999</v>
      </c>
      <c r="DM45" s="7">
        <f t="shared" si="18"/>
        <v>4.4359999999999999</v>
      </c>
      <c r="DO45" s="5" t="str">
        <f>$G45</f>
        <v>Gas CCGT</v>
      </c>
      <c r="DP45" s="8" t="e">
        <f t="shared" si="19"/>
        <v>#DIV/0!</v>
      </c>
      <c r="DQ45" s="8" t="e">
        <f t="shared" si="19"/>
        <v>#DIV/0!</v>
      </c>
      <c r="DR45" s="8">
        <f t="shared" si="19"/>
        <v>0.25007964319847087</v>
      </c>
      <c r="DS45" s="8">
        <f t="shared" si="19"/>
        <v>0.25007964319847087</v>
      </c>
      <c r="DT45" s="8">
        <f t="shared" si="19"/>
        <v>0.36118963059602333</v>
      </c>
      <c r="DU45" s="8">
        <f t="shared" si="19"/>
        <v>0.42867787857520384</v>
      </c>
      <c r="DV45" s="8">
        <f t="shared" si="19"/>
        <v>0.46236357055351379</v>
      </c>
      <c r="DW45" s="8">
        <f t="shared" si="19"/>
        <v>0.46236357055351379</v>
      </c>
      <c r="DX45" s="8">
        <f t="shared" si="19"/>
        <v>0.46236357055351379</v>
      </c>
      <c r="DY45" s="8">
        <f t="shared" si="19"/>
        <v>0.46236357055351379</v>
      </c>
      <c r="DZ45" s="8">
        <f t="shared" si="20"/>
        <v>0.46236357055351379</v>
      </c>
      <c r="EA45" s="8">
        <f t="shared" si="20"/>
        <v>0.46236357055351379</v>
      </c>
      <c r="EB45" s="8">
        <f t="shared" si="20"/>
        <v>0.46236357055351379</v>
      </c>
      <c r="EC45" s="8">
        <f t="shared" si="20"/>
        <v>0.46236357055351379</v>
      </c>
      <c r="ED45" s="8">
        <f t="shared" si="20"/>
        <v>0.46236357055351379</v>
      </c>
      <c r="EE45" s="8">
        <f t="shared" si="20"/>
        <v>0.46236357055351379</v>
      </c>
      <c r="EF45" s="8">
        <f t="shared" si="20"/>
        <v>0.46236357055351379</v>
      </c>
      <c r="EG45" s="8">
        <f t="shared" si="20"/>
        <v>0.46236357055351379</v>
      </c>
      <c r="EH45" s="8">
        <f t="shared" si="20"/>
        <v>0.46236357055351379</v>
      </c>
      <c r="EI45" s="8">
        <f t="shared" si="20"/>
        <v>0.46236357055351379</v>
      </c>
      <c r="EJ45" s="8">
        <f t="shared" si="20"/>
        <v>0.46236357055351379</v>
      </c>
      <c r="EK45" s="8">
        <f t="shared" si="20"/>
        <v>0.46236357055351379</v>
      </c>
      <c r="EL45" s="8">
        <f t="shared" si="20"/>
        <v>0.46236357055351379</v>
      </c>
      <c r="EM45" s="8">
        <f t="shared" si="20"/>
        <v>0.46236357055351379</v>
      </c>
      <c r="EN45" s="8">
        <f t="shared" si="20"/>
        <v>0.46236357055351379</v>
      </c>
      <c r="EO45" s="8">
        <f t="shared" si="20"/>
        <v>0.46236357055351379</v>
      </c>
      <c r="ET45" s="5" t="s">
        <v>18</v>
      </c>
      <c r="EU45" s="5" t="s">
        <v>19</v>
      </c>
      <c r="EV45" s="6">
        <f t="shared" ref="EV45:FK46" si="23">SUMIFS(INDEX($EV$78:$FU$134,,MATCH(EV$42,$EV$77:$FU$77,0)),$EU$78:$EU$134,$ET45)</f>
        <v>585.54399999999998</v>
      </c>
      <c r="EW45" s="6">
        <f t="shared" si="23"/>
        <v>576.88099999999997</v>
      </c>
      <c r="EX45" s="6">
        <f t="shared" si="23"/>
        <v>550.68499999999995</v>
      </c>
      <c r="EY45" s="6">
        <f t="shared" si="23"/>
        <v>520.24400000000003</v>
      </c>
      <c r="EZ45" s="6">
        <f t="shared" si="23"/>
        <v>497.39600000000002</v>
      </c>
      <c r="FA45" s="6">
        <f t="shared" si="23"/>
        <v>519.97400000000005</v>
      </c>
      <c r="FB45" s="6">
        <f t="shared" si="23"/>
        <v>515.24699999999996</v>
      </c>
      <c r="FC45" s="6">
        <f t="shared" si="23"/>
        <v>524.16300000000001</v>
      </c>
      <c r="FD45" s="6">
        <f t="shared" si="23"/>
        <v>523.44799999999998</v>
      </c>
      <c r="FE45" s="6">
        <f t="shared" si="23"/>
        <v>519.404</v>
      </c>
      <c r="FF45" s="6">
        <f t="shared" si="23"/>
        <v>512.87300000000005</v>
      </c>
      <c r="FG45" s="6">
        <f t="shared" si="23"/>
        <v>497.18200000000002</v>
      </c>
      <c r="FH45" s="6">
        <f t="shared" si="23"/>
        <v>498.98700000000002</v>
      </c>
      <c r="FI45" s="6">
        <f t="shared" si="23"/>
        <v>498.8</v>
      </c>
      <c r="FJ45" s="6">
        <f t="shared" si="23"/>
        <v>491.08</v>
      </c>
      <c r="FK45" s="6">
        <f t="shared" si="23"/>
        <v>500.45100000000002</v>
      </c>
      <c r="FL45" s="6">
        <f t="shared" ref="FF45:FU46" si="24">SUMIFS(INDEX($EV$78:$FU$134,,MATCH(FL$42,$EV$77:$FU$77,0)),$EU$78:$EU$134,$ET45)</f>
        <v>495.87099999999998</v>
      </c>
      <c r="FM45" s="6">
        <f t="shared" si="24"/>
        <v>501.23099999999999</v>
      </c>
      <c r="FN45" s="6">
        <f t="shared" si="24"/>
        <v>499.20400000000001</v>
      </c>
      <c r="FO45" s="6">
        <f t="shared" si="24"/>
        <v>501.15300000000002</v>
      </c>
      <c r="FP45" s="6">
        <f t="shared" si="24"/>
        <v>501.59</v>
      </c>
      <c r="FQ45" s="6">
        <f t="shared" si="24"/>
        <v>504.20800000000003</v>
      </c>
      <c r="FR45" s="6">
        <f t="shared" si="24"/>
        <v>500.99400000000003</v>
      </c>
      <c r="FS45" s="6">
        <f t="shared" si="24"/>
        <v>504.38299999999998</v>
      </c>
      <c r="FT45" s="6">
        <f t="shared" si="24"/>
        <v>505.63099999999997</v>
      </c>
      <c r="FU45" s="6">
        <f t="shared" si="24"/>
        <v>505.18799999999999</v>
      </c>
    </row>
    <row r="46" spans="7:201" ht="16" x14ac:dyDescent="0.2">
      <c r="G46" s="5" t="s">
        <v>3</v>
      </c>
      <c r="H46" s="6">
        <f t="shared" si="8"/>
        <v>4653</v>
      </c>
      <c r="I46" s="6">
        <f t="shared" si="8"/>
        <v>4582</v>
      </c>
      <c r="J46" s="6">
        <f t="shared" si="8"/>
        <v>4582</v>
      </c>
      <c r="K46" s="6">
        <f t="shared" si="8"/>
        <v>4796</v>
      </c>
      <c r="L46" s="6">
        <f t="shared" si="8"/>
        <v>5276</v>
      </c>
      <c r="M46" s="6">
        <f t="shared" si="8"/>
        <v>5276</v>
      </c>
      <c r="N46" s="6">
        <f t="shared" si="8"/>
        <v>5276</v>
      </c>
      <c r="O46" s="6">
        <f t="shared" si="8"/>
        <v>5211</v>
      </c>
      <c r="P46" s="6">
        <f t="shared" si="8"/>
        <v>5211</v>
      </c>
      <c r="Q46" s="6">
        <f t="shared" si="8"/>
        <v>5211</v>
      </c>
      <c r="R46" s="6">
        <f t="shared" si="9"/>
        <v>5211</v>
      </c>
      <c r="S46" s="6">
        <f t="shared" si="9"/>
        <v>5211</v>
      </c>
      <c r="T46" s="6">
        <f t="shared" si="9"/>
        <v>5211</v>
      </c>
      <c r="U46" s="6">
        <f t="shared" si="9"/>
        <v>5211</v>
      </c>
      <c r="V46" s="6">
        <f t="shared" si="9"/>
        <v>5211</v>
      </c>
      <c r="W46" s="6">
        <f t="shared" si="9"/>
        <v>5211</v>
      </c>
      <c r="X46" s="6">
        <f t="shared" si="9"/>
        <v>5211</v>
      </c>
      <c r="Y46" s="6">
        <f t="shared" si="9"/>
        <v>5211</v>
      </c>
      <c r="Z46" s="6">
        <f t="shared" si="9"/>
        <v>5211</v>
      </c>
      <c r="AA46" s="6">
        <f t="shared" si="9"/>
        <v>5211</v>
      </c>
      <c r="AB46" s="6">
        <f t="shared" si="9"/>
        <v>5211</v>
      </c>
      <c r="AC46" s="6">
        <f t="shared" si="9"/>
        <v>5211</v>
      </c>
      <c r="AD46" s="6">
        <f t="shared" si="9"/>
        <v>5211</v>
      </c>
      <c r="AE46" s="6">
        <f t="shared" si="9"/>
        <v>5211</v>
      </c>
      <c r="AF46" s="6">
        <f t="shared" si="9"/>
        <v>5211</v>
      </c>
      <c r="AG46" s="6">
        <f t="shared" si="9"/>
        <v>5211</v>
      </c>
      <c r="AI46" s="5" t="str">
        <f t="shared" si="10"/>
        <v>Gas CT</v>
      </c>
      <c r="AJ46" s="28">
        <f t="shared" si="11"/>
        <v>0</v>
      </c>
      <c r="AK46" s="28">
        <f t="shared" si="11"/>
        <v>0</v>
      </c>
      <c r="AL46" s="28">
        <f t="shared" si="11"/>
        <v>0</v>
      </c>
      <c r="AM46" s="28">
        <f t="shared" si="11"/>
        <v>214</v>
      </c>
      <c r="AN46" s="28">
        <f t="shared" si="11"/>
        <v>694</v>
      </c>
      <c r="AO46" s="28">
        <f t="shared" si="11"/>
        <v>694</v>
      </c>
      <c r="AP46" s="28">
        <f t="shared" si="11"/>
        <v>694</v>
      </c>
      <c r="AQ46" s="28">
        <f t="shared" si="11"/>
        <v>694</v>
      </c>
      <c r="AR46" s="28">
        <f t="shared" si="11"/>
        <v>694</v>
      </c>
      <c r="AS46" s="28">
        <f t="shared" si="11"/>
        <v>694</v>
      </c>
      <c r="AT46" s="28">
        <f t="shared" si="11"/>
        <v>694</v>
      </c>
      <c r="AU46" s="28">
        <f t="shared" si="11"/>
        <v>694</v>
      </c>
      <c r="AV46" s="28">
        <f t="shared" si="11"/>
        <v>694</v>
      </c>
      <c r="AW46" s="28">
        <f t="shared" si="11"/>
        <v>694</v>
      </c>
      <c r="AX46" s="28">
        <f t="shared" si="11"/>
        <v>694</v>
      </c>
      <c r="AY46" s="28">
        <f t="shared" si="11"/>
        <v>694</v>
      </c>
      <c r="AZ46" s="28">
        <f t="shared" si="12"/>
        <v>694</v>
      </c>
      <c r="BA46" s="28">
        <f t="shared" si="12"/>
        <v>694</v>
      </c>
      <c r="BB46" s="28">
        <f t="shared" si="12"/>
        <v>694</v>
      </c>
      <c r="BC46" s="28">
        <f t="shared" si="12"/>
        <v>694</v>
      </c>
      <c r="BD46" s="28">
        <f t="shared" si="12"/>
        <v>694</v>
      </c>
      <c r="BE46" s="28">
        <f t="shared" si="12"/>
        <v>694</v>
      </c>
      <c r="BF46" s="28">
        <f t="shared" si="12"/>
        <v>694</v>
      </c>
      <c r="BG46" s="28">
        <f t="shared" si="12"/>
        <v>694</v>
      </c>
      <c r="BH46" s="28">
        <f t="shared" si="12"/>
        <v>694</v>
      </c>
      <c r="BI46" s="28">
        <f t="shared" si="12"/>
        <v>694</v>
      </c>
      <c r="BK46" s="5" t="str">
        <f t="shared" si="13"/>
        <v>Gas CT</v>
      </c>
      <c r="BL46" s="6">
        <f t="shared" si="14"/>
        <v>15873.999999999998</v>
      </c>
      <c r="BM46" s="6">
        <f t="shared" si="14"/>
        <v>15713.000000000002</v>
      </c>
      <c r="BN46" s="6">
        <f t="shared" si="14"/>
        <v>15713.000000000002</v>
      </c>
      <c r="BO46" s="6">
        <f t="shared" si="14"/>
        <v>16369</v>
      </c>
      <c r="BP46" s="6">
        <f t="shared" si="14"/>
        <v>17415</v>
      </c>
      <c r="BQ46" s="6">
        <f t="shared" si="14"/>
        <v>13795.000000000002</v>
      </c>
      <c r="BR46" s="6">
        <f t="shared" si="14"/>
        <v>13795.000000000002</v>
      </c>
      <c r="BS46" s="6">
        <f t="shared" si="14"/>
        <v>13783.999999999998</v>
      </c>
      <c r="BT46" s="6">
        <f t="shared" si="14"/>
        <v>13783.999999999998</v>
      </c>
      <c r="BU46" s="6">
        <f t="shared" si="14"/>
        <v>13783.999999999998</v>
      </c>
      <c r="BV46" s="6">
        <f t="shared" si="14"/>
        <v>13783.999999999998</v>
      </c>
      <c r="BW46" s="6">
        <f t="shared" si="14"/>
        <v>15233</v>
      </c>
      <c r="BX46" s="6">
        <f t="shared" si="14"/>
        <v>15684.000000000002</v>
      </c>
      <c r="BY46" s="6">
        <f t="shared" si="14"/>
        <v>15637</v>
      </c>
      <c r="BZ46" s="6">
        <f t="shared" si="14"/>
        <v>13783.999999999998</v>
      </c>
      <c r="CA46" s="6">
        <f t="shared" si="14"/>
        <v>13783.999999999998</v>
      </c>
      <c r="CB46" s="6">
        <f t="shared" si="15"/>
        <v>13783.999999999998</v>
      </c>
      <c r="CC46" s="6">
        <f t="shared" si="15"/>
        <v>14357</v>
      </c>
      <c r="CD46" s="6">
        <f t="shared" si="15"/>
        <v>13850.000000000002</v>
      </c>
      <c r="CE46" s="6">
        <f t="shared" si="15"/>
        <v>14337</v>
      </c>
      <c r="CF46" s="6">
        <f t="shared" si="15"/>
        <v>14447</v>
      </c>
      <c r="CG46" s="6">
        <f t="shared" si="15"/>
        <v>15101</v>
      </c>
      <c r="CH46" s="6">
        <f t="shared" si="15"/>
        <v>14298.000000000002</v>
      </c>
      <c r="CI46" s="6">
        <f t="shared" si="15"/>
        <v>15145</v>
      </c>
      <c r="CJ46" s="6">
        <f t="shared" si="15"/>
        <v>15457</v>
      </c>
      <c r="CK46" s="6">
        <f t="shared" si="15"/>
        <v>15346</v>
      </c>
      <c r="CM46" s="5" t="str">
        <f t="shared" si="16"/>
        <v>Gas CT</v>
      </c>
      <c r="CN46" s="7">
        <f t="shared" si="17"/>
        <v>8.8140000000000001</v>
      </c>
      <c r="CO46" s="7">
        <f t="shared" si="17"/>
        <v>8.734</v>
      </c>
      <c r="CP46" s="7">
        <f t="shared" si="17"/>
        <v>8.734</v>
      </c>
      <c r="CQ46" s="7">
        <f t="shared" si="17"/>
        <v>9.072000000000001</v>
      </c>
      <c r="CR46" s="7">
        <f t="shared" si="17"/>
        <v>9.4649999999999999</v>
      </c>
      <c r="CS46" s="7">
        <f t="shared" si="17"/>
        <v>6.8439999999999994</v>
      </c>
      <c r="CT46" s="7">
        <f t="shared" si="17"/>
        <v>6.8439999999999994</v>
      </c>
      <c r="CU46" s="7">
        <f t="shared" si="17"/>
        <v>6.8330000000000002</v>
      </c>
      <c r="CV46" s="7">
        <f t="shared" si="17"/>
        <v>6.8330000000000002</v>
      </c>
      <c r="CW46" s="7">
        <f t="shared" si="17"/>
        <v>6.8330000000000002</v>
      </c>
      <c r="CX46" s="7">
        <f t="shared" si="17"/>
        <v>6.8330000000000002</v>
      </c>
      <c r="CY46" s="7">
        <f t="shared" si="17"/>
        <v>7.838000000000001</v>
      </c>
      <c r="CZ46" s="7">
        <f t="shared" si="17"/>
        <v>8.157</v>
      </c>
      <c r="DA46" s="7">
        <f t="shared" si="17"/>
        <v>8.1240000000000006</v>
      </c>
      <c r="DB46" s="7">
        <f t="shared" si="17"/>
        <v>6.8330000000000002</v>
      </c>
      <c r="DC46" s="7">
        <f t="shared" si="17"/>
        <v>6.8330000000000002</v>
      </c>
      <c r="DD46" s="7">
        <f t="shared" si="18"/>
        <v>6.8330000000000002</v>
      </c>
      <c r="DE46" s="7">
        <f t="shared" si="18"/>
        <v>7.23</v>
      </c>
      <c r="DF46" s="7">
        <f t="shared" si="18"/>
        <v>6.8789999999999996</v>
      </c>
      <c r="DG46" s="7">
        <f t="shared" si="18"/>
        <v>7.2160000000000011</v>
      </c>
      <c r="DH46" s="7">
        <f t="shared" si="18"/>
        <v>7.2919999999999998</v>
      </c>
      <c r="DI46" s="7">
        <f t="shared" si="18"/>
        <v>7.745000000000001</v>
      </c>
      <c r="DJ46" s="7">
        <f t="shared" si="18"/>
        <v>7.1890000000000001</v>
      </c>
      <c r="DK46" s="7">
        <f t="shared" si="18"/>
        <v>7.7759999999999998</v>
      </c>
      <c r="DL46" s="7">
        <f t="shared" si="18"/>
        <v>7.9969999999999999</v>
      </c>
      <c r="DM46" s="7">
        <f t="shared" si="18"/>
        <v>7.918000000000001</v>
      </c>
      <c r="DO46" s="5" t="str">
        <f>$G46</f>
        <v>Gas CT</v>
      </c>
      <c r="DP46" s="8">
        <f t="shared" si="19"/>
        <v>0.38944776630582512</v>
      </c>
      <c r="DQ46" s="8">
        <f t="shared" si="19"/>
        <v>0.39147129227132582</v>
      </c>
      <c r="DR46" s="8">
        <f t="shared" si="19"/>
        <v>0.39147129227132582</v>
      </c>
      <c r="DS46" s="8">
        <f t="shared" si="19"/>
        <v>0.38961787029526129</v>
      </c>
      <c r="DT46" s="8">
        <f t="shared" si="19"/>
        <v>0.37680320292459007</v>
      </c>
      <c r="DU46" s="8">
        <f t="shared" si="19"/>
        <v>0.29847833386992362</v>
      </c>
      <c r="DV46" s="8">
        <f t="shared" si="19"/>
        <v>0.29847833386992362</v>
      </c>
      <c r="DW46" s="8">
        <f t="shared" si="19"/>
        <v>0.30196046473520621</v>
      </c>
      <c r="DX46" s="8">
        <f t="shared" si="19"/>
        <v>0.30196046473520621</v>
      </c>
      <c r="DY46" s="8">
        <f t="shared" si="19"/>
        <v>0.30196046473520621</v>
      </c>
      <c r="DZ46" s="8">
        <f t="shared" si="20"/>
        <v>0.30196046473520621</v>
      </c>
      <c r="EA46" s="8">
        <f t="shared" si="20"/>
        <v>0.33370311660703694</v>
      </c>
      <c r="EB46" s="8">
        <f t="shared" si="20"/>
        <v>0.34358298961890421</v>
      </c>
      <c r="EC46" s="8">
        <f t="shared" si="20"/>
        <v>0.34255337979283373</v>
      </c>
      <c r="ED46" s="8">
        <f t="shared" si="20"/>
        <v>0.30196046473520621</v>
      </c>
      <c r="EE46" s="8">
        <f t="shared" si="20"/>
        <v>0.30196046473520621</v>
      </c>
      <c r="EF46" s="8">
        <f t="shared" si="20"/>
        <v>0.30196046473520621</v>
      </c>
      <c r="EG46" s="8">
        <f t="shared" si="20"/>
        <v>0.3145129419764478</v>
      </c>
      <c r="EH46" s="8">
        <f t="shared" si="20"/>
        <v>0.30340629981011369</v>
      </c>
      <c r="EI46" s="8">
        <f t="shared" si="20"/>
        <v>0.31407481013556676</v>
      </c>
      <c r="EJ46" s="8">
        <f t="shared" si="20"/>
        <v>0.31648453526041243</v>
      </c>
      <c r="EK46" s="8">
        <f t="shared" si="20"/>
        <v>0.33081144645722216</v>
      </c>
      <c r="EL46" s="8">
        <f t="shared" si="20"/>
        <v>0.31322045304584878</v>
      </c>
      <c r="EM46" s="8">
        <f t="shared" si="20"/>
        <v>0.3317753365071604</v>
      </c>
      <c r="EN46" s="8">
        <f t="shared" si="20"/>
        <v>0.33861019322490449</v>
      </c>
      <c r="EO46" s="8">
        <f t="shared" si="20"/>
        <v>0.33617856150801473</v>
      </c>
      <c r="ET46" s="5" t="s">
        <v>20</v>
      </c>
      <c r="EU46" s="5" t="s">
        <v>21</v>
      </c>
      <c r="EV46" s="6">
        <f t="shared" si="23"/>
        <v>3584.02</v>
      </c>
      <c r="EW46" s="6">
        <f t="shared" si="23"/>
        <v>3481.9459999999999</v>
      </c>
      <c r="EX46" s="6">
        <f t="shared" si="23"/>
        <v>3245.0169999999998</v>
      </c>
      <c r="EY46" s="6">
        <f t="shared" si="23"/>
        <v>3148.6529999999998</v>
      </c>
      <c r="EZ46" s="6">
        <f t="shared" si="23"/>
        <v>3125.3910000000001</v>
      </c>
      <c r="FA46" s="6">
        <f t="shared" si="23"/>
        <v>2568.942</v>
      </c>
      <c r="FB46" s="6">
        <f t="shared" si="23"/>
        <v>2617.645</v>
      </c>
      <c r="FC46" s="6">
        <f t="shared" si="23"/>
        <v>2754.0340000000001</v>
      </c>
      <c r="FD46" s="6">
        <f t="shared" si="23"/>
        <v>2836.846</v>
      </c>
      <c r="FE46" s="6">
        <f t="shared" si="23"/>
        <v>2870.3029999999999</v>
      </c>
      <c r="FF46" s="6">
        <f t="shared" si="24"/>
        <v>2861.4</v>
      </c>
      <c r="FG46" s="6">
        <f t="shared" si="24"/>
        <v>3004.7950000000001</v>
      </c>
      <c r="FH46" s="6">
        <f t="shared" si="24"/>
        <v>2991.875</v>
      </c>
      <c r="FI46" s="6">
        <f t="shared" si="24"/>
        <v>2964.3879999999999</v>
      </c>
      <c r="FJ46" s="6">
        <f t="shared" si="24"/>
        <v>2896.4459999999999</v>
      </c>
      <c r="FK46" s="6">
        <f t="shared" si="24"/>
        <v>2938.982</v>
      </c>
      <c r="FL46" s="6">
        <f t="shared" si="24"/>
        <v>2955.136</v>
      </c>
      <c r="FM46" s="6">
        <f t="shared" si="24"/>
        <v>3032.9789999999998</v>
      </c>
      <c r="FN46" s="6">
        <f t="shared" si="24"/>
        <v>3037.6210000000001</v>
      </c>
      <c r="FO46" s="6">
        <f t="shared" si="24"/>
        <v>3070.2849999999999</v>
      </c>
      <c r="FP46" s="6">
        <f t="shared" si="24"/>
        <v>3074.8339999999998</v>
      </c>
      <c r="FQ46" s="6">
        <f t="shared" si="24"/>
        <v>3100.9319999999998</v>
      </c>
      <c r="FR46" s="6">
        <f t="shared" si="24"/>
        <v>3122.6619999999998</v>
      </c>
      <c r="FS46" s="6">
        <f t="shared" si="24"/>
        <v>3154.4290000000001</v>
      </c>
      <c r="FT46" s="6">
        <f t="shared" si="24"/>
        <v>3146.7829999999999</v>
      </c>
      <c r="FU46" s="6">
        <f t="shared" si="24"/>
        <v>3117.4160000000002</v>
      </c>
    </row>
    <row r="47" spans="7:201" ht="16" x14ac:dyDescent="0.2">
      <c r="G47" s="5" t="s">
        <v>4</v>
      </c>
      <c r="H47" s="6">
        <f t="shared" si="8"/>
        <v>0</v>
      </c>
      <c r="I47" s="6">
        <f t="shared" si="8"/>
        <v>0</v>
      </c>
      <c r="J47" s="6">
        <f t="shared" si="8"/>
        <v>0</v>
      </c>
      <c r="K47" s="6">
        <f t="shared" si="8"/>
        <v>0</v>
      </c>
      <c r="L47" s="6">
        <f t="shared" si="8"/>
        <v>0</v>
      </c>
      <c r="M47" s="6">
        <f t="shared" si="8"/>
        <v>0</v>
      </c>
      <c r="N47" s="6">
        <f t="shared" si="8"/>
        <v>0</v>
      </c>
      <c r="O47" s="6">
        <f t="shared" si="8"/>
        <v>0</v>
      </c>
      <c r="P47" s="6">
        <f t="shared" si="8"/>
        <v>0</v>
      </c>
      <c r="Q47" s="6">
        <f t="shared" si="8"/>
        <v>0</v>
      </c>
      <c r="R47" s="6">
        <f t="shared" si="9"/>
        <v>0</v>
      </c>
      <c r="S47" s="6">
        <f t="shared" si="9"/>
        <v>0</v>
      </c>
      <c r="T47" s="6">
        <f t="shared" si="9"/>
        <v>0</v>
      </c>
      <c r="U47" s="6">
        <f t="shared" si="9"/>
        <v>0</v>
      </c>
      <c r="V47" s="6">
        <f t="shared" si="9"/>
        <v>0</v>
      </c>
      <c r="W47" s="6">
        <f t="shared" si="9"/>
        <v>0</v>
      </c>
      <c r="X47" s="6">
        <f t="shared" si="9"/>
        <v>0</v>
      </c>
      <c r="Y47" s="6">
        <f t="shared" si="9"/>
        <v>0</v>
      </c>
      <c r="Z47" s="6">
        <f t="shared" si="9"/>
        <v>0</v>
      </c>
      <c r="AA47" s="6">
        <f t="shared" si="9"/>
        <v>0</v>
      </c>
      <c r="AB47" s="6">
        <f t="shared" si="9"/>
        <v>0</v>
      </c>
      <c r="AC47" s="6">
        <f t="shared" si="9"/>
        <v>0</v>
      </c>
      <c r="AD47" s="6">
        <f t="shared" si="9"/>
        <v>0</v>
      </c>
      <c r="AE47" s="6">
        <f t="shared" si="9"/>
        <v>0</v>
      </c>
      <c r="AF47" s="6">
        <f t="shared" si="9"/>
        <v>0</v>
      </c>
      <c r="AG47" s="6">
        <f t="shared" si="9"/>
        <v>0</v>
      </c>
      <c r="AI47" s="5" t="str">
        <f t="shared" si="10"/>
        <v>Nuclear</v>
      </c>
      <c r="AJ47" s="28">
        <f t="shared" si="11"/>
        <v>0</v>
      </c>
      <c r="AK47" s="28">
        <f t="shared" si="11"/>
        <v>0</v>
      </c>
      <c r="AL47" s="28">
        <f t="shared" si="11"/>
        <v>0</v>
      </c>
      <c r="AM47" s="28">
        <f t="shared" si="11"/>
        <v>0</v>
      </c>
      <c r="AN47" s="28">
        <f t="shared" si="11"/>
        <v>0</v>
      </c>
      <c r="AO47" s="28">
        <f t="shared" si="11"/>
        <v>0</v>
      </c>
      <c r="AP47" s="28">
        <f t="shared" si="11"/>
        <v>0</v>
      </c>
      <c r="AQ47" s="28">
        <f t="shared" si="11"/>
        <v>0</v>
      </c>
      <c r="AR47" s="28">
        <f t="shared" si="11"/>
        <v>0</v>
      </c>
      <c r="AS47" s="28">
        <f t="shared" si="11"/>
        <v>0</v>
      </c>
      <c r="AT47" s="28">
        <f t="shared" si="11"/>
        <v>0</v>
      </c>
      <c r="AU47" s="28">
        <f t="shared" si="11"/>
        <v>0</v>
      </c>
      <c r="AV47" s="28">
        <f t="shared" si="11"/>
        <v>0</v>
      </c>
      <c r="AW47" s="28">
        <f t="shared" si="11"/>
        <v>0</v>
      </c>
      <c r="AX47" s="28">
        <f t="shared" si="11"/>
        <v>0</v>
      </c>
      <c r="AY47" s="28">
        <f t="shared" si="11"/>
        <v>0</v>
      </c>
      <c r="AZ47" s="28">
        <f t="shared" si="12"/>
        <v>0</v>
      </c>
      <c r="BA47" s="28">
        <f t="shared" si="12"/>
        <v>0</v>
      </c>
      <c r="BB47" s="28">
        <f t="shared" si="12"/>
        <v>0</v>
      </c>
      <c r="BC47" s="28">
        <f t="shared" si="12"/>
        <v>0</v>
      </c>
      <c r="BD47" s="28">
        <f t="shared" si="12"/>
        <v>0</v>
      </c>
      <c r="BE47" s="28">
        <f t="shared" si="12"/>
        <v>0</v>
      </c>
      <c r="BF47" s="28">
        <f t="shared" si="12"/>
        <v>0</v>
      </c>
      <c r="BG47" s="28">
        <f t="shared" si="12"/>
        <v>0</v>
      </c>
      <c r="BH47" s="28">
        <f t="shared" si="12"/>
        <v>0</v>
      </c>
      <c r="BI47" s="28">
        <f t="shared" si="12"/>
        <v>0</v>
      </c>
      <c r="BK47" s="5" t="str">
        <f t="shared" si="13"/>
        <v>Nuclear</v>
      </c>
      <c r="BL47" s="6">
        <f t="shared" si="14"/>
        <v>0</v>
      </c>
      <c r="BM47" s="6">
        <f t="shared" si="14"/>
        <v>0</v>
      </c>
      <c r="BN47" s="6">
        <f t="shared" si="14"/>
        <v>0</v>
      </c>
      <c r="BO47" s="6">
        <f t="shared" si="14"/>
        <v>0</v>
      </c>
      <c r="BP47" s="6">
        <f t="shared" si="14"/>
        <v>0</v>
      </c>
      <c r="BQ47" s="6">
        <f t="shared" si="14"/>
        <v>0</v>
      </c>
      <c r="BR47" s="6">
        <f t="shared" si="14"/>
        <v>0</v>
      </c>
      <c r="BS47" s="6">
        <f t="shared" si="14"/>
        <v>0</v>
      </c>
      <c r="BT47" s="6">
        <f t="shared" si="14"/>
        <v>0</v>
      </c>
      <c r="BU47" s="6">
        <f t="shared" si="14"/>
        <v>0</v>
      </c>
      <c r="BV47" s="6">
        <f t="shared" si="14"/>
        <v>0</v>
      </c>
      <c r="BW47" s="6">
        <f t="shared" si="14"/>
        <v>0</v>
      </c>
      <c r="BX47" s="6">
        <f t="shared" si="14"/>
        <v>0</v>
      </c>
      <c r="BY47" s="6">
        <f t="shared" si="14"/>
        <v>0</v>
      </c>
      <c r="BZ47" s="6">
        <f t="shared" si="14"/>
        <v>0</v>
      </c>
      <c r="CA47" s="6">
        <f t="shared" si="14"/>
        <v>0</v>
      </c>
      <c r="CB47" s="6">
        <f t="shared" si="15"/>
        <v>0</v>
      </c>
      <c r="CC47" s="6">
        <f t="shared" si="15"/>
        <v>0</v>
      </c>
      <c r="CD47" s="6">
        <f t="shared" si="15"/>
        <v>0</v>
      </c>
      <c r="CE47" s="6">
        <f t="shared" si="15"/>
        <v>0</v>
      </c>
      <c r="CF47" s="6">
        <f t="shared" si="15"/>
        <v>0</v>
      </c>
      <c r="CG47" s="6">
        <f t="shared" si="15"/>
        <v>0</v>
      </c>
      <c r="CH47" s="6">
        <f t="shared" si="15"/>
        <v>0</v>
      </c>
      <c r="CI47" s="6">
        <f t="shared" si="15"/>
        <v>0</v>
      </c>
      <c r="CJ47" s="6">
        <f t="shared" si="15"/>
        <v>0</v>
      </c>
      <c r="CK47" s="6">
        <f t="shared" si="15"/>
        <v>0</v>
      </c>
      <c r="CM47" s="5" t="str">
        <f t="shared" si="16"/>
        <v>Nuclear</v>
      </c>
      <c r="CN47" s="7">
        <f t="shared" si="17"/>
        <v>0</v>
      </c>
      <c r="CO47" s="7">
        <f t="shared" si="17"/>
        <v>0</v>
      </c>
      <c r="CP47" s="7">
        <f t="shared" si="17"/>
        <v>0</v>
      </c>
      <c r="CQ47" s="7">
        <f t="shared" si="17"/>
        <v>0</v>
      </c>
      <c r="CR47" s="7">
        <f t="shared" si="17"/>
        <v>0</v>
      </c>
      <c r="CS47" s="7">
        <f t="shared" si="17"/>
        <v>0</v>
      </c>
      <c r="CT47" s="7">
        <f t="shared" si="17"/>
        <v>0</v>
      </c>
      <c r="CU47" s="7">
        <f t="shared" si="17"/>
        <v>0</v>
      </c>
      <c r="CV47" s="7">
        <f t="shared" si="17"/>
        <v>0</v>
      </c>
      <c r="CW47" s="7">
        <f t="shared" si="17"/>
        <v>0</v>
      </c>
      <c r="CX47" s="7">
        <f t="shared" si="17"/>
        <v>0</v>
      </c>
      <c r="CY47" s="7">
        <f t="shared" si="17"/>
        <v>0</v>
      </c>
      <c r="CZ47" s="7">
        <f t="shared" si="17"/>
        <v>0</v>
      </c>
      <c r="DA47" s="7">
        <f t="shared" si="17"/>
        <v>0</v>
      </c>
      <c r="DB47" s="7">
        <f t="shared" si="17"/>
        <v>0</v>
      </c>
      <c r="DC47" s="7">
        <f t="shared" si="17"/>
        <v>0</v>
      </c>
      <c r="DD47" s="7">
        <f t="shared" si="18"/>
        <v>0</v>
      </c>
      <c r="DE47" s="7">
        <f t="shared" si="18"/>
        <v>0</v>
      </c>
      <c r="DF47" s="7">
        <f t="shared" si="18"/>
        <v>0</v>
      </c>
      <c r="DG47" s="7">
        <f t="shared" si="18"/>
        <v>0</v>
      </c>
      <c r="DH47" s="7">
        <f t="shared" si="18"/>
        <v>0</v>
      </c>
      <c r="DI47" s="7">
        <f t="shared" si="18"/>
        <v>0</v>
      </c>
      <c r="DJ47" s="7">
        <f t="shared" si="18"/>
        <v>0</v>
      </c>
      <c r="DK47" s="7">
        <f t="shared" si="18"/>
        <v>0</v>
      </c>
      <c r="DL47" s="7">
        <f t="shared" si="18"/>
        <v>0</v>
      </c>
      <c r="DM47" s="7">
        <f t="shared" si="18"/>
        <v>0</v>
      </c>
      <c r="DO47" s="5" t="s">
        <v>5</v>
      </c>
      <c r="DP47" s="8">
        <f t="shared" si="19"/>
        <v>0.7000681147354878</v>
      </c>
      <c r="DQ47" s="8">
        <f t="shared" si="19"/>
        <v>0.7000681147354878</v>
      </c>
      <c r="DR47" s="8">
        <f t="shared" si="19"/>
        <v>0.7000681147354878</v>
      </c>
      <c r="DS47" s="8">
        <f t="shared" si="19"/>
        <v>0.7000681147354878</v>
      </c>
      <c r="DT47" s="8">
        <f t="shared" si="19"/>
        <v>0.7000681147354878</v>
      </c>
      <c r="DU47" s="8">
        <f t="shared" si="19"/>
        <v>0.7000681147354878</v>
      </c>
      <c r="DV47" s="8">
        <f t="shared" si="19"/>
        <v>0.7000681147354878</v>
      </c>
      <c r="DW47" s="8">
        <f t="shared" si="19"/>
        <v>0.7000681147354878</v>
      </c>
      <c r="DX47" s="8">
        <f t="shared" si="19"/>
        <v>0.7000681147354878</v>
      </c>
      <c r="DY47" s="8">
        <f t="shared" si="19"/>
        <v>0.7000681147354878</v>
      </c>
      <c r="DZ47" s="8">
        <f t="shared" si="20"/>
        <v>0.7000681147354878</v>
      </c>
      <c r="EA47" s="8">
        <f t="shared" si="20"/>
        <v>0.7000681147354878</v>
      </c>
      <c r="EB47" s="8">
        <f t="shared" si="20"/>
        <v>0.7000681147354878</v>
      </c>
      <c r="EC47" s="8">
        <f t="shared" si="20"/>
        <v>0.7000681147354878</v>
      </c>
      <c r="ED47" s="8">
        <f t="shared" si="20"/>
        <v>0.7000681147354878</v>
      </c>
      <c r="EE47" s="8">
        <f t="shared" si="20"/>
        <v>0.7000681147354878</v>
      </c>
      <c r="EF47" s="8">
        <f t="shared" si="20"/>
        <v>0.7000681147354878</v>
      </c>
      <c r="EG47" s="8">
        <f t="shared" si="20"/>
        <v>0.7000681147354878</v>
      </c>
      <c r="EH47" s="8">
        <f t="shared" si="20"/>
        <v>0.7000681147354878</v>
      </c>
      <c r="EI47" s="8">
        <f t="shared" si="20"/>
        <v>0.7000681147354878</v>
      </c>
      <c r="EJ47" s="8">
        <f t="shared" si="20"/>
        <v>0.7000681147354878</v>
      </c>
      <c r="EK47" s="8">
        <f t="shared" si="20"/>
        <v>0.7000681147354878</v>
      </c>
      <c r="EL47" s="8">
        <f t="shared" si="20"/>
        <v>0.7000681147354878</v>
      </c>
      <c r="EM47" s="8">
        <f t="shared" si="20"/>
        <v>0.7000681147354878</v>
      </c>
      <c r="EN47" s="8">
        <f t="shared" si="20"/>
        <v>0.7000681147354878</v>
      </c>
      <c r="EO47" s="8">
        <f t="shared" si="20"/>
        <v>0.7000681147354878</v>
      </c>
      <c r="EV47" s="9">
        <f>SUM(EV43:EV46)</f>
        <v>4924.5613377999998</v>
      </c>
      <c r="EW47" s="9">
        <f t="shared" ref="EW47:FU47" si="25">SUM(EW43:EW46)</f>
        <v>4836.9441176971959</v>
      </c>
      <c r="EX47" s="9">
        <f t="shared" si="25"/>
        <v>4636.4663597551789</v>
      </c>
      <c r="EY47" s="9">
        <f t="shared" si="25"/>
        <v>4726.5433048193345</v>
      </c>
      <c r="EZ47" s="9">
        <f t="shared" si="25"/>
        <v>4791.0694867299708</v>
      </c>
      <c r="FA47" s="9">
        <f t="shared" si="25"/>
        <v>4388.6386103779587</v>
      </c>
      <c r="FB47" s="9">
        <f t="shared" si="25"/>
        <v>4551.206258015407</v>
      </c>
      <c r="FC47" s="9">
        <f t="shared" si="25"/>
        <v>4689.6863011881414</v>
      </c>
      <c r="FD47" s="9">
        <f t="shared" si="25"/>
        <v>4769.1803736340153</v>
      </c>
      <c r="FE47" s="9">
        <f t="shared" si="25"/>
        <v>4793.257708467816</v>
      </c>
      <c r="FF47" s="9">
        <f t="shared" si="25"/>
        <v>4850.6875236995475</v>
      </c>
      <c r="FG47" s="9">
        <f t="shared" si="25"/>
        <v>4886.9420738592553</v>
      </c>
      <c r="FH47" s="9">
        <f t="shared" si="25"/>
        <v>4871.7887333734834</v>
      </c>
      <c r="FI47" s="9">
        <f t="shared" si="25"/>
        <v>4840.0764712286591</v>
      </c>
      <c r="FJ47" s="9">
        <f t="shared" si="25"/>
        <v>4850.6979117452011</v>
      </c>
      <c r="FK47" s="9">
        <f t="shared" si="25"/>
        <v>4898.5224587940074</v>
      </c>
      <c r="FL47" s="9">
        <f t="shared" si="25"/>
        <v>4906.0140944144096</v>
      </c>
      <c r="FM47" s="9">
        <f t="shared" si="25"/>
        <v>4964.4848225512624</v>
      </c>
      <c r="FN47" s="9">
        <f t="shared" si="25"/>
        <v>4963.0176477605701</v>
      </c>
      <c r="FO47" s="9">
        <f t="shared" si="25"/>
        <v>4993.5485742402407</v>
      </c>
      <c r="FP47" s="9">
        <f t="shared" si="25"/>
        <v>4994.4526067320994</v>
      </c>
      <c r="FQ47" s="9">
        <f t="shared" si="25"/>
        <v>5019.0867496317496</v>
      </c>
      <c r="FR47" s="9">
        <f t="shared" si="25"/>
        <v>5033.5210088745389</v>
      </c>
      <c r="FS47" s="9">
        <f t="shared" si="25"/>
        <v>5064.5953898027319</v>
      </c>
      <c r="FT47" s="9">
        <f t="shared" si="25"/>
        <v>5054.1158987335148</v>
      </c>
      <c r="FU47" s="9">
        <f t="shared" si="25"/>
        <v>5020.2245413655728</v>
      </c>
    </row>
    <row r="48" spans="7:201" ht="16" x14ac:dyDescent="0.2">
      <c r="G48" s="5" t="s">
        <v>5</v>
      </c>
      <c r="H48" s="6">
        <f t="shared" si="8"/>
        <v>18.100000000000001</v>
      </c>
      <c r="I48" s="6">
        <f t="shared" si="8"/>
        <v>18.100000000000001</v>
      </c>
      <c r="J48" s="6">
        <f t="shared" si="8"/>
        <v>18.100000000000001</v>
      </c>
      <c r="K48" s="6">
        <f t="shared" si="8"/>
        <v>18.100000000000001</v>
      </c>
      <c r="L48" s="6">
        <f t="shared" si="8"/>
        <v>18.100000000000001</v>
      </c>
      <c r="M48" s="6">
        <f t="shared" si="8"/>
        <v>18.100000000000001</v>
      </c>
      <c r="N48" s="6">
        <f t="shared" si="8"/>
        <v>18.100000000000001</v>
      </c>
      <c r="O48" s="6">
        <f t="shared" si="8"/>
        <v>18.100000000000001</v>
      </c>
      <c r="P48" s="6">
        <f t="shared" si="8"/>
        <v>18.100000000000001</v>
      </c>
      <c r="Q48" s="6">
        <f t="shared" si="8"/>
        <v>18.100000000000001</v>
      </c>
      <c r="R48" s="6">
        <f t="shared" si="9"/>
        <v>18.100000000000001</v>
      </c>
      <c r="S48" s="6">
        <f t="shared" si="9"/>
        <v>18.100000000000001</v>
      </c>
      <c r="T48" s="6">
        <f t="shared" si="9"/>
        <v>18.100000000000001</v>
      </c>
      <c r="U48" s="6">
        <f t="shared" si="9"/>
        <v>18.100000000000001</v>
      </c>
      <c r="V48" s="6">
        <f t="shared" si="9"/>
        <v>18.100000000000001</v>
      </c>
      <c r="W48" s="6">
        <f t="shared" si="9"/>
        <v>18.100000000000001</v>
      </c>
      <c r="X48" s="6">
        <f t="shared" si="9"/>
        <v>18.100000000000001</v>
      </c>
      <c r="Y48" s="6">
        <f t="shared" si="9"/>
        <v>18.100000000000001</v>
      </c>
      <c r="Z48" s="6">
        <f t="shared" si="9"/>
        <v>18.100000000000001</v>
      </c>
      <c r="AA48" s="6">
        <f t="shared" si="9"/>
        <v>18.100000000000001</v>
      </c>
      <c r="AB48" s="6">
        <f t="shared" si="9"/>
        <v>18.100000000000001</v>
      </c>
      <c r="AC48" s="6">
        <f t="shared" si="9"/>
        <v>18.100000000000001</v>
      </c>
      <c r="AD48" s="6">
        <f t="shared" si="9"/>
        <v>18.100000000000001</v>
      </c>
      <c r="AE48" s="6">
        <f t="shared" si="9"/>
        <v>18.100000000000001</v>
      </c>
      <c r="AF48" s="6">
        <f t="shared" si="9"/>
        <v>18.100000000000001</v>
      </c>
      <c r="AG48" s="6">
        <f t="shared" si="9"/>
        <v>18.100000000000001</v>
      </c>
      <c r="AI48" s="5" t="str">
        <f t="shared" si="10"/>
        <v>Biogas</v>
      </c>
      <c r="AJ48" s="28">
        <f t="shared" si="11"/>
        <v>0</v>
      </c>
      <c r="AK48" s="28">
        <f t="shared" si="11"/>
        <v>0</v>
      </c>
      <c r="AL48" s="28">
        <f t="shared" si="11"/>
        <v>0</v>
      </c>
      <c r="AM48" s="28">
        <f t="shared" si="11"/>
        <v>0</v>
      </c>
      <c r="AN48" s="28">
        <f t="shared" si="11"/>
        <v>0</v>
      </c>
      <c r="AO48" s="28">
        <f t="shared" si="11"/>
        <v>0</v>
      </c>
      <c r="AP48" s="28">
        <f t="shared" si="11"/>
        <v>0</v>
      </c>
      <c r="AQ48" s="28">
        <f t="shared" si="11"/>
        <v>0</v>
      </c>
      <c r="AR48" s="28">
        <f t="shared" si="11"/>
        <v>0</v>
      </c>
      <c r="AS48" s="28">
        <f t="shared" si="11"/>
        <v>0</v>
      </c>
      <c r="AT48" s="28">
        <f t="shared" si="11"/>
        <v>0</v>
      </c>
      <c r="AU48" s="28">
        <f t="shared" si="11"/>
        <v>0</v>
      </c>
      <c r="AV48" s="28">
        <f t="shared" si="11"/>
        <v>0</v>
      </c>
      <c r="AW48" s="28">
        <f t="shared" si="11"/>
        <v>0</v>
      </c>
      <c r="AX48" s="28">
        <f t="shared" si="11"/>
        <v>0</v>
      </c>
      <c r="AY48" s="28">
        <f t="shared" si="11"/>
        <v>0</v>
      </c>
      <c r="AZ48" s="28">
        <f t="shared" si="12"/>
        <v>0</v>
      </c>
      <c r="BA48" s="28">
        <f t="shared" si="12"/>
        <v>0</v>
      </c>
      <c r="BB48" s="28">
        <f t="shared" si="12"/>
        <v>0</v>
      </c>
      <c r="BC48" s="28">
        <f t="shared" si="12"/>
        <v>0</v>
      </c>
      <c r="BD48" s="28">
        <f t="shared" si="12"/>
        <v>0</v>
      </c>
      <c r="BE48" s="28">
        <f t="shared" si="12"/>
        <v>0</v>
      </c>
      <c r="BF48" s="28">
        <f t="shared" si="12"/>
        <v>0</v>
      </c>
      <c r="BG48" s="28">
        <f t="shared" si="12"/>
        <v>0</v>
      </c>
      <c r="BH48" s="28">
        <f t="shared" si="12"/>
        <v>0</v>
      </c>
      <c r="BI48" s="28">
        <f t="shared" si="12"/>
        <v>0</v>
      </c>
      <c r="BK48" s="5" t="str">
        <f t="shared" si="13"/>
        <v>Biogas</v>
      </c>
      <c r="BL48" s="6">
        <f t="shared" si="14"/>
        <v>111</v>
      </c>
      <c r="BM48" s="6">
        <f t="shared" si="14"/>
        <v>111</v>
      </c>
      <c r="BN48" s="6">
        <f t="shared" si="14"/>
        <v>111</v>
      </c>
      <c r="BO48" s="6">
        <f t="shared" si="14"/>
        <v>111</v>
      </c>
      <c r="BP48" s="6">
        <f t="shared" si="14"/>
        <v>111</v>
      </c>
      <c r="BQ48" s="6">
        <f t="shared" si="14"/>
        <v>111</v>
      </c>
      <c r="BR48" s="6">
        <f t="shared" si="14"/>
        <v>111</v>
      </c>
      <c r="BS48" s="6">
        <f t="shared" si="14"/>
        <v>111</v>
      </c>
      <c r="BT48" s="6">
        <f t="shared" si="14"/>
        <v>111</v>
      </c>
      <c r="BU48" s="6">
        <f t="shared" si="14"/>
        <v>111</v>
      </c>
      <c r="BV48" s="6">
        <f t="shared" si="14"/>
        <v>111</v>
      </c>
      <c r="BW48" s="6">
        <f t="shared" si="14"/>
        <v>111</v>
      </c>
      <c r="BX48" s="6">
        <f t="shared" si="14"/>
        <v>111</v>
      </c>
      <c r="BY48" s="6">
        <f t="shared" si="14"/>
        <v>111</v>
      </c>
      <c r="BZ48" s="6">
        <f t="shared" si="14"/>
        <v>111</v>
      </c>
      <c r="CA48" s="6">
        <f t="shared" si="14"/>
        <v>111</v>
      </c>
      <c r="CB48" s="6">
        <f t="shared" si="15"/>
        <v>111</v>
      </c>
      <c r="CC48" s="6">
        <f t="shared" si="15"/>
        <v>111</v>
      </c>
      <c r="CD48" s="6">
        <f t="shared" si="15"/>
        <v>111</v>
      </c>
      <c r="CE48" s="6">
        <f t="shared" si="15"/>
        <v>111</v>
      </c>
      <c r="CF48" s="6">
        <f t="shared" si="15"/>
        <v>111</v>
      </c>
      <c r="CG48" s="6">
        <f t="shared" si="15"/>
        <v>111</v>
      </c>
      <c r="CH48" s="6">
        <f t="shared" si="15"/>
        <v>111</v>
      </c>
      <c r="CI48" s="6">
        <f t="shared" si="15"/>
        <v>111</v>
      </c>
      <c r="CJ48" s="6">
        <f t="shared" si="15"/>
        <v>111</v>
      </c>
      <c r="CK48" s="6">
        <f t="shared" si="15"/>
        <v>111</v>
      </c>
      <c r="CM48" s="5" t="str">
        <f t="shared" si="16"/>
        <v>Biogas</v>
      </c>
      <c r="CN48" s="7">
        <f t="shared" si="17"/>
        <v>0</v>
      </c>
      <c r="CO48" s="7">
        <f t="shared" si="17"/>
        <v>0</v>
      </c>
      <c r="CP48" s="7">
        <f t="shared" si="17"/>
        <v>0</v>
      </c>
      <c r="CQ48" s="7">
        <f t="shared" si="17"/>
        <v>0</v>
      </c>
      <c r="CR48" s="7">
        <f t="shared" si="17"/>
        <v>0</v>
      </c>
      <c r="CS48" s="7">
        <f t="shared" si="17"/>
        <v>0</v>
      </c>
      <c r="CT48" s="7">
        <f t="shared" si="17"/>
        <v>0</v>
      </c>
      <c r="CU48" s="7">
        <f t="shared" si="17"/>
        <v>0</v>
      </c>
      <c r="CV48" s="7">
        <f t="shared" si="17"/>
        <v>0</v>
      </c>
      <c r="CW48" s="7">
        <f t="shared" si="17"/>
        <v>0</v>
      </c>
      <c r="CX48" s="7">
        <f t="shared" si="17"/>
        <v>0</v>
      </c>
      <c r="CY48" s="7">
        <f t="shared" si="17"/>
        <v>0</v>
      </c>
      <c r="CZ48" s="7">
        <f t="shared" si="17"/>
        <v>0</v>
      </c>
      <c r="DA48" s="7">
        <f t="shared" si="17"/>
        <v>0</v>
      </c>
      <c r="DB48" s="7">
        <f t="shared" si="17"/>
        <v>0</v>
      </c>
      <c r="DC48" s="7">
        <f t="shared" si="17"/>
        <v>0</v>
      </c>
      <c r="DD48" s="7">
        <f t="shared" si="18"/>
        <v>0</v>
      </c>
      <c r="DE48" s="7">
        <f t="shared" si="18"/>
        <v>0</v>
      </c>
      <c r="DF48" s="7">
        <f t="shared" si="18"/>
        <v>0</v>
      </c>
      <c r="DG48" s="7">
        <f t="shared" si="18"/>
        <v>0</v>
      </c>
      <c r="DH48" s="7">
        <f t="shared" si="18"/>
        <v>0</v>
      </c>
      <c r="DI48" s="7">
        <f t="shared" si="18"/>
        <v>0</v>
      </c>
      <c r="DJ48" s="7">
        <f t="shared" si="18"/>
        <v>0</v>
      </c>
      <c r="DK48" s="7">
        <f t="shared" si="18"/>
        <v>0</v>
      </c>
      <c r="DL48" s="7">
        <f t="shared" si="18"/>
        <v>0</v>
      </c>
      <c r="DM48" s="7">
        <f t="shared" si="18"/>
        <v>0</v>
      </c>
      <c r="DO48" s="5" t="s">
        <v>6</v>
      </c>
      <c r="DP48" s="8">
        <f t="shared" si="19"/>
        <v>0.49999147741799854</v>
      </c>
      <c r="DQ48" s="8">
        <f t="shared" si="19"/>
        <v>0.49999147741799854</v>
      </c>
      <c r="DR48" s="8">
        <f t="shared" si="19"/>
        <v>0.49999147741799854</v>
      </c>
      <c r="DS48" s="8">
        <f t="shared" si="19"/>
        <v>0.49999147741799854</v>
      </c>
      <c r="DT48" s="8">
        <f t="shared" si="19"/>
        <v>0.49999147741799854</v>
      </c>
      <c r="DU48" s="8">
        <f t="shared" si="19"/>
        <v>0.49999147741799854</v>
      </c>
      <c r="DV48" s="8">
        <f t="shared" si="19"/>
        <v>0.49999147741799854</v>
      </c>
      <c r="DW48" s="8">
        <f t="shared" si="19"/>
        <v>0.49999147741799854</v>
      </c>
      <c r="DX48" s="8">
        <f t="shared" si="19"/>
        <v>0.49999147741799854</v>
      </c>
      <c r="DY48" s="8">
        <f t="shared" si="19"/>
        <v>0.49999147741799854</v>
      </c>
      <c r="DZ48" s="8">
        <f t="shared" si="20"/>
        <v>0.49999147741799854</v>
      </c>
      <c r="EA48" s="8">
        <f t="shared" si="20"/>
        <v>0.49999147741799854</v>
      </c>
      <c r="EB48" s="8">
        <f t="shared" si="20"/>
        <v>0.49999147741799854</v>
      </c>
      <c r="EC48" s="8">
        <f t="shared" si="20"/>
        <v>0.49999147741799854</v>
      </c>
      <c r="ED48" s="8">
        <f t="shared" si="20"/>
        <v>0.49999147741799854</v>
      </c>
      <c r="EE48" s="8">
        <f t="shared" si="20"/>
        <v>0.49999147741799854</v>
      </c>
      <c r="EF48" s="8">
        <f t="shared" si="20"/>
        <v>0.49999147741799854</v>
      </c>
      <c r="EG48" s="8">
        <f t="shared" si="20"/>
        <v>0.49999147741799854</v>
      </c>
      <c r="EH48" s="8">
        <f t="shared" si="20"/>
        <v>0.49999147741799854</v>
      </c>
      <c r="EI48" s="8">
        <f t="shared" si="20"/>
        <v>0.49999147741799854</v>
      </c>
      <c r="EJ48" s="8">
        <f t="shared" si="20"/>
        <v>0.49999147741799854</v>
      </c>
      <c r="EK48" s="8">
        <f t="shared" si="20"/>
        <v>0.49999147741799854</v>
      </c>
      <c r="EL48" s="8">
        <f t="shared" si="20"/>
        <v>0.49999147741799854</v>
      </c>
      <c r="EM48" s="8">
        <f t="shared" si="20"/>
        <v>0.49999147741799854</v>
      </c>
      <c r="EN48" s="8">
        <f t="shared" si="20"/>
        <v>0.49999147741799854</v>
      </c>
      <c r="EO48" s="8">
        <f t="shared" si="20"/>
        <v>0.49999147741799854</v>
      </c>
      <c r="ET48" s="2" t="s">
        <v>22</v>
      </c>
      <c r="EV48" s="10">
        <f t="shared" ref="EV48:FU48" si="26">SUM(EV43:EV46)/SUM(BL43:BL55)*1000</f>
        <v>79.103065421251316</v>
      </c>
      <c r="EW48" s="10">
        <f t="shared" si="26"/>
        <v>77.559876173709128</v>
      </c>
      <c r="EX48" s="10">
        <f t="shared" si="26"/>
        <v>74.007028998949366</v>
      </c>
      <c r="EY48" s="10">
        <f t="shared" si="26"/>
        <v>74.900851052537632</v>
      </c>
      <c r="EZ48" s="10">
        <f t="shared" si="26"/>
        <v>74.651669342463592</v>
      </c>
      <c r="FA48" s="10">
        <f t="shared" si="26"/>
        <v>65.806546864266892</v>
      </c>
      <c r="FB48" s="10">
        <f t="shared" si="26"/>
        <v>66.052367212101174</v>
      </c>
      <c r="FC48" s="10">
        <f t="shared" si="26"/>
        <v>67.272296034945796</v>
      </c>
      <c r="FD48" s="10">
        <f t="shared" si="26"/>
        <v>68.454841803872824</v>
      </c>
      <c r="FE48" s="10">
        <f t="shared" si="26"/>
        <v>68.923110338166879</v>
      </c>
      <c r="FF48" s="10">
        <f t="shared" si="26"/>
        <v>69.33812947524261</v>
      </c>
      <c r="FG48" s="10">
        <f t="shared" si="26"/>
        <v>70.098860702277207</v>
      </c>
      <c r="FH48" s="10">
        <f t="shared" si="26"/>
        <v>69.450144457054847</v>
      </c>
      <c r="FI48" s="10">
        <f t="shared" si="26"/>
        <v>69.020698341941667</v>
      </c>
      <c r="FJ48" s="10">
        <f t="shared" si="26"/>
        <v>68.583396888673363</v>
      </c>
      <c r="FK48" s="10">
        <f t="shared" si="26"/>
        <v>68.504096924692789</v>
      </c>
      <c r="FL48" s="10">
        <f t="shared" si="26"/>
        <v>69.086140487156015</v>
      </c>
      <c r="FM48" s="10">
        <f t="shared" si="26"/>
        <v>69.252232936951771</v>
      </c>
      <c r="FN48" s="10">
        <f t="shared" si="26"/>
        <v>69.640749414314953</v>
      </c>
      <c r="FO48" s="10">
        <f t="shared" si="26"/>
        <v>69.544155955660429</v>
      </c>
      <c r="FP48" s="10">
        <f t="shared" si="26"/>
        <v>69.48610274123989</v>
      </c>
      <c r="FQ48" s="10">
        <f t="shared" si="26"/>
        <v>69.211599184088769</v>
      </c>
      <c r="FR48" s="10">
        <f t="shared" si="26"/>
        <v>70.14773689830173</v>
      </c>
      <c r="FS48" s="10">
        <f t="shared" si="26"/>
        <v>69.860342498934173</v>
      </c>
      <c r="FT48" s="10">
        <f t="shared" si="26"/>
        <v>69.531640693560348</v>
      </c>
      <c r="FU48" s="10">
        <f t="shared" si="26"/>
        <v>68.993245854620042</v>
      </c>
    </row>
    <row r="49" spans="7:152" ht="16" x14ac:dyDescent="0.2">
      <c r="G49" s="5" t="s">
        <v>6</v>
      </c>
      <c r="H49" s="6">
        <f t="shared" si="8"/>
        <v>482.2</v>
      </c>
      <c r="I49" s="6">
        <f t="shared" si="8"/>
        <v>482.2</v>
      </c>
      <c r="J49" s="6">
        <f t="shared" si="8"/>
        <v>482.2</v>
      </c>
      <c r="K49" s="6">
        <f t="shared" si="8"/>
        <v>482.2</v>
      </c>
      <c r="L49" s="6">
        <f t="shared" si="8"/>
        <v>482.2</v>
      </c>
      <c r="M49" s="6">
        <f t="shared" si="8"/>
        <v>482.2</v>
      </c>
      <c r="N49" s="6">
        <f t="shared" si="8"/>
        <v>482.2</v>
      </c>
      <c r="O49" s="6">
        <f t="shared" si="8"/>
        <v>482.2</v>
      </c>
      <c r="P49" s="6">
        <f t="shared" si="8"/>
        <v>482.2</v>
      </c>
      <c r="Q49" s="6">
        <f t="shared" si="8"/>
        <v>482.2</v>
      </c>
      <c r="R49" s="6">
        <f t="shared" si="9"/>
        <v>482.2</v>
      </c>
      <c r="S49" s="6">
        <f t="shared" si="9"/>
        <v>482.2</v>
      </c>
      <c r="T49" s="6">
        <f t="shared" si="9"/>
        <v>482.2</v>
      </c>
      <c r="U49" s="6">
        <f t="shared" si="9"/>
        <v>482.2</v>
      </c>
      <c r="V49" s="6">
        <f t="shared" si="9"/>
        <v>482.2</v>
      </c>
      <c r="W49" s="6">
        <f t="shared" si="9"/>
        <v>482.2</v>
      </c>
      <c r="X49" s="6">
        <f t="shared" si="9"/>
        <v>482.2</v>
      </c>
      <c r="Y49" s="6">
        <f t="shared" si="9"/>
        <v>482.2</v>
      </c>
      <c r="Z49" s="6">
        <f t="shared" si="9"/>
        <v>482.2</v>
      </c>
      <c r="AA49" s="6">
        <f t="shared" si="9"/>
        <v>482.2</v>
      </c>
      <c r="AB49" s="6">
        <f t="shared" si="9"/>
        <v>482.2</v>
      </c>
      <c r="AC49" s="6">
        <f t="shared" si="9"/>
        <v>482.2</v>
      </c>
      <c r="AD49" s="6">
        <f t="shared" si="9"/>
        <v>482.2</v>
      </c>
      <c r="AE49" s="6">
        <f t="shared" si="9"/>
        <v>482.2</v>
      </c>
      <c r="AF49" s="6">
        <f t="shared" si="9"/>
        <v>482.2</v>
      </c>
      <c r="AG49" s="6">
        <f t="shared" si="9"/>
        <v>482.2</v>
      </c>
      <c r="AI49" s="5" t="str">
        <f t="shared" si="10"/>
        <v>Hydro</v>
      </c>
      <c r="AJ49" s="28">
        <f t="shared" si="11"/>
        <v>0</v>
      </c>
      <c r="AK49" s="28">
        <f t="shared" si="11"/>
        <v>0</v>
      </c>
      <c r="AL49" s="28">
        <f t="shared" si="11"/>
        <v>0</v>
      </c>
      <c r="AM49" s="28">
        <f t="shared" si="11"/>
        <v>0</v>
      </c>
      <c r="AN49" s="28">
        <f t="shared" si="11"/>
        <v>0</v>
      </c>
      <c r="AO49" s="28">
        <f t="shared" si="11"/>
        <v>0</v>
      </c>
      <c r="AP49" s="28">
        <f t="shared" si="11"/>
        <v>0</v>
      </c>
      <c r="AQ49" s="28">
        <f t="shared" si="11"/>
        <v>0</v>
      </c>
      <c r="AR49" s="28">
        <f t="shared" si="11"/>
        <v>0</v>
      </c>
      <c r="AS49" s="28">
        <f t="shared" si="11"/>
        <v>0</v>
      </c>
      <c r="AT49" s="28">
        <f t="shared" si="11"/>
        <v>0</v>
      </c>
      <c r="AU49" s="28">
        <f t="shared" si="11"/>
        <v>0</v>
      </c>
      <c r="AV49" s="28">
        <f t="shared" si="11"/>
        <v>0</v>
      </c>
      <c r="AW49" s="28">
        <f t="shared" si="11"/>
        <v>0</v>
      </c>
      <c r="AX49" s="28">
        <f t="shared" si="11"/>
        <v>0</v>
      </c>
      <c r="AY49" s="28">
        <f t="shared" si="11"/>
        <v>0</v>
      </c>
      <c r="AZ49" s="28">
        <f t="shared" si="12"/>
        <v>0</v>
      </c>
      <c r="BA49" s="28">
        <f t="shared" si="12"/>
        <v>0</v>
      </c>
      <c r="BB49" s="28">
        <f t="shared" si="12"/>
        <v>0</v>
      </c>
      <c r="BC49" s="28">
        <f t="shared" si="12"/>
        <v>0</v>
      </c>
      <c r="BD49" s="28">
        <f t="shared" si="12"/>
        <v>0</v>
      </c>
      <c r="BE49" s="28">
        <f t="shared" si="12"/>
        <v>0</v>
      </c>
      <c r="BF49" s="28">
        <f t="shared" si="12"/>
        <v>0</v>
      </c>
      <c r="BG49" s="28">
        <f t="shared" si="12"/>
        <v>0</v>
      </c>
      <c r="BH49" s="28">
        <f t="shared" si="12"/>
        <v>0</v>
      </c>
      <c r="BI49" s="28">
        <f t="shared" si="12"/>
        <v>0</v>
      </c>
      <c r="BK49" s="5" t="str">
        <f t="shared" si="13"/>
        <v>Hydro</v>
      </c>
      <c r="BL49" s="6">
        <f t="shared" si="14"/>
        <v>2112</v>
      </c>
      <c r="BM49" s="6">
        <f t="shared" si="14"/>
        <v>2112</v>
      </c>
      <c r="BN49" s="6">
        <f t="shared" si="14"/>
        <v>2112</v>
      </c>
      <c r="BO49" s="6">
        <f t="shared" si="14"/>
        <v>2112</v>
      </c>
      <c r="BP49" s="6">
        <f t="shared" si="14"/>
        <v>2112</v>
      </c>
      <c r="BQ49" s="6">
        <f t="shared" si="14"/>
        <v>2112</v>
      </c>
      <c r="BR49" s="6">
        <f t="shared" si="14"/>
        <v>2112</v>
      </c>
      <c r="BS49" s="6">
        <f t="shared" si="14"/>
        <v>2112</v>
      </c>
      <c r="BT49" s="6">
        <f t="shared" si="14"/>
        <v>2112</v>
      </c>
      <c r="BU49" s="6">
        <f t="shared" si="14"/>
        <v>2112</v>
      </c>
      <c r="BV49" s="6">
        <f t="shared" si="14"/>
        <v>2112</v>
      </c>
      <c r="BW49" s="6">
        <f t="shared" si="14"/>
        <v>2112</v>
      </c>
      <c r="BX49" s="6">
        <f t="shared" si="14"/>
        <v>2112</v>
      </c>
      <c r="BY49" s="6">
        <f t="shared" si="14"/>
        <v>2112</v>
      </c>
      <c r="BZ49" s="6">
        <f t="shared" si="14"/>
        <v>2112</v>
      </c>
      <c r="CA49" s="6">
        <f t="shared" si="14"/>
        <v>2112</v>
      </c>
      <c r="CB49" s="6">
        <f t="shared" si="15"/>
        <v>2112</v>
      </c>
      <c r="CC49" s="6">
        <f t="shared" si="15"/>
        <v>2112</v>
      </c>
      <c r="CD49" s="6">
        <f t="shared" si="15"/>
        <v>2112</v>
      </c>
      <c r="CE49" s="6">
        <f t="shared" si="15"/>
        <v>2112</v>
      </c>
      <c r="CF49" s="6">
        <f t="shared" si="15"/>
        <v>2112</v>
      </c>
      <c r="CG49" s="6">
        <f t="shared" si="15"/>
        <v>2112</v>
      </c>
      <c r="CH49" s="6">
        <f t="shared" si="15"/>
        <v>2112</v>
      </c>
      <c r="CI49" s="6">
        <f t="shared" si="15"/>
        <v>2112</v>
      </c>
      <c r="CJ49" s="6">
        <f t="shared" si="15"/>
        <v>2112</v>
      </c>
      <c r="CK49" s="6">
        <f t="shared" si="15"/>
        <v>2112</v>
      </c>
      <c r="CM49" s="5" t="str">
        <f t="shared" si="16"/>
        <v>Hydro</v>
      </c>
      <c r="CN49" s="7">
        <f t="shared" si="17"/>
        <v>0</v>
      </c>
      <c r="CO49" s="7">
        <f t="shared" si="17"/>
        <v>0</v>
      </c>
      <c r="CP49" s="7">
        <f t="shared" si="17"/>
        <v>0</v>
      </c>
      <c r="CQ49" s="7">
        <f t="shared" si="17"/>
        <v>0</v>
      </c>
      <c r="CR49" s="7">
        <f t="shared" si="17"/>
        <v>0</v>
      </c>
      <c r="CS49" s="7">
        <f t="shared" si="17"/>
        <v>0</v>
      </c>
      <c r="CT49" s="7">
        <f t="shared" si="17"/>
        <v>0</v>
      </c>
      <c r="CU49" s="7">
        <f t="shared" si="17"/>
        <v>0</v>
      </c>
      <c r="CV49" s="7">
        <f t="shared" si="17"/>
        <v>0</v>
      </c>
      <c r="CW49" s="7">
        <f t="shared" si="17"/>
        <v>0</v>
      </c>
      <c r="CX49" s="7">
        <f t="shared" si="17"/>
        <v>0</v>
      </c>
      <c r="CY49" s="7">
        <f t="shared" si="17"/>
        <v>0</v>
      </c>
      <c r="CZ49" s="7">
        <f t="shared" si="17"/>
        <v>0</v>
      </c>
      <c r="DA49" s="7">
        <f t="shared" si="17"/>
        <v>0</v>
      </c>
      <c r="DB49" s="7">
        <f t="shared" si="17"/>
        <v>0</v>
      </c>
      <c r="DC49" s="7">
        <f t="shared" si="17"/>
        <v>0</v>
      </c>
      <c r="DD49" s="7">
        <f t="shared" si="18"/>
        <v>0</v>
      </c>
      <c r="DE49" s="7">
        <f t="shared" si="18"/>
        <v>0</v>
      </c>
      <c r="DF49" s="7">
        <f t="shared" si="18"/>
        <v>0</v>
      </c>
      <c r="DG49" s="7">
        <f t="shared" si="18"/>
        <v>0</v>
      </c>
      <c r="DH49" s="7">
        <f t="shared" si="18"/>
        <v>0</v>
      </c>
      <c r="DI49" s="7">
        <f t="shared" si="18"/>
        <v>0</v>
      </c>
      <c r="DJ49" s="7">
        <f t="shared" si="18"/>
        <v>0</v>
      </c>
      <c r="DK49" s="7">
        <f t="shared" si="18"/>
        <v>0</v>
      </c>
      <c r="DL49" s="7">
        <f t="shared" si="18"/>
        <v>0</v>
      </c>
      <c r="DM49" s="7">
        <f t="shared" si="18"/>
        <v>0</v>
      </c>
      <c r="DO49" s="5" t="s">
        <v>7</v>
      </c>
      <c r="DP49" s="8">
        <f t="shared" si="19"/>
        <v>0</v>
      </c>
      <c r="DQ49" s="8">
        <f t="shared" si="19"/>
        <v>0.39422898964872199</v>
      </c>
      <c r="DR49" s="8">
        <f t="shared" si="19"/>
        <v>0.39688558658776663</v>
      </c>
      <c r="DS49" s="8">
        <f t="shared" si="19"/>
        <v>0.39079723640612268</v>
      </c>
      <c r="DT49" s="8">
        <f t="shared" si="19"/>
        <v>0.38874281168202512</v>
      </c>
      <c r="DU49" s="8">
        <f t="shared" si="19"/>
        <v>0.40005414712907217</v>
      </c>
      <c r="DV49" s="8">
        <f t="shared" si="19"/>
        <v>0.38873019000622949</v>
      </c>
      <c r="DW49" s="8">
        <f t="shared" si="19"/>
        <v>0.39215440728396889</v>
      </c>
      <c r="DX49" s="8">
        <f t="shared" si="19"/>
        <v>0.39296969711200214</v>
      </c>
      <c r="DY49" s="8">
        <f t="shared" si="19"/>
        <v>0.40438375470446691</v>
      </c>
      <c r="DZ49" s="8">
        <f t="shared" si="20"/>
        <v>0.3978614360802013</v>
      </c>
      <c r="EA49" s="8">
        <f t="shared" si="20"/>
        <v>0.39623085642413486</v>
      </c>
      <c r="EB49" s="8">
        <f t="shared" si="20"/>
        <v>0.39280663914639546</v>
      </c>
      <c r="EC49" s="8">
        <f t="shared" si="20"/>
        <v>0.39378498694003533</v>
      </c>
      <c r="ED49" s="8">
        <f t="shared" si="20"/>
        <v>0.40063342149551417</v>
      </c>
      <c r="EE49" s="8">
        <f t="shared" si="20"/>
        <v>0.40275317504840047</v>
      </c>
      <c r="EF49" s="8">
        <f t="shared" si="20"/>
        <v>0.39476333473367514</v>
      </c>
      <c r="EG49" s="8">
        <f t="shared" si="20"/>
        <v>0.3884040740750162</v>
      </c>
      <c r="EH49" s="8">
        <f t="shared" si="20"/>
        <v>0.39476333473367514</v>
      </c>
      <c r="EI49" s="8">
        <f t="shared" si="20"/>
        <v>0.3999811896330876</v>
      </c>
      <c r="EJ49" s="8">
        <f t="shared" si="20"/>
        <v>0.39623085642413486</v>
      </c>
      <c r="EK49" s="8">
        <f t="shared" si="20"/>
        <v>0.39248052321518218</v>
      </c>
      <c r="EL49" s="8">
        <f t="shared" si="20"/>
        <v>0.39476333473367514</v>
      </c>
      <c r="EM49" s="8">
        <f t="shared" si="20"/>
        <v>0.38677349441894981</v>
      </c>
      <c r="EN49" s="8">
        <f t="shared" si="20"/>
        <v>0.39525250863049505</v>
      </c>
      <c r="EO49" s="8">
        <f t="shared" si="20"/>
        <v>0.38563208865970333</v>
      </c>
      <c r="ET49" s="2" t="s">
        <v>23</v>
      </c>
      <c r="EV49" s="10">
        <f>SUMPRODUCT(EV47:FU47,EV41:FU41)</f>
        <v>176271.71297341451</v>
      </c>
    </row>
    <row r="50" spans="7:152" ht="16" x14ac:dyDescent="0.2">
      <c r="G50" s="5" t="s">
        <v>7</v>
      </c>
      <c r="H50" s="6">
        <f t="shared" si="8"/>
        <v>0.09</v>
      </c>
      <c r="I50" s="6">
        <f t="shared" si="8"/>
        <v>200.09</v>
      </c>
      <c r="J50" s="6">
        <f t="shared" si="8"/>
        <v>400.09</v>
      </c>
      <c r="K50" s="6">
        <f t="shared" si="8"/>
        <v>500.09</v>
      </c>
      <c r="L50" s="6">
        <f t="shared" si="8"/>
        <v>500.09</v>
      </c>
      <c r="M50" s="6">
        <f t="shared" si="8"/>
        <v>600.09</v>
      </c>
      <c r="N50" s="6">
        <f t="shared" si="8"/>
        <v>700.09</v>
      </c>
      <c r="O50" s="6">
        <f t="shared" si="8"/>
        <v>700.09</v>
      </c>
      <c r="P50" s="6">
        <f t="shared" si="8"/>
        <v>700.09</v>
      </c>
      <c r="Q50" s="6">
        <f t="shared" si="8"/>
        <v>700.09</v>
      </c>
      <c r="R50" s="6">
        <f t="shared" si="9"/>
        <v>700.09</v>
      </c>
      <c r="S50" s="6">
        <f t="shared" si="9"/>
        <v>700.09</v>
      </c>
      <c r="T50" s="6">
        <f t="shared" si="9"/>
        <v>700.09</v>
      </c>
      <c r="U50" s="6">
        <f t="shared" si="9"/>
        <v>700.09</v>
      </c>
      <c r="V50" s="6">
        <f t="shared" si="9"/>
        <v>700.09</v>
      </c>
      <c r="W50" s="6">
        <f t="shared" si="9"/>
        <v>700.09</v>
      </c>
      <c r="X50" s="6">
        <f t="shared" si="9"/>
        <v>700.09</v>
      </c>
      <c r="Y50" s="6">
        <f t="shared" si="9"/>
        <v>700.09</v>
      </c>
      <c r="Z50" s="6">
        <f t="shared" si="9"/>
        <v>700.09</v>
      </c>
      <c r="AA50" s="6">
        <f t="shared" si="9"/>
        <v>700.09</v>
      </c>
      <c r="AB50" s="6">
        <f t="shared" si="9"/>
        <v>700.09</v>
      </c>
      <c r="AC50" s="6">
        <f t="shared" si="9"/>
        <v>700.09</v>
      </c>
      <c r="AD50" s="6">
        <f t="shared" si="9"/>
        <v>700.09</v>
      </c>
      <c r="AE50" s="6">
        <f t="shared" si="9"/>
        <v>700.09</v>
      </c>
      <c r="AF50" s="6">
        <f t="shared" si="9"/>
        <v>700.09</v>
      </c>
      <c r="AG50" s="6">
        <f t="shared" si="9"/>
        <v>700.09</v>
      </c>
      <c r="AI50" s="5" t="str">
        <f t="shared" si="10"/>
        <v>Wind</v>
      </c>
      <c r="AJ50" s="28">
        <f t="shared" si="11"/>
        <v>0</v>
      </c>
      <c r="AK50" s="28">
        <f t="shared" si="11"/>
        <v>200</v>
      </c>
      <c r="AL50" s="28">
        <f t="shared" si="11"/>
        <v>400</v>
      </c>
      <c r="AM50" s="28">
        <f t="shared" si="11"/>
        <v>500</v>
      </c>
      <c r="AN50" s="28">
        <f t="shared" si="11"/>
        <v>500</v>
      </c>
      <c r="AO50" s="28">
        <f t="shared" si="11"/>
        <v>600</v>
      </c>
      <c r="AP50" s="28">
        <f t="shared" si="11"/>
        <v>700</v>
      </c>
      <c r="AQ50" s="28">
        <f t="shared" si="11"/>
        <v>700</v>
      </c>
      <c r="AR50" s="28">
        <f t="shared" si="11"/>
        <v>700</v>
      </c>
      <c r="AS50" s="28">
        <f t="shared" si="11"/>
        <v>700</v>
      </c>
      <c r="AT50" s="28">
        <f t="shared" si="11"/>
        <v>700</v>
      </c>
      <c r="AU50" s="28">
        <f t="shared" si="11"/>
        <v>700</v>
      </c>
      <c r="AV50" s="28">
        <f t="shared" si="11"/>
        <v>700</v>
      </c>
      <c r="AW50" s="28">
        <f t="shared" si="11"/>
        <v>700</v>
      </c>
      <c r="AX50" s="28">
        <f t="shared" si="11"/>
        <v>700</v>
      </c>
      <c r="AY50" s="28">
        <f t="shared" si="11"/>
        <v>700</v>
      </c>
      <c r="AZ50" s="28">
        <f t="shared" si="12"/>
        <v>700</v>
      </c>
      <c r="BA50" s="28">
        <f t="shared" si="12"/>
        <v>700</v>
      </c>
      <c r="BB50" s="28">
        <f t="shared" si="12"/>
        <v>700</v>
      </c>
      <c r="BC50" s="28">
        <f t="shared" si="12"/>
        <v>700</v>
      </c>
      <c r="BD50" s="28">
        <f t="shared" si="12"/>
        <v>700</v>
      </c>
      <c r="BE50" s="28">
        <f t="shared" si="12"/>
        <v>700</v>
      </c>
      <c r="BF50" s="28">
        <f t="shared" si="12"/>
        <v>700</v>
      </c>
      <c r="BG50" s="28">
        <f t="shared" si="12"/>
        <v>700</v>
      </c>
      <c r="BH50" s="28">
        <f t="shared" si="12"/>
        <v>700</v>
      </c>
      <c r="BI50" s="28">
        <f t="shared" si="12"/>
        <v>700</v>
      </c>
      <c r="BK50" s="5" t="str">
        <f t="shared" si="13"/>
        <v>Wind</v>
      </c>
      <c r="BL50" s="6">
        <f t="shared" si="14"/>
        <v>0</v>
      </c>
      <c r="BM50" s="6">
        <f t="shared" si="14"/>
        <v>691</v>
      </c>
      <c r="BN50" s="6">
        <f t="shared" si="14"/>
        <v>1391</v>
      </c>
      <c r="BO50" s="6">
        <f t="shared" si="14"/>
        <v>1712</v>
      </c>
      <c r="BP50" s="6">
        <f t="shared" si="14"/>
        <v>1703</v>
      </c>
      <c r="BQ50" s="6">
        <f t="shared" si="14"/>
        <v>2103</v>
      </c>
      <c r="BR50" s="6">
        <f t="shared" si="14"/>
        <v>2384</v>
      </c>
      <c r="BS50" s="6">
        <f t="shared" si="14"/>
        <v>2405</v>
      </c>
      <c r="BT50" s="6">
        <f t="shared" si="14"/>
        <v>2410</v>
      </c>
      <c r="BU50" s="6">
        <f t="shared" si="14"/>
        <v>2480</v>
      </c>
      <c r="BV50" s="6">
        <f t="shared" si="14"/>
        <v>2440</v>
      </c>
      <c r="BW50" s="6">
        <f t="shared" si="14"/>
        <v>2430</v>
      </c>
      <c r="BX50" s="6">
        <f t="shared" si="14"/>
        <v>2409</v>
      </c>
      <c r="BY50" s="6">
        <f t="shared" si="14"/>
        <v>2415</v>
      </c>
      <c r="BZ50" s="6">
        <f t="shared" si="14"/>
        <v>2457</v>
      </c>
      <c r="CA50" s="6">
        <f t="shared" si="14"/>
        <v>2470</v>
      </c>
      <c r="CB50" s="6">
        <f t="shared" si="15"/>
        <v>2421</v>
      </c>
      <c r="CC50" s="6">
        <f t="shared" si="15"/>
        <v>2382</v>
      </c>
      <c r="CD50" s="6">
        <f t="shared" si="15"/>
        <v>2421</v>
      </c>
      <c r="CE50" s="6">
        <f t="shared" si="15"/>
        <v>2453</v>
      </c>
      <c r="CF50" s="6">
        <f t="shared" si="15"/>
        <v>2430</v>
      </c>
      <c r="CG50" s="6">
        <f t="shared" si="15"/>
        <v>2407</v>
      </c>
      <c r="CH50" s="6">
        <f t="shared" si="15"/>
        <v>2421</v>
      </c>
      <c r="CI50" s="6">
        <f t="shared" si="15"/>
        <v>2372</v>
      </c>
      <c r="CJ50" s="6">
        <f t="shared" si="15"/>
        <v>2424</v>
      </c>
      <c r="CK50" s="6">
        <f t="shared" si="15"/>
        <v>2365</v>
      </c>
      <c r="CM50" s="5" t="str">
        <f t="shared" si="16"/>
        <v>Wind</v>
      </c>
      <c r="CN50" s="7">
        <f t="shared" si="17"/>
        <v>0</v>
      </c>
      <c r="CO50" s="7">
        <f t="shared" si="17"/>
        <v>0</v>
      </c>
      <c r="CP50" s="7">
        <f t="shared" si="17"/>
        <v>0</v>
      </c>
      <c r="CQ50" s="7">
        <f t="shared" si="17"/>
        <v>0</v>
      </c>
      <c r="CR50" s="7">
        <f t="shared" si="17"/>
        <v>0</v>
      </c>
      <c r="CS50" s="7">
        <f t="shared" si="17"/>
        <v>0</v>
      </c>
      <c r="CT50" s="7">
        <f t="shared" si="17"/>
        <v>0</v>
      </c>
      <c r="CU50" s="7">
        <f t="shared" si="17"/>
        <v>0</v>
      </c>
      <c r="CV50" s="7">
        <f t="shared" si="17"/>
        <v>0</v>
      </c>
      <c r="CW50" s="7">
        <f t="shared" si="17"/>
        <v>0</v>
      </c>
      <c r="CX50" s="7">
        <f t="shared" si="17"/>
        <v>0</v>
      </c>
      <c r="CY50" s="7">
        <f t="shared" si="17"/>
        <v>0</v>
      </c>
      <c r="CZ50" s="7">
        <f t="shared" si="17"/>
        <v>0</v>
      </c>
      <c r="DA50" s="7">
        <f t="shared" si="17"/>
        <v>0</v>
      </c>
      <c r="DB50" s="7">
        <f t="shared" si="17"/>
        <v>0</v>
      </c>
      <c r="DC50" s="7">
        <f t="shared" si="17"/>
        <v>0</v>
      </c>
      <c r="DD50" s="7">
        <f t="shared" si="18"/>
        <v>0</v>
      </c>
      <c r="DE50" s="7">
        <f t="shared" si="18"/>
        <v>0</v>
      </c>
      <c r="DF50" s="7">
        <f t="shared" si="18"/>
        <v>0</v>
      </c>
      <c r="DG50" s="7">
        <f t="shared" si="18"/>
        <v>0</v>
      </c>
      <c r="DH50" s="7">
        <f t="shared" si="18"/>
        <v>0</v>
      </c>
      <c r="DI50" s="7">
        <f t="shared" si="18"/>
        <v>0</v>
      </c>
      <c r="DJ50" s="7">
        <f t="shared" si="18"/>
        <v>0</v>
      </c>
      <c r="DK50" s="7">
        <f t="shared" si="18"/>
        <v>0</v>
      </c>
      <c r="DL50" s="7">
        <f t="shared" si="18"/>
        <v>0</v>
      </c>
      <c r="DM50" s="7">
        <f t="shared" si="18"/>
        <v>0</v>
      </c>
      <c r="DO50" s="5" t="s">
        <v>8</v>
      </c>
      <c r="DP50" s="8">
        <f t="shared" si="19"/>
        <v>0.2470497903586012</v>
      </c>
      <c r="DQ50" s="8">
        <f t="shared" si="19"/>
        <v>0.2437943944208768</v>
      </c>
      <c r="DR50" s="8">
        <f t="shared" si="19"/>
        <v>0.24880888173499183</v>
      </c>
      <c r="DS50" s="8">
        <f t="shared" si="19"/>
        <v>0.25652113857927428</v>
      </c>
      <c r="DT50" s="8">
        <f t="shared" si="19"/>
        <v>0.24529102997221344</v>
      </c>
      <c r="DU50" s="8">
        <f t="shared" si="19"/>
        <v>0.24770175262550298</v>
      </c>
      <c r="DV50" s="8">
        <f t="shared" si="19"/>
        <v>0.24460276773063766</v>
      </c>
      <c r="DW50" s="8">
        <f t="shared" si="19"/>
        <v>0.24839505870320572</v>
      </c>
      <c r="DX50" s="8">
        <f t="shared" si="19"/>
        <v>0.24155429233072898</v>
      </c>
      <c r="DY50" s="8">
        <f t="shared" si="19"/>
        <v>0.25166027940015384</v>
      </c>
      <c r="DZ50" s="8">
        <f t="shared" si="20"/>
        <v>0.24597912102453381</v>
      </c>
      <c r="EA50" s="8">
        <f t="shared" si="20"/>
        <v>0.24604560895840091</v>
      </c>
      <c r="EB50" s="8">
        <f t="shared" si="20"/>
        <v>0.2462037698383828</v>
      </c>
      <c r="EC50" s="8">
        <f t="shared" si="20"/>
        <v>0.24715273511827376</v>
      </c>
      <c r="ED50" s="8">
        <f t="shared" si="20"/>
        <v>0.25306569690613656</v>
      </c>
      <c r="EE50" s="8">
        <f t="shared" si="20"/>
        <v>0.25239580196421441</v>
      </c>
      <c r="EF50" s="8">
        <f t="shared" si="20"/>
        <v>0.24914938801489928</v>
      </c>
      <c r="EG50" s="8">
        <f t="shared" si="20"/>
        <v>0.24317186391774762</v>
      </c>
      <c r="EH50" s="8">
        <f t="shared" si="20"/>
        <v>0.24559379178469698</v>
      </c>
      <c r="EI50" s="8">
        <f t="shared" si="20"/>
        <v>0.2465728690075063</v>
      </c>
      <c r="EJ50" s="8">
        <f t="shared" si="20"/>
        <v>0.24585144368543627</v>
      </c>
      <c r="EK50" s="8">
        <f t="shared" si="20"/>
        <v>0.24636674748691489</v>
      </c>
      <c r="EL50" s="8">
        <f t="shared" si="20"/>
        <v>0.24775806775090709</v>
      </c>
      <c r="EM50" s="8">
        <f t="shared" si="20"/>
        <v>0.24476930570233121</v>
      </c>
      <c r="EN50" s="8">
        <f t="shared" si="20"/>
        <v>0.23590608031689944</v>
      </c>
      <c r="EO50" s="8">
        <f t="shared" si="20"/>
        <v>0.24858255383327285</v>
      </c>
      <c r="EV50" s="11"/>
    </row>
    <row r="51" spans="7:152" ht="16" x14ac:dyDescent="0.2">
      <c r="G51" s="5" t="s">
        <v>8</v>
      </c>
      <c r="H51" s="6">
        <f t="shared" si="8"/>
        <v>325.3</v>
      </c>
      <c r="I51" s="6">
        <f t="shared" si="8"/>
        <v>445.3</v>
      </c>
      <c r="J51" s="6">
        <f t="shared" si="8"/>
        <v>815.3</v>
      </c>
      <c r="K51" s="6">
        <f t="shared" si="8"/>
        <v>1365.3</v>
      </c>
      <c r="L51" s="6">
        <f t="shared" si="8"/>
        <v>1515.3</v>
      </c>
      <c r="M51" s="6">
        <f t="shared" si="8"/>
        <v>1515.3</v>
      </c>
      <c r="N51" s="6">
        <f t="shared" si="8"/>
        <v>1565.3</v>
      </c>
      <c r="O51" s="6">
        <f t="shared" si="8"/>
        <v>1565.3</v>
      </c>
      <c r="P51" s="6">
        <f t="shared" si="8"/>
        <v>1615.3</v>
      </c>
      <c r="Q51" s="6">
        <f t="shared" si="8"/>
        <v>1615.3</v>
      </c>
      <c r="R51" s="6">
        <f t="shared" si="9"/>
        <v>2115.3000000000002</v>
      </c>
      <c r="S51" s="6">
        <f t="shared" si="9"/>
        <v>2165.3000000000002</v>
      </c>
      <c r="T51" s="6">
        <f t="shared" si="9"/>
        <v>2165.3000000000002</v>
      </c>
      <c r="U51" s="6">
        <f t="shared" si="9"/>
        <v>2165.3000000000002</v>
      </c>
      <c r="V51" s="6">
        <f t="shared" si="9"/>
        <v>2215.3000000000002</v>
      </c>
      <c r="W51" s="6">
        <f t="shared" si="9"/>
        <v>2215.3000000000002</v>
      </c>
      <c r="X51" s="6">
        <f t="shared" si="9"/>
        <v>2215.3000000000002</v>
      </c>
      <c r="Y51" s="6">
        <f t="shared" si="9"/>
        <v>2215.3000000000002</v>
      </c>
      <c r="Z51" s="6">
        <f t="shared" si="9"/>
        <v>2215.3000000000002</v>
      </c>
      <c r="AA51" s="6">
        <f t="shared" si="9"/>
        <v>2215.3000000000002</v>
      </c>
      <c r="AB51" s="6">
        <f t="shared" si="9"/>
        <v>2215.3000000000002</v>
      </c>
      <c r="AC51" s="6">
        <f t="shared" si="9"/>
        <v>2215.3000000000002</v>
      </c>
      <c r="AD51" s="6">
        <f t="shared" si="9"/>
        <v>2215.3000000000002</v>
      </c>
      <c r="AE51" s="6">
        <f t="shared" si="9"/>
        <v>2215.3000000000002</v>
      </c>
      <c r="AF51" s="6">
        <f t="shared" si="9"/>
        <v>2215.3000000000002</v>
      </c>
      <c r="AG51" s="6">
        <f t="shared" si="9"/>
        <v>2215.3000000000002</v>
      </c>
      <c r="AI51" s="5" t="str">
        <f t="shared" si="10"/>
        <v>Solar</v>
      </c>
      <c r="AJ51" s="28">
        <f t="shared" si="11"/>
        <v>0</v>
      </c>
      <c r="AK51" s="28">
        <f t="shared" si="11"/>
        <v>0</v>
      </c>
      <c r="AL51" s="28">
        <f t="shared" si="11"/>
        <v>250</v>
      </c>
      <c r="AM51" s="28">
        <f t="shared" si="11"/>
        <v>800</v>
      </c>
      <c r="AN51" s="28">
        <f t="shared" si="11"/>
        <v>950</v>
      </c>
      <c r="AO51" s="28">
        <f t="shared" si="11"/>
        <v>950</v>
      </c>
      <c r="AP51" s="28">
        <f t="shared" si="11"/>
        <v>1000</v>
      </c>
      <c r="AQ51" s="28">
        <f t="shared" si="11"/>
        <v>1000</v>
      </c>
      <c r="AR51" s="28">
        <f t="shared" si="11"/>
        <v>1050</v>
      </c>
      <c r="AS51" s="28">
        <f t="shared" si="11"/>
        <v>1050</v>
      </c>
      <c r="AT51" s="28">
        <f t="shared" si="11"/>
        <v>1550</v>
      </c>
      <c r="AU51" s="28">
        <f t="shared" si="11"/>
        <v>1600</v>
      </c>
      <c r="AV51" s="28">
        <f t="shared" si="11"/>
        <v>1600</v>
      </c>
      <c r="AW51" s="28">
        <f t="shared" si="11"/>
        <v>1600</v>
      </c>
      <c r="AX51" s="28">
        <f t="shared" si="11"/>
        <v>1650</v>
      </c>
      <c r="AY51" s="28">
        <f t="shared" si="11"/>
        <v>1650</v>
      </c>
      <c r="AZ51" s="28">
        <f t="shared" si="12"/>
        <v>1650</v>
      </c>
      <c r="BA51" s="28">
        <f t="shared" si="12"/>
        <v>1650</v>
      </c>
      <c r="BB51" s="28">
        <f t="shared" si="12"/>
        <v>1650</v>
      </c>
      <c r="BC51" s="28">
        <f t="shared" si="12"/>
        <v>1650</v>
      </c>
      <c r="BD51" s="28">
        <f t="shared" si="12"/>
        <v>1650</v>
      </c>
      <c r="BE51" s="28">
        <f t="shared" si="12"/>
        <v>1650</v>
      </c>
      <c r="BF51" s="28">
        <f t="shared" si="12"/>
        <v>1650</v>
      </c>
      <c r="BG51" s="28">
        <f t="shared" si="12"/>
        <v>1650</v>
      </c>
      <c r="BH51" s="28">
        <f t="shared" si="12"/>
        <v>1650</v>
      </c>
      <c r="BI51" s="28">
        <f t="shared" si="12"/>
        <v>1650</v>
      </c>
      <c r="BK51" s="5" t="str">
        <f t="shared" si="13"/>
        <v>Solar</v>
      </c>
      <c r="BL51" s="6">
        <f t="shared" si="14"/>
        <v>704</v>
      </c>
      <c r="BM51" s="6">
        <f t="shared" si="14"/>
        <v>951</v>
      </c>
      <c r="BN51" s="6">
        <f t="shared" si="14"/>
        <v>1777</v>
      </c>
      <c r="BO51" s="6">
        <f t="shared" si="14"/>
        <v>3068</v>
      </c>
      <c r="BP51" s="6">
        <f t="shared" si="14"/>
        <v>3256</v>
      </c>
      <c r="BQ51" s="6">
        <f t="shared" si="14"/>
        <v>3288</v>
      </c>
      <c r="BR51" s="6">
        <f t="shared" si="14"/>
        <v>3354</v>
      </c>
      <c r="BS51" s="6">
        <f t="shared" si="14"/>
        <v>3406</v>
      </c>
      <c r="BT51" s="6">
        <f t="shared" si="14"/>
        <v>3418</v>
      </c>
      <c r="BU51" s="6">
        <f t="shared" si="14"/>
        <v>3561</v>
      </c>
      <c r="BV51" s="6">
        <f t="shared" si="14"/>
        <v>4558</v>
      </c>
      <c r="BW51" s="6">
        <f t="shared" si="14"/>
        <v>4667</v>
      </c>
      <c r="BX51" s="6">
        <f t="shared" si="14"/>
        <v>4670</v>
      </c>
      <c r="BY51" s="6">
        <f t="shared" si="14"/>
        <v>4688</v>
      </c>
      <c r="BZ51" s="6">
        <f t="shared" si="14"/>
        <v>4911</v>
      </c>
      <c r="CA51" s="6">
        <f t="shared" si="14"/>
        <v>4898</v>
      </c>
      <c r="CB51" s="6">
        <f t="shared" si="15"/>
        <v>4835</v>
      </c>
      <c r="CC51" s="6">
        <f t="shared" si="15"/>
        <v>4719</v>
      </c>
      <c r="CD51" s="6">
        <f t="shared" si="15"/>
        <v>4766</v>
      </c>
      <c r="CE51" s="6">
        <f t="shared" si="15"/>
        <v>4785</v>
      </c>
      <c r="CF51" s="6">
        <f t="shared" si="15"/>
        <v>4771</v>
      </c>
      <c r="CG51" s="6">
        <f t="shared" si="15"/>
        <v>4781</v>
      </c>
      <c r="CH51" s="6">
        <f t="shared" si="15"/>
        <v>4808</v>
      </c>
      <c r="CI51" s="6">
        <f t="shared" si="15"/>
        <v>4750</v>
      </c>
      <c r="CJ51" s="6">
        <f t="shared" si="15"/>
        <v>4578</v>
      </c>
      <c r="CK51" s="6">
        <f t="shared" si="15"/>
        <v>4824</v>
      </c>
      <c r="CM51" s="5" t="str">
        <f t="shared" si="16"/>
        <v>Solar</v>
      </c>
      <c r="CN51" s="7">
        <f t="shared" si="17"/>
        <v>0</v>
      </c>
      <c r="CO51" s="7">
        <f t="shared" si="17"/>
        <v>0</v>
      </c>
      <c r="CP51" s="7">
        <f t="shared" si="17"/>
        <v>0</v>
      </c>
      <c r="CQ51" s="7">
        <f t="shared" si="17"/>
        <v>0</v>
      </c>
      <c r="CR51" s="7">
        <f t="shared" si="17"/>
        <v>0</v>
      </c>
      <c r="CS51" s="7">
        <f t="shared" si="17"/>
        <v>0</v>
      </c>
      <c r="CT51" s="7">
        <f t="shared" si="17"/>
        <v>0</v>
      </c>
      <c r="CU51" s="7">
        <f t="shared" si="17"/>
        <v>0</v>
      </c>
      <c r="CV51" s="7">
        <f t="shared" si="17"/>
        <v>0</v>
      </c>
      <c r="CW51" s="7">
        <f t="shared" si="17"/>
        <v>0</v>
      </c>
      <c r="CX51" s="7">
        <f t="shared" si="17"/>
        <v>0</v>
      </c>
      <c r="CY51" s="7">
        <f t="shared" si="17"/>
        <v>0</v>
      </c>
      <c r="CZ51" s="7">
        <f t="shared" si="17"/>
        <v>0</v>
      </c>
      <c r="DA51" s="7">
        <f t="shared" si="17"/>
        <v>0</v>
      </c>
      <c r="DB51" s="7">
        <f t="shared" si="17"/>
        <v>0</v>
      </c>
      <c r="DC51" s="7">
        <f t="shared" si="17"/>
        <v>0</v>
      </c>
      <c r="DD51" s="7">
        <f t="shared" si="18"/>
        <v>0</v>
      </c>
      <c r="DE51" s="7">
        <f t="shared" si="18"/>
        <v>0</v>
      </c>
      <c r="DF51" s="7">
        <f t="shared" si="18"/>
        <v>0</v>
      </c>
      <c r="DG51" s="7">
        <f t="shared" si="18"/>
        <v>0</v>
      </c>
      <c r="DH51" s="7">
        <f t="shared" si="18"/>
        <v>0</v>
      </c>
      <c r="DI51" s="7">
        <f t="shared" si="18"/>
        <v>0</v>
      </c>
      <c r="DJ51" s="7">
        <f t="shared" si="18"/>
        <v>0</v>
      </c>
      <c r="DK51" s="7">
        <f t="shared" si="18"/>
        <v>0</v>
      </c>
      <c r="DL51" s="7">
        <f t="shared" si="18"/>
        <v>0</v>
      </c>
      <c r="DM51" s="7">
        <f t="shared" si="18"/>
        <v>0</v>
      </c>
      <c r="DO51" s="5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</row>
    <row r="52" spans="7:152" ht="16" x14ac:dyDescent="0.2">
      <c r="G52" s="5" t="s">
        <v>9</v>
      </c>
      <c r="H52" s="6">
        <f t="shared" si="8"/>
        <v>0</v>
      </c>
      <c r="I52" s="6">
        <f t="shared" si="8"/>
        <v>125</v>
      </c>
      <c r="J52" s="6">
        <f t="shared" si="8"/>
        <v>125</v>
      </c>
      <c r="K52" s="6">
        <f t="shared" si="8"/>
        <v>575</v>
      </c>
      <c r="L52" s="6">
        <f t="shared" si="8"/>
        <v>575</v>
      </c>
      <c r="M52" s="6">
        <f t="shared" si="8"/>
        <v>575</v>
      </c>
      <c r="N52" s="6">
        <f t="shared" si="8"/>
        <v>575</v>
      </c>
      <c r="O52" s="6">
        <f t="shared" si="8"/>
        <v>575</v>
      </c>
      <c r="P52" s="6">
        <f t="shared" si="8"/>
        <v>575</v>
      </c>
      <c r="Q52" s="6">
        <f t="shared" si="8"/>
        <v>575</v>
      </c>
      <c r="R52" s="6">
        <f t="shared" si="9"/>
        <v>1125</v>
      </c>
      <c r="S52" s="6">
        <f t="shared" si="9"/>
        <v>1125</v>
      </c>
      <c r="T52" s="6">
        <f t="shared" si="9"/>
        <v>1125</v>
      </c>
      <c r="U52" s="6">
        <f t="shared" si="9"/>
        <v>1125</v>
      </c>
      <c r="V52" s="6">
        <f t="shared" si="9"/>
        <v>1125</v>
      </c>
      <c r="W52" s="6">
        <f t="shared" si="9"/>
        <v>1125</v>
      </c>
      <c r="X52" s="6">
        <f t="shared" si="9"/>
        <v>1125</v>
      </c>
      <c r="Y52" s="6">
        <f t="shared" si="9"/>
        <v>1125</v>
      </c>
      <c r="Z52" s="6">
        <f t="shared" si="9"/>
        <v>1125</v>
      </c>
      <c r="AA52" s="6">
        <f t="shared" si="9"/>
        <v>1125</v>
      </c>
      <c r="AB52" s="6">
        <f t="shared" si="9"/>
        <v>1125</v>
      </c>
      <c r="AC52" s="6">
        <f t="shared" si="9"/>
        <v>1125</v>
      </c>
      <c r="AD52" s="6">
        <f t="shared" si="9"/>
        <v>1125</v>
      </c>
      <c r="AE52" s="6">
        <f t="shared" si="9"/>
        <v>1125</v>
      </c>
      <c r="AF52" s="6">
        <f t="shared" si="9"/>
        <v>1125</v>
      </c>
      <c r="AG52" s="6">
        <f t="shared" si="9"/>
        <v>1125</v>
      </c>
      <c r="AI52" s="5" t="str">
        <f t="shared" si="10"/>
        <v>4-hr Battery</v>
      </c>
      <c r="AJ52" s="28">
        <f t="shared" si="11"/>
        <v>0</v>
      </c>
      <c r="AK52" s="28">
        <f t="shared" si="11"/>
        <v>0</v>
      </c>
      <c r="AL52" s="28">
        <f t="shared" si="11"/>
        <v>0</v>
      </c>
      <c r="AM52" s="28">
        <f t="shared" si="11"/>
        <v>450</v>
      </c>
      <c r="AN52" s="28">
        <f t="shared" si="11"/>
        <v>450</v>
      </c>
      <c r="AO52" s="28">
        <f t="shared" si="11"/>
        <v>450</v>
      </c>
      <c r="AP52" s="28">
        <f t="shared" si="11"/>
        <v>450</v>
      </c>
      <c r="AQ52" s="28">
        <f t="shared" si="11"/>
        <v>450</v>
      </c>
      <c r="AR52" s="28">
        <f t="shared" si="11"/>
        <v>450</v>
      </c>
      <c r="AS52" s="28">
        <f t="shared" si="11"/>
        <v>450</v>
      </c>
      <c r="AT52" s="28">
        <f t="shared" si="11"/>
        <v>1000</v>
      </c>
      <c r="AU52" s="28">
        <f t="shared" si="11"/>
        <v>1000</v>
      </c>
      <c r="AV52" s="28">
        <f t="shared" si="11"/>
        <v>1000</v>
      </c>
      <c r="AW52" s="28">
        <f t="shared" si="11"/>
        <v>1000</v>
      </c>
      <c r="AX52" s="28">
        <f t="shared" si="11"/>
        <v>1000</v>
      </c>
      <c r="AY52" s="28">
        <f t="shared" si="11"/>
        <v>1000</v>
      </c>
      <c r="AZ52" s="28">
        <f t="shared" si="12"/>
        <v>1000</v>
      </c>
      <c r="BA52" s="28">
        <f t="shared" si="12"/>
        <v>1000</v>
      </c>
      <c r="BB52" s="28">
        <f t="shared" si="12"/>
        <v>1000</v>
      </c>
      <c r="BC52" s="28">
        <f t="shared" si="12"/>
        <v>1000</v>
      </c>
      <c r="BD52" s="28">
        <f t="shared" si="12"/>
        <v>1000</v>
      </c>
      <c r="BE52" s="28">
        <f t="shared" si="12"/>
        <v>1000</v>
      </c>
      <c r="BF52" s="28">
        <f t="shared" si="12"/>
        <v>1000</v>
      </c>
      <c r="BG52" s="28">
        <f t="shared" si="12"/>
        <v>1000</v>
      </c>
      <c r="BH52" s="28">
        <f t="shared" si="12"/>
        <v>1000</v>
      </c>
      <c r="BI52" s="28">
        <f t="shared" si="12"/>
        <v>1000</v>
      </c>
      <c r="BK52" s="5" t="str">
        <f t="shared" si="13"/>
        <v>4-hr Battery</v>
      </c>
      <c r="BL52" s="6">
        <f t="shared" si="14"/>
        <v>0</v>
      </c>
      <c r="BM52" s="6">
        <f t="shared" si="14"/>
        <v>0</v>
      </c>
      <c r="BN52" s="6">
        <f t="shared" si="14"/>
        <v>0</v>
      </c>
      <c r="BO52" s="6">
        <f t="shared" si="14"/>
        <v>0</v>
      </c>
      <c r="BP52" s="6">
        <f t="shared" si="14"/>
        <v>0</v>
      </c>
      <c r="BQ52" s="6">
        <f t="shared" si="14"/>
        <v>0</v>
      </c>
      <c r="BR52" s="6">
        <f t="shared" si="14"/>
        <v>0</v>
      </c>
      <c r="BS52" s="6">
        <f t="shared" si="14"/>
        <v>0</v>
      </c>
      <c r="BT52" s="6">
        <f t="shared" si="14"/>
        <v>0</v>
      </c>
      <c r="BU52" s="6">
        <f t="shared" si="14"/>
        <v>0</v>
      </c>
      <c r="BV52" s="6">
        <f t="shared" si="14"/>
        <v>0</v>
      </c>
      <c r="BW52" s="6">
        <f t="shared" si="14"/>
        <v>0</v>
      </c>
      <c r="BX52" s="6">
        <f t="shared" si="14"/>
        <v>0</v>
      </c>
      <c r="BY52" s="6">
        <f t="shared" si="14"/>
        <v>0</v>
      </c>
      <c r="BZ52" s="6">
        <f t="shared" si="14"/>
        <v>0</v>
      </c>
      <c r="CA52" s="6">
        <f t="shared" si="14"/>
        <v>0</v>
      </c>
      <c r="CB52" s="6">
        <f t="shared" si="15"/>
        <v>0</v>
      </c>
      <c r="CC52" s="6">
        <f t="shared" si="15"/>
        <v>0</v>
      </c>
      <c r="CD52" s="6">
        <f t="shared" si="15"/>
        <v>0</v>
      </c>
      <c r="CE52" s="6">
        <f t="shared" si="15"/>
        <v>0</v>
      </c>
      <c r="CF52" s="6">
        <f t="shared" si="15"/>
        <v>0</v>
      </c>
      <c r="CG52" s="6">
        <f t="shared" si="15"/>
        <v>0</v>
      </c>
      <c r="CH52" s="6">
        <f t="shared" si="15"/>
        <v>0</v>
      </c>
      <c r="CI52" s="6">
        <f t="shared" si="15"/>
        <v>0</v>
      </c>
      <c r="CJ52" s="6">
        <f t="shared" si="15"/>
        <v>0</v>
      </c>
      <c r="CK52" s="6">
        <f t="shared" si="15"/>
        <v>0</v>
      </c>
      <c r="CM52" s="5" t="str">
        <f t="shared" si="16"/>
        <v>4-hr Battery</v>
      </c>
      <c r="CN52" s="7">
        <f t="shared" si="17"/>
        <v>0</v>
      </c>
      <c r="CO52" s="7">
        <f t="shared" si="17"/>
        <v>0</v>
      </c>
      <c r="CP52" s="7">
        <f t="shared" si="17"/>
        <v>0</v>
      </c>
      <c r="CQ52" s="7">
        <f t="shared" si="17"/>
        <v>0</v>
      </c>
      <c r="CR52" s="7">
        <f t="shared" si="17"/>
        <v>0</v>
      </c>
      <c r="CS52" s="7">
        <f t="shared" si="17"/>
        <v>0</v>
      </c>
      <c r="CT52" s="7">
        <f t="shared" si="17"/>
        <v>0</v>
      </c>
      <c r="CU52" s="7">
        <f t="shared" si="17"/>
        <v>0</v>
      </c>
      <c r="CV52" s="7">
        <f t="shared" si="17"/>
        <v>0</v>
      </c>
      <c r="CW52" s="7">
        <f t="shared" si="17"/>
        <v>0</v>
      </c>
      <c r="CX52" s="7">
        <f t="shared" si="17"/>
        <v>0</v>
      </c>
      <c r="CY52" s="7">
        <f t="shared" si="17"/>
        <v>0</v>
      </c>
      <c r="CZ52" s="7">
        <f t="shared" si="17"/>
        <v>0</v>
      </c>
      <c r="DA52" s="7">
        <f t="shared" si="17"/>
        <v>0</v>
      </c>
      <c r="DB52" s="7">
        <f t="shared" si="17"/>
        <v>0</v>
      </c>
      <c r="DC52" s="7">
        <f t="shared" si="17"/>
        <v>0</v>
      </c>
      <c r="DD52" s="7">
        <f t="shared" si="18"/>
        <v>0</v>
      </c>
      <c r="DE52" s="7">
        <f t="shared" si="18"/>
        <v>0</v>
      </c>
      <c r="DF52" s="7">
        <f t="shared" si="18"/>
        <v>0</v>
      </c>
      <c r="DG52" s="7">
        <f t="shared" si="18"/>
        <v>0</v>
      </c>
      <c r="DH52" s="7">
        <f t="shared" si="18"/>
        <v>0</v>
      </c>
      <c r="DI52" s="7">
        <f t="shared" si="18"/>
        <v>0</v>
      </c>
      <c r="DJ52" s="7">
        <f t="shared" si="18"/>
        <v>0</v>
      </c>
      <c r="DK52" s="7">
        <f t="shared" si="18"/>
        <v>0</v>
      </c>
      <c r="DL52" s="7">
        <f t="shared" si="18"/>
        <v>0</v>
      </c>
      <c r="DM52" s="7">
        <f t="shared" si="18"/>
        <v>0</v>
      </c>
      <c r="DO52" s="5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</row>
    <row r="53" spans="7:152" ht="16" x14ac:dyDescent="0.2">
      <c r="G53" s="5" t="s">
        <v>10</v>
      </c>
      <c r="H53" s="6">
        <f t="shared" si="8"/>
        <v>0</v>
      </c>
      <c r="I53" s="6">
        <f t="shared" si="8"/>
        <v>0</v>
      </c>
      <c r="J53" s="6">
        <f t="shared" si="8"/>
        <v>0</v>
      </c>
      <c r="K53" s="6">
        <f t="shared" si="8"/>
        <v>0</v>
      </c>
      <c r="L53" s="6">
        <f t="shared" si="8"/>
        <v>0</v>
      </c>
      <c r="M53" s="6">
        <f t="shared" si="8"/>
        <v>0</v>
      </c>
      <c r="N53" s="6">
        <f t="shared" si="8"/>
        <v>0</v>
      </c>
      <c r="O53" s="6">
        <f t="shared" si="8"/>
        <v>0</v>
      </c>
      <c r="P53" s="6">
        <f t="shared" si="8"/>
        <v>0</v>
      </c>
      <c r="Q53" s="6">
        <f t="shared" si="8"/>
        <v>0</v>
      </c>
      <c r="R53" s="6">
        <f t="shared" si="9"/>
        <v>0</v>
      </c>
      <c r="S53" s="6">
        <f t="shared" si="9"/>
        <v>0</v>
      </c>
      <c r="T53" s="6">
        <f t="shared" si="9"/>
        <v>0</v>
      </c>
      <c r="U53" s="6">
        <f t="shared" si="9"/>
        <v>0</v>
      </c>
      <c r="V53" s="6">
        <f t="shared" si="9"/>
        <v>0</v>
      </c>
      <c r="W53" s="6">
        <f t="shared" si="9"/>
        <v>0</v>
      </c>
      <c r="X53" s="6">
        <f t="shared" si="9"/>
        <v>0</v>
      </c>
      <c r="Y53" s="6">
        <f t="shared" si="9"/>
        <v>0</v>
      </c>
      <c r="Z53" s="6">
        <f t="shared" si="9"/>
        <v>0</v>
      </c>
      <c r="AA53" s="6">
        <f t="shared" si="9"/>
        <v>0</v>
      </c>
      <c r="AB53" s="6">
        <f t="shared" si="9"/>
        <v>0</v>
      </c>
      <c r="AC53" s="6">
        <f t="shared" si="9"/>
        <v>0</v>
      </c>
      <c r="AD53" s="6">
        <f t="shared" si="9"/>
        <v>0</v>
      </c>
      <c r="AE53" s="6">
        <f t="shared" si="9"/>
        <v>0</v>
      </c>
      <c r="AF53" s="6">
        <f t="shared" si="9"/>
        <v>0</v>
      </c>
      <c r="AG53" s="6">
        <f t="shared" si="9"/>
        <v>0</v>
      </c>
      <c r="AI53" s="5" t="str">
        <f t="shared" si="10"/>
        <v>8-hr Battery</v>
      </c>
      <c r="AJ53" s="28">
        <f t="shared" si="11"/>
        <v>0</v>
      </c>
      <c r="AK53" s="28">
        <f t="shared" si="11"/>
        <v>0</v>
      </c>
      <c r="AL53" s="28">
        <f t="shared" si="11"/>
        <v>0</v>
      </c>
      <c r="AM53" s="28">
        <f t="shared" si="11"/>
        <v>0</v>
      </c>
      <c r="AN53" s="28">
        <f t="shared" si="11"/>
        <v>0</v>
      </c>
      <c r="AO53" s="28">
        <f t="shared" si="11"/>
        <v>0</v>
      </c>
      <c r="AP53" s="28">
        <f t="shared" si="11"/>
        <v>0</v>
      </c>
      <c r="AQ53" s="28">
        <f t="shared" si="11"/>
        <v>0</v>
      </c>
      <c r="AR53" s="28">
        <f t="shared" si="11"/>
        <v>0</v>
      </c>
      <c r="AS53" s="28">
        <f t="shared" si="11"/>
        <v>0</v>
      </c>
      <c r="AT53" s="28">
        <f t="shared" si="11"/>
        <v>0</v>
      </c>
      <c r="AU53" s="28">
        <f t="shared" si="11"/>
        <v>0</v>
      </c>
      <c r="AV53" s="28">
        <f t="shared" si="11"/>
        <v>0</v>
      </c>
      <c r="AW53" s="28">
        <f t="shared" si="11"/>
        <v>0</v>
      </c>
      <c r="AX53" s="28">
        <f t="shared" si="11"/>
        <v>0</v>
      </c>
      <c r="AY53" s="28">
        <f t="shared" si="11"/>
        <v>0</v>
      </c>
      <c r="AZ53" s="28">
        <f t="shared" si="12"/>
        <v>0</v>
      </c>
      <c r="BA53" s="28">
        <f t="shared" si="12"/>
        <v>0</v>
      </c>
      <c r="BB53" s="28">
        <f t="shared" si="12"/>
        <v>0</v>
      </c>
      <c r="BC53" s="28">
        <f t="shared" si="12"/>
        <v>0</v>
      </c>
      <c r="BD53" s="28">
        <f t="shared" si="12"/>
        <v>0</v>
      </c>
      <c r="BE53" s="28">
        <f t="shared" si="12"/>
        <v>0</v>
      </c>
      <c r="BF53" s="28">
        <f t="shared" si="12"/>
        <v>0</v>
      </c>
      <c r="BG53" s="28">
        <f t="shared" si="12"/>
        <v>0</v>
      </c>
      <c r="BH53" s="28">
        <f t="shared" si="12"/>
        <v>0</v>
      </c>
      <c r="BI53" s="28">
        <f t="shared" si="12"/>
        <v>0</v>
      </c>
      <c r="BK53" s="5" t="str">
        <f t="shared" si="13"/>
        <v>8-hr Battery</v>
      </c>
      <c r="BL53" s="6">
        <f t="shared" si="14"/>
        <v>0</v>
      </c>
      <c r="BM53" s="6">
        <f t="shared" si="14"/>
        <v>0</v>
      </c>
      <c r="BN53" s="6">
        <f t="shared" si="14"/>
        <v>0</v>
      </c>
      <c r="BO53" s="6">
        <f t="shared" si="14"/>
        <v>0</v>
      </c>
      <c r="BP53" s="6">
        <f t="shared" si="14"/>
        <v>0</v>
      </c>
      <c r="BQ53" s="6">
        <f t="shared" si="14"/>
        <v>0</v>
      </c>
      <c r="BR53" s="6">
        <f t="shared" si="14"/>
        <v>0</v>
      </c>
      <c r="BS53" s="6">
        <f t="shared" si="14"/>
        <v>0</v>
      </c>
      <c r="BT53" s="6">
        <f t="shared" si="14"/>
        <v>0</v>
      </c>
      <c r="BU53" s="6">
        <f t="shared" si="14"/>
        <v>0</v>
      </c>
      <c r="BV53" s="6">
        <f t="shared" si="14"/>
        <v>0</v>
      </c>
      <c r="BW53" s="6">
        <f t="shared" si="14"/>
        <v>0</v>
      </c>
      <c r="BX53" s="6">
        <f t="shared" si="14"/>
        <v>0</v>
      </c>
      <c r="BY53" s="6">
        <f t="shared" si="14"/>
        <v>0</v>
      </c>
      <c r="BZ53" s="6">
        <f t="shared" si="14"/>
        <v>0</v>
      </c>
      <c r="CA53" s="6">
        <f t="shared" si="14"/>
        <v>0</v>
      </c>
      <c r="CB53" s="6">
        <f t="shared" si="15"/>
        <v>0</v>
      </c>
      <c r="CC53" s="6">
        <f t="shared" si="15"/>
        <v>0</v>
      </c>
      <c r="CD53" s="6">
        <f t="shared" si="15"/>
        <v>0</v>
      </c>
      <c r="CE53" s="6">
        <f t="shared" si="15"/>
        <v>0</v>
      </c>
      <c r="CF53" s="6">
        <f t="shared" si="15"/>
        <v>0</v>
      </c>
      <c r="CG53" s="6">
        <f t="shared" si="15"/>
        <v>0</v>
      </c>
      <c r="CH53" s="6">
        <f t="shared" si="15"/>
        <v>0</v>
      </c>
      <c r="CI53" s="6">
        <f t="shared" si="15"/>
        <v>0</v>
      </c>
      <c r="CJ53" s="6">
        <f t="shared" si="15"/>
        <v>0</v>
      </c>
      <c r="CK53" s="6">
        <f t="shared" si="15"/>
        <v>0</v>
      </c>
      <c r="CM53" s="5" t="str">
        <f t="shared" si="16"/>
        <v>8-hr Battery</v>
      </c>
      <c r="CN53" s="7">
        <f t="shared" si="17"/>
        <v>0</v>
      </c>
      <c r="CO53" s="7">
        <f t="shared" si="17"/>
        <v>0</v>
      </c>
      <c r="CP53" s="7">
        <f t="shared" si="17"/>
        <v>0</v>
      </c>
      <c r="CQ53" s="7">
        <f t="shared" si="17"/>
        <v>0</v>
      </c>
      <c r="CR53" s="7">
        <f t="shared" si="17"/>
        <v>0</v>
      </c>
      <c r="CS53" s="7">
        <f t="shared" si="17"/>
        <v>0</v>
      </c>
      <c r="CT53" s="7">
        <f t="shared" si="17"/>
        <v>0</v>
      </c>
      <c r="CU53" s="7">
        <f t="shared" si="17"/>
        <v>0</v>
      </c>
      <c r="CV53" s="7">
        <f t="shared" si="17"/>
        <v>0</v>
      </c>
      <c r="CW53" s="7">
        <f t="shared" si="17"/>
        <v>0</v>
      </c>
      <c r="CX53" s="7">
        <f t="shared" si="17"/>
        <v>0</v>
      </c>
      <c r="CY53" s="7">
        <f t="shared" si="17"/>
        <v>0</v>
      </c>
      <c r="CZ53" s="7">
        <f t="shared" si="17"/>
        <v>0</v>
      </c>
      <c r="DA53" s="7">
        <f t="shared" si="17"/>
        <v>0</v>
      </c>
      <c r="DB53" s="7">
        <f t="shared" si="17"/>
        <v>0</v>
      </c>
      <c r="DC53" s="7">
        <f t="shared" si="17"/>
        <v>0</v>
      </c>
      <c r="DD53" s="7">
        <f t="shared" si="18"/>
        <v>0</v>
      </c>
      <c r="DE53" s="7">
        <f t="shared" si="18"/>
        <v>0</v>
      </c>
      <c r="DF53" s="7">
        <f t="shared" si="18"/>
        <v>0</v>
      </c>
      <c r="DG53" s="7">
        <f t="shared" si="18"/>
        <v>0</v>
      </c>
      <c r="DH53" s="7">
        <f t="shared" si="18"/>
        <v>0</v>
      </c>
      <c r="DI53" s="7">
        <f t="shared" si="18"/>
        <v>0</v>
      </c>
      <c r="DJ53" s="7">
        <f t="shared" si="18"/>
        <v>0</v>
      </c>
      <c r="DK53" s="7">
        <f t="shared" si="18"/>
        <v>0</v>
      </c>
      <c r="DL53" s="7">
        <f t="shared" si="18"/>
        <v>0</v>
      </c>
      <c r="DM53" s="7">
        <f t="shared" si="18"/>
        <v>0</v>
      </c>
      <c r="DO53" s="5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</row>
    <row r="54" spans="7:152" ht="16" x14ac:dyDescent="0.2">
      <c r="G54" s="5" t="s">
        <v>11</v>
      </c>
      <c r="H54" s="6">
        <f t="shared" si="8"/>
        <v>0</v>
      </c>
      <c r="I54" s="6">
        <f t="shared" si="8"/>
        <v>0</v>
      </c>
      <c r="J54" s="6">
        <f t="shared" si="8"/>
        <v>0</v>
      </c>
      <c r="K54" s="6">
        <f t="shared" si="8"/>
        <v>0</v>
      </c>
      <c r="L54" s="6">
        <f t="shared" si="8"/>
        <v>0</v>
      </c>
      <c r="M54" s="6">
        <f t="shared" si="8"/>
        <v>0</v>
      </c>
      <c r="N54" s="6">
        <f t="shared" si="8"/>
        <v>0</v>
      </c>
      <c r="O54" s="6">
        <f t="shared" si="8"/>
        <v>0</v>
      </c>
      <c r="P54" s="6">
        <f t="shared" si="8"/>
        <v>0</v>
      </c>
      <c r="Q54" s="6">
        <f t="shared" si="8"/>
        <v>0</v>
      </c>
      <c r="R54" s="6">
        <f t="shared" si="9"/>
        <v>0</v>
      </c>
      <c r="S54" s="6">
        <f t="shared" si="9"/>
        <v>0</v>
      </c>
      <c r="T54" s="6">
        <f t="shared" si="9"/>
        <v>0</v>
      </c>
      <c r="U54" s="6">
        <f t="shared" si="9"/>
        <v>0</v>
      </c>
      <c r="V54" s="6">
        <f t="shared" si="9"/>
        <v>0</v>
      </c>
      <c r="W54" s="6">
        <f t="shared" si="9"/>
        <v>0</v>
      </c>
      <c r="X54" s="6">
        <f t="shared" si="9"/>
        <v>0</v>
      </c>
      <c r="Y54" s="6">
        <f t="shared" si="9"/>
        <v>0</v>
      </c>
      <c r="Z54" s="6">
        <f t="shared" si="9"/>
        <v>0</v>
      </c>
      <c r="AA54" s="6">
        <f t="shared" si="9"/>
        <v>0</v>
      </c>
      <c r="AB54" s="6">
        <f t="shared" si="9"/>
        <v>0</v>
      </c>
      <c r="AC54" s="6">
        <f t="shared" si="9"/>
        <v>0</v>
      </c>
      <c r="AD54" s="6">
        <f t="shared" si="9"/>
        <v>0</v>
      </c>
      <c r="AE54" s="6">
        <f t="shared" si="9"/>
        <v>0</v>
      </c>
      <c r="AF54" s="6">
        <f t="shared" si="9"/>
        <v>0</v>
      </c>
      <c r="AG54" s="6">
        <f t="shared" si="9"/>
        <v>0</v>
      </c>
      <c r="AI54" s="5" t="str">
        <f t="shared" si="10"/>
        <v>100-hr Battery</v>
      </c>
      <c r="AJ54" s="28">
        <f t="shared" si="11"/>
        <v>0</v>
      </c>
      <c r="AK54" s="28">
        <f t="shared" si="11"/>
        <v>0</v>
      </c>
      <c r="AL54" s="28">
        <f t="shared" si="11"/>
        <v>0</v>
      </c>
      <c r="AM54" s="28">
        <f t="shared" si="11"/>
        <v>0</v>
      </c>
      <c r="AN54" s="28">
        <f t="shared" si="11"/>
        <v>0</v>
      </c>
      <c r="AO54" s="28">
        <f t="shared" si="11"/>
        <v>0</v>
      </c>
      <c r="AP54" s="28">
        <f t="shared" si="11"/>
        <v>0</v>
      </c>
      <c r="AQ54" s="28">
        <f t="shared" si="11"/>
        <v>0</v>
      </c>
      <c r="AR54" s="28">
        <f t="shared" si="11"/>
        <v>0</v>
      </c>
      <c r="AS54" s="28">
        <f t="shared" si="11"/>
        <v>0</v>
      </c>
      <c r="AT54" s="28">
        <f t="shared" si="11"/>
        <v>0</v>
      </c>
      <c r="AU54" s="28">
        <f t="shared" si="11"/>
        <v>0</v>
      </c>
      <c r="AV54" s="28">
        <f t="shared" si="11"/>
        <v>0</v>
      </c>
      <c r="AW54" s="28">
        <f t="shared" si="11"/>
        <v>0</v>
      </c>
      <c r="AX54" s="28">
        <f t="shared" si="11"/>
        <v>0</v>
      </c>
      <c r="AY54" s="28">
        <f t="shared" si="11"/>
        <v>0</v>
      </c>
      <c r="AZ54" s="28">
        <f t="shared" si="12"/>
        <v>0</v>
      </c>
      <c r="BA54" s="28">
        <f t="shared" si="12"/>
        <v>0</v>
      </c>
      <c r="BB54" s="28">
        <f t="shared" si="12"/>
        <v>0</v>
      </c>
      <c r="BC54" s="28">
        <f t="shared" si="12"/>
        <v>0</v>
      </c>
      <c r="BD54" s="28">
        <f t="shared" si="12"/>
        <v>0</v>
      </c>
      <c r="BE54" s="28">
        <f t="shared" si="12"/>
        <v>0</v>
      </c>
      <c r="BF54" s="28">
        <f t="shared" si="12"/>
        <v>0</v>
      </c>
      <c r="BG54" s="28">
        <f t="shared" si="12"/>
        <v>0</v>
      </c>
      <c r="BH54" s="28">
        <f t="shared" si="12"/>
        <v>0</v>
      </c>
      <c r="BI54" s="28">
        <f t="shared" si="12"/>
        <v>0</v>
      </c>
      <c r="BK54" s="5" t="str">
        <f t="shared" si="13"/>
        <v>100-hr Battery</v>
      </c>
      <c r="BL54" s="6">
        <f t="shared" si="14"/>
        <v>0</v>
      </c>
      <c r="BM54" s="6">
        <f t="shared" si="14"/>
        <v>0</v>
      </c>
      <c r="BN54" s="6">
        <f t="shared" si="14"/>
        <v>0</v>
      </c>
      <c r="BO54" s="6">
        <f t="shared" si="14"/>
        <v>0</v>
      </c>
      <c r="BP54" s="6">
        <f t="shared" si="14"/>
        <v>0</v>
      </c>
      <c r="BQ54" s="6">
        <f t="shared" si="14"/>
        <v>0</v>
      </c>
      <c r="BR54" s="6">
        <f t="shared" si="14"/>
        <v>0</v>
      </c>
      <c r="BS54" s="6">
        <f t="shared" si="14"/>
        <v>0</v>
      </c>
      <c r="BT54" s="6">
        <f t="shared" si="14"/>
        <v>0</v>
      </c>
      <c r="BU54" s="6">
        <f t="shared" si="14"/>
        <v>0</v>
      </c>
      <c r="BV54" s="6">
        <f t="shared" si="14"/>
        <v>0</v>
      </c>
      <c r="BW54" s="6">
        <f t="shared" si="14"/>
        <v>0</v>
      </c>
      <c r="BX54" s="6">
        <f t="shared" si="14"/>
        <v>0</v>
      </c>
      <c r="BY54" s="6">
        <f t="shared" si="14"/>
        <v>0</v>
      </c>
      <c r="BZ54" s="6">
        <f t="shared" si="14"/>
        <v>0</v>
      </c>
      <c r="CA54" s="6">
        <f t="shared" si="14"/>
        <v>0</v>
      </c>
      <c r="CB54" s="6">
        <f t="shared" si="15"/>
        <v>0</v>
      </c>
      <c r="CC54" s="6">
        <f t="shared" si="15"/>
        <v>0</v>
      </c>
      <c r="CD54" s="6">
        <f t="shared" si="15"/>
        <v>0</v>
      </c>
      <c r="CE54" s="6">
        <f t="shared" si="15"/>
        <v>0</v>
      </c>
      <c r="CF54" s="6">
        <f t="shared" si="15"/>
        <v>0</v>
      </c>
      <c r="CG54" s="6">
        <f t="shared" si="15"/>
        <v>0</v>
      </c>
      <c r="CH54" s="6">
        <f t="shared" si="15"/>
        <v>0</v>
      </c>
      <c r="CI54" s="6">
        <f t="shared" si="15"/>
        <v>0</v>
      </c>
      <c r="CJ54" s="6">
        <f t="shared" si="15"/>
        <v>0</v>
      </c>
      <c r="CK54" s="6">
        <f t="shared" si="15"/>
        <v>0</v>
      </c>
      <c r="CM54" s="5" t="str">
        <f t="shared" si="16"/>
        <v>100-hr Battery</v>
      </c>
      <c r="CN54" s="7">
        <f t="shared" si="17"/>
        <v>0</v>
      </c>
      <c r="CO54" s="7">
        <f t="shared" si="17"/>
        <v>0</v>
      </c>
      <c r="CP54" s="7">
        <f t="shared" si="17"/>
        <v>0</v>
      </c>
      <c r="CQ54" s="7">
        <f t="shared" si="17"/>
        <v>0</v>
      </c>
      <c r="CR54" s="7">
        <f t="shared" si="17"/>
        <v>0</v>
      </c>
      <c r="CS54" s="7">
        <f t="shared" si="17"/>
        <v>0</v>
      </c>
      <c r="CT54" s="7">
        <f t="shared" si="17"/>
        <v>0</v>
      </c>
      <c r="CU54" s="7">
        <f t="shared" si="17"/>
        <v>0</v>
      </c>
      <c r="CV54" s="7">
        <f t="shared" si="17"/>
        <v>0</v>
      </c>
      <c r="CW54" s="7">
        <f t="shared" si="17"/>
        <v>0</v>
      </c>
      <c r="CX54" s="7">
        <f t="shared" si="17"/>
        <v>0</v>
      </c>
      <c r="CY54" s="7">
        <f t="shared" si="17"/>
        <v>0</v>
      </c>
      <c r="CZ54" s="7">
        <f t="shared" si="17"/>
        <v>0</v>
      </c>
      <c r="DA54" s="7">
        <f t="shared" si="17"/>
        <v>0</v>
      </c>
      <c r="DB54" s="7">
        <f t="shared" si="17"/>
        <v>0</v>
      </c>
      <c r="DC54" s="7">
        <f t="shared" si="17"/>
        <v>0</v>
      </c>
      <c r="DD54" s="7">
        <f t="shared" si="18"/>
        <v>0</v>
      </c>
      <c r="DE54" s="7">
        <f t="shared" si="18"/>
        <v>0</v>
      </c>
      <c r="DF54" s="7">
        <f t="shared" si="18"/>
        <v>0</v>
      </c>
      <c r="DG54" s="7">
        <f t="shared" si="18"/>
        <v>0</v>
      </c>
      <c r="DH54" s="7">
        <f t="shared" si="18"/>
        <v>0</v>
      </c>
      <c r="DI54" s="7">
        <f t="shared" si="18"/>
        <v>0</v>
      </c>
      <c r="DJ54" s="7">
        <f t="shared" si="18"/>
        <v>0</v>
      </c>
      <c r="DK54" s="7">
        <f t="shared" si="18"/>
        <v>0</v>
      </c>
      <c r="DL54" s="7">
        <f t="shared" si="18"/>
        <v>0</v>
      </c>
      <c r="DM54" s="7">
        <f t="shared" si="18"/>
        <v>0</v>
      </c>
      <c r="DO54" s="5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</row>
    <row r="55" spans="7:152" ht="16" x14ac:dyDescent="0.2">
      <c r="G55" s="5" t="s">
        <v>12</v>
      </c>
      <c r="H55" s="6">
        <f t="shared" si="8"/>
        <v>0</v>
      </c>
      <c r="I55" s="6">
        <f t="shared" si="8"/>
        <v>0</v>
      </c>
      <c r="J55" s="6">
        <f t="shared" si="8"/>
        <v>0</v>
      </c>
      <c r="K55" s="6">
        <f t="shared" si="8"/>
        <v>0</v>
      </c>
      <c r="L55" s="6">
        <f t="shared" si="8"/>
        <v>0</v>
      </c>
      <c r="M55" s="6">
        <f t="shared" si="8"/>
        <v>0</v>
      </c>
      <c r="N55" s="6">
        <f t="shared" si="8"/>
        <v>0</v>
      </c>
      <c r="O55" s="6">
        <f t="shared" si="8"/>
        <v>0</v>
      </c>
      <c r="P55" s="6">
        <f t="shared" si="8"/>
        <v>0</v>
      </c>
      <c r="Q55" s="6">
        <f t="shared" si="8"/>
        <v>0</v>
      </c>
      <c r="R55" s="6">
        <f t="shared" si="9"/>
        <v>0</v>
      </c>
      <c r="S55" s="6">
        <f t="shared" si="9"/>
        <v>0</v>
      </c>
      <c r="T55" s="6">
        <f t="shared" si="9"/>
        <v>0</v>
      </c>
      <c r="U55" s="6">
        <f t="shared" si="9"/>
        <v>0</v>
      </c>
      <c r="V55" s="6">
        <f t="shared" si="9"/>
        <v>0</v>
      </c>
      <c r="W55" s="6">
        <f t="shared" si="9"/>
        <v>0</v>
      </c>
      <c r="X55" s="6">
        <f t="shared" si="9"/>
        <v>0</v>
      </c>
      <c r="Y55" s="6">
        <f t="shared" si="9"/>
        <v>0</v>
      </c>
      <c r="Z55" s="6">
        <f t="shared" si="9"/>
        <v>0</v>
      </c>
      <c r="AA55" s="6">
        <f t="shared" si="9"/>
        <v>0</v>
      </c>
      <c r="AB55" s="6">
        <f t="shared" si="9"/>
        <v>0</v>
      </c>
      <c r="AC55" s="6">
        <f t="shared" si="9"/>
        <v>0</v>
      </c>
      <c r="AD55" s="6">
        <f t="shared" si="9"/>
        <v>0</v>
      </c>
      <c r="AE55" s="6">
        <f t="shared" si="9"/>
        <v>0</v>
      </c>
      <c r="AF55" s="6">
        <f t="shared" si="9"/>
        <v>0</v>
      </c>
      <c r="AG55" s="6">
        <f t="shared" si="9"/>
        <v>0</v>
      </c>
      <c r="AI55" s="5" t="str">
        <f t="shared" si="10"/>
        <v>Capacity Purchase</v>
      </c>
      <c r="AJ55" s="28">
        <f t="shared" si="11"/>
        <v>0</v>
      </c>
      <c r="AK55" s="28">
        <f t="shared" si="11"/>
        <v>0</v>
      </c>
      <c r="AL55" s="28">
        <f t="shared" si="11"/>
        <v>0</v>
      </c>
      <c r="AM55" s="28">
        <f t="shared" si="11"/>
        <v>0</v>
      </c>
      <c r="AN55" s="28">
        <f t="shared" si="11"/>
        <v>0</v>
      </c>
      <c r="AO55" s="28">
        <f t="shared" si="11"/>
        <v>0</v>
      </c>
      <c r="AP55" s="28">
        <f t="shared" si="11"/>
        <v>0</v>
      </c>
      <c r="AQ55" s="28">
        <f t="shared" si="11"/>
        <v>0</v>
      </c>
      <c r="AR55" s="28">
        <f t="shared" si="11"/>
        <v>0</v>
      </c>
      <c r="AS55" s="28">
        <f t="shared" si="11"/>
        <v>0</v>
      </c>
      <c r="AT55" s="28">
        <f t="shared" si="11"/>
        <v>0</v>
      </c>
      <c r="AU55" s="28">
        <f t="shared" si="11"/>
        <v>0</v>
      </c>
      <c r="AV55" s="28">
        <f t="shared" si="11"/>
        <v>0</v>
      </c>
      <c r="AW55" s="28">
        <f t="shared" si="11"/>
        <v>0</v>
      </c>
      <c r="AX55" s="28">
        <f t="shared" si="11"/>
        <v>0</v>
      </c>
      <c r="AY55" s="28">
        <f t="shared" si="11"/>
        <v>0</v>
      </c>
      <c r="AZ55" s="28">
        <f t="shared" si="12"/>
        <v>0</v>
      </c>
      <c r="BA55" s="28">
        <f t="shared" si="12"/>
        <v>0</v>
      </c>
      <c r="BB55" s="28">
        <f t="shared" si="12"/>
        <v>0</v>
      </c>
      <c r="BC55" s="28">
        <f t="shared" si="12"/>
        <v>0</v>
      </c>
      <c r="BD55" s="28">
        <f t="shared" si="12"/>
        <v>0</v>
      </c>
      <c r="BE55" s="28">
        <f t="shared" si="12"/>
        <v>0</v>
      </c>
      <c r="BF55" s="28">
        <f t="shared" si="12"/>
        <v>0</v>
      </c>
      <c r="BG55" s="28">
        <f t="shared" si="12"/>
        <v>0</v>
      </c>
      <c r="BH55" s="28">
        <f t="shared" si="12"/>
        <v>0</v>
      </c>
      <c r="BI55" s="28">
        <f t="shared" si="12"/>
        <v>0</v>
      </c>
      <c r="BK55" s="5" t="str">
        <f t="shared" si="13"/>
        <v>Capacity Purchase</v>
      </c>
      <c r="BL55" s="6">
        <f t="shared" si="14"/>
        <v>0</v>
      </c>
      <c r="BM55" s="6">
        <f t="shared" si="14"/>
        <v>0</v>
      </c>
      <c r="BN55" s="6">
        <f t="shared" si="14"/>
        <v>0</v>
      </c>
      <c r="BO55" s="6">
        <f t="shared" si="14"/>
        <v>0</v>
      </c>
      <c r="BP55" s="6">
        <f t="shared" si="14"/>
        <v>0</v>
      </c>
      <c r="BQ55" s="6">
        <f t="shared" si="14"/>
        <v>0</v>
      </c>
      <c r="BR55" s="6">
        <f t="shared" si="14"/>
        <v>0</v>
      </c>
      <c r="BS55" s="6">
        <f t="shared" si="14"/>
        <v>0</v>
      </c>
      <c r="BT55" s="6">
        <f t="shared" si="14"/>
        <v>0</v>
      </c>
      <c r="BU55" s="6">
        <f t="shared" si="14"/>
        <v>0</v>
      </c>
      <c r="BV55" s="6">
        <f t="shared" si="14"/>
        <v>0</v>
      </c>
      <c r="BW55" s="6">
        <f t="shared" si="14"/>
        <v>0</v>
      </c>
      <c r="BX55" s="6">
        <f t="shared" si="14"/>
        <v>0</v>
      </c>
      <c r="BY55" s="6">
        <f t="shared" si="14"/>
        <v>0</v>
      </c>
      <c r="BZ55" s="6">
        <f t="shared" si="14"/>
        <v>0</v>
      </c>
      <c r="CA55" s="6">
        <f t="shared" si="14"/>
        <v>0</v>
      </c>
      <c r="CB55" s="6">
        <f t="shared" si="15"/>
        <v>0</v>
      </c>
      <c r="CC55" s="6">
        <f t="shared" si="15"/>
        <v>0</v>
      </c>
      <c r="CD55" s="6">
        <f t="shared" si="15"/>
        <v>0</v>
      </c>
      <c r="CE55" s="6">
        <f t="shared" si="15"/>
        <v>0</v>
      </c>
      <c r="CF55" s="6">
        <f t="shared" si="15"/>
        <v>0</v>
      </c>
      <c r="CG55" s="6">
        <f t="shared" si="15"/>
        <v>0</v>
      </c>
      <c r="CH55" s="6">
        <f t="shared" si="15"/>
        <v>0</v>
      </c>
      <c r="CI55" s="6">
        <f t="shared" si="15"/>
        <v>0</v>
      </c>
      <c r="CJ55" s="6">
        <f t="shared" si="15"/>
        <v>0</v>
      </c>
      <c r="CK55" s="6">
        <f t="shared" si="15"/>
        <v>0</v>
      </c>
      <c r="CM55" s="5" t="str">
        <f t="shared" si="16"/>
        <v>Capacity Purchase</v>
      </c>
      <c r="CN55" s="7">
        <f t="shared" si="17"/>
        <v>0</v>
      </c>
      <c r="CO55" s="7">
        <f t="shared" si="17"/>
        <v>0</v>
      </c>
      <c r="CP55" s="7">
        <f t="shared" si="17"/>
        <v>0</v>
      </c>
      <c r="CQ55" s="7">
        <f t="shared" si="17"/>
        <v>0</v>
      </c>
      <c r="CR55" s="7">
        <f t="shared" si="17"/>
        <v>0</v>
      </c>
      <c r="CS55" s="7">
        <f t="shared" si="17"/>
        <v>0</v>
      </c>
      <c r="CT55" s="7">
        <f t="shared" si="17"/>
        <v>0</v>
      </c>
      <c r="CU55" s="7">
        <f t="shared" si="17"/>
        <v>0</v>
      </c>
      <c r="CV55" s="7">
        <f t="shared" si="17"/>
        <v>0</v>
      </c>
      <c r="CW55" s="7">
        <f t="shared" si="17"/>
        <v>0</v>
      </c>
      <c r="CX55" s="7">
        <f t="shared" si="17"/>
        <v>0</v>
      </c>
      <c r="CY55" s="7">
        <f t="shared" si="17"/>
        <v>0</v>
      </c>
      <c r="CZ55" s="7">
        <f t="shared" si="17"/>
        <v>0</v>
      </c>
      <c r="DA55" s="7">
        <f t="shared" si="17"/>
        <v>0</v>
      </c>
      <c r="DB55" s="7">
        <f t="shared" si="17"/>
        <v>0</v>
      </c>
      <c r="DC55" s="7">
        <f t="shared" si="17"/>
        <v>0</v>
      </c>
      <c r="DD55" s="7">
        <f t="shared" si="18"/>
        <v>0</v>
      </c>
      <c r="DE55" s="7">
        <f t="shared" si="18"/>
        <v>0</v>
      </c>
      <c r="DF55" s="7">
        <f t="shared" si="18"/>
        <v>0</v>
      </c>
      <c r="DG55" s="7">
        <f t="shared" si="18"/>
        <v>0</v>
      </c>
      <c r="DH55" s="7">
        <f t="shared" si="18"/>
        <v>0</v>
      </c>
      <c r="DI55" s="7">
        <f t="shared" si="18"/>
        <v>0</v>
      </c>
      <c r="DJ55" s="7">
        <f t="shared" si="18"/>
        <v>0</v>
      </c>
      <c r="DK55" s="7">
        <f t="shared" si="18"/>
        <v>0</v>
      </c>
      <c r="DL55" s="7">
        <f t="shared" si="18"/>
        <v>0</v>
      </c>
      <c r="DM55" s="7">
        <f t="shared" si="18"/>
        <v>0</v>
      </c>
      <c r="DO55" s="5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</row>
    <row r="56" spans="7:152" x14ac:dyDescent="0.2">
      <c r="AJ56" s="9">
        <f>SUM(AJ43:AJ55)</f>
        <v>0</v>
      </c>
      <c r="AK56" s="9">
        <f>SUM(AK43:AK55)</f>
        <v>200</v>
      </c>
      <c r="AL56" s="9">
        <f t="shared" ref="AL56:BI56" si="27">SUM(AL43:AL55)</f>
        <v>650</v>
      </c>
      <c r="AM56" s="9">
        <f t="shared" si="27"/>
        <v>2609</v>
      </c>
      <c r="AN56" s="9">
        <f t="shared" si="27"/>
        <v>3839</v>
      </c>
      <c r="AO56" s="9">
        <f t="shared" si="27"/>
        <v>4684</v>
      </c>
      <c r="AP56" s="9">
        <f t="shared" si="27"/>
        <v>5479</v>
      </c>
      <c r="AQ56" s="9">
        <f t="shared" si="27"/>
        <v>5479</v>
      </c>
      <c r="AR56" s="9">
        <f t="shared" si="27"/>
        <v>5529</v>
      </c>
      <c r="AS56" s="9">
        <f t="shared" si="27"/>
        <v>5529</v>
      </c>
      <c r="AT56" s="9">
        <f t="shared" si="27"/>
        <v>6579</v>
      </c>
      <c r="AU56" s="9">
        <f t="shared" si="27"/>
        <v>6629</v>
      </c>
      <c r="AV56" s="9">
        <f t="shared" si="27"/>
        <v>6629</v>
      </c>
      <c r="AW56" s="9">
        <f t="shared" si="27"/>
        <v>6629</v>
      </c>
      <c r="AX56" s="9">
        <f t="shared" si="27"/>
        <v>7343</v>
      </c>
      <c r="AY56" s="9">
        <f t="shared" si="27"/>
        <v>7343</v>
      </c>
      <c r="AZ56" s="9">
        <f t="shared" si="27"/>
        <v>7343</v>
      </c>
      <c r="BA56" s="9">
        <f t="shared" si="27"/>
        <v>7343</v>
      </c>
      <c r="BB56" s="9">
        <f t="shared" si="27"/>
        <v>7343</v>
      </c>
      <c r="BC56" s="9">
        <f t="shared" si="27"/>
        <v>7343</v>
      </c>
      <c r="BD56" s="9">
        <f t="shared" si="27"/>
        <v>7343</v>
      </c>
      <c r="BE56" s="9">
        <f t="shared" si="27"/>
        <v>7343</v>
      </c>
      <c r="BF56" s="9">
        <f t="shared" si="27"/>
        <v>7343</v>
      </c>
      <c r="BG56" s="9">
        <f t="shared" si="27"/>
        <v>7343</v>
      </c>
      <c r="BH56" s="9">
        <f t="shared" si="27"/>
        <v>7343</v>
      </c>
      <c r="BI56" s="9">
        <f t="shared" si="27"/>
        <v>7343</v>
      </c>
      <c r="CN56" s="35">
        <f>SUM(CN43:CN55)</f>
        <v>47.568999999999996</v>
      </c>
      <c r="CO56" s="35">
        <f t="shared" ref="CO56:DM56" si="28">SUM(CO43:CO55)</f>
        <v>46.887</v>
      </c>
      <c r="CP56" s="35">
        <f t="shared" si="28"/>
        <v>45.099000000000004</v>
      </c>
      <c r="CQ56" s="35">
        <f t="shared" si="28"/>
        <v>43.097000000000008</v>
      </c>
      <c r="CR56" s="35">
        <f t="shared" si="28"/>
        <v>41.066000000000003</v>
      </c>
      <c r="CS56" s="35">
        <f t="shared" si="28"/>
        <v>37.088999999999999</v>
      </c>
      <c r="CT56" s="35">
        <f t="shared" si="28"/>
        <v>37.419000000000004</v>
      </c>
      <c r="CU56" s="35">
        <f t="shared" si="28"/>
        <v>37.801000000000002</v>
      </c>
      <c r="CV56" s="35">
        <f t="shared" si="28"/>
        <v>37.768999999999998</v>
      </c>
      <c r="CW56" s="35">
        <f t="shared" si="28"/>
        <v>37.591999999999999</v>
      </c>
      <c r="CX56" s="35">
        <f t="shared" si="28"/>
        <v>37.307000000000002</v>
      </c>
      <c r="CY56" s="35">
        <f t="shared" si="28"/>
        <v>34.867000000000004</v>
      </c>
      <c r="CZ56" s="35">
        <f t="shared" si="28"/>
        <v>35.186</v>
      </c>
      <c r="DA56" s="35">
        <f t="shared" si="28"/>
        <v>35.152999999999999</v>
      </c>
      <c r="DB56" s="35">
        <f t="shared" si="28"/>
        <v>34.341999999999999</v>
      </c>
      <c r="DC56" s="35">
        <f t="shared" si="28"/>
        <v>34.772999999999996</v>
      </c>
      <c r="DD56" s="35">
        <f t="shared" si="28"/>
        <v>34.557000000000002</v>
      </c>
      <c r="DE56" s="35">
        <f t="shared" si="28"/>
        <v>35.135999999999996</v>
      </c>
      <c r="DF56" s="35">
        <f t="shared" si="28"/>
        <v>34.784999999999997</v>
      </c>
      <c r="DG56" s="35">
        <f t="shared" si="28"/>
        <v>35.122</v>
      </c>
      <c r="DH56" s="35">
        <f t="shared" si="28"/>
        <v>35.198</v>
      </c>
      <c r="DI56" s="35">
        <f t="shared" si="28"/>
        <v>35.650999999999996</v>
      </c>
      <c r="DJ56" s="35">
        <f t="shared" si="28"/>
        <v>35.094999999999999</v>
      </c>
      <c r="DK56" s="35">
        <f t="shared" si="28"/>
        <v>35.682000000000002</v>
      </c>
      <c r="DL56" s="35">
        <f t="shared" si="28"/>
        <v>35.902999999999999</v>
      </c>
      <c r="DM56" s="35">
        <f t="shared" si="28"/>
        <v>35.823999999999998</v>
      </c>
    </row>
    <row r="57" spans="7:152" ht="16" x14ac:dyDescent="0.2">
      <c r="G57" s="4" t="s">
        <v>24</v>
      </c>
      <c r="H57" s="4">
        <v>2025</v>
      </c>
      <c r="I57" s="4">
        <f>H57+1</f>
        <v>2026</v>
      </c>
      <c r="J57" s="4">
        <f t="shared" ref="J57:AG57" si="29">I57+1</f>
        <v>2027</v>
      </c>
      <c r="K57" s="4">
        <f t="shared" si="29"/>
        <v>2028</v>
      </c>
      <c r="L57" s="4">
        <f t="shared" si="29"/>
        <v>2029</v>
      </c>
      <c r="M57" s="4">
        <f t="shared" si="29"/>
        <v>2030</v>
      </c>
      <c r="N57" s="4">
        <f t="shared" si="29"/>
        <v>2031</v>
      </c>
      <c r="O57" s="4">
        <f t="shared" si="29"/>
        <v>2032</v>
      </c>
      <c r="P57" s="4">
        <f t="shared" si="29"/>
        <v>2033</v>
      </c>
      <c r="Q57" s="4">
        <f t="shared" si="29"/>
        <v>2034</v>
      </c>
      <c r="R57" s="4">
        <f t="shared" si="29"/>
        <v>2035</v>
      </c>
      <c r="S57" s="4">
        <f t="shared" si="29"/>
        <v>2036</v>
      </c>
      <c r="T57" s="4">
        <f t="shared" si="29"/>
        <v>2037</v>
      </c>
      <c r="U57" s="4">
        <f t="shared" si="29"/>
        <v>2038</v>
      </c>
      <c r="V57" s="4">
        <f t="shared" si="29"/>
        <v>2039</v>
      </c>
      <c r="W57" s="4">
        <f t="shared" si="29"/>
        <v>2040</v>
      </c>
      <c r="X57" s="4">
        <f t="shared" si="29"/>
        <v>2041</v>
      </c>
      <c r="Y57" s="4">
        <f t="shared" si="29"/>
        <v>2042</v>
      </c>
      <c r="Z57" s="4">
        <f t="shared" si="29"/>
        <v>2043</v>
      </c>
      <c r="AA57" s="4">
        <f t="shared" si="29"/>
        <v>2044</v>
      </c>
      <c r="AB57" s="4">
        <f t="shared" si="29"/>
        <v>2045</v>
      </c>
      <c r="AC57" s="4">
        <f t="shared" si="29"/>
        <v>2046</v>
      </c>
      <c r="AD57" s="4">
        <f t="shared" si="29"/>
        <v>2047</v>
      </c>
      <c r="AE57" s="4">
        <f t="shared" si="29"/>
        <v>2048</v>
      </c>
      <c r="AF57" s="4">
        <f t="shared" si="29"/>
        <v>2049</v>
      </c>
      <c r="AG57" s="4">
        <f t="shared" si="29"/>
        <v>2050</v>
      </c>
      <c r="AK57" s="9">
        <f>AK56-AJ56</f>
        <v>200</v>
      </c>
      <c r="AL57" s="9">
        <f t="shared" ref="AL57:BI57" si="30">AL56-AK56</f>
        <v>450</v>
      </c>
      <c r="AM57" s="9">
        <f t="shared" si="30"/>
        <v>1959</v>
      </c>
      <c r="AN57" s="9">
        <f t="shared" si="30"/>
        <v>1230</v>
      </c>
      <c r="AO57" s="9">
        <f t="shared" si="30"/>
        <v>845</v>
      </c>
      <c r="AP57" s="9">
        <f t="shared" si="30"/>
        <v>795</v>
      </c>
      <c r="AQ57" s="9">
        <f t="shared" si="30"/>
        <v>0</v>
      </c>
      <c r="AR57" s="9">
        <f t="shared" si="30"/>
        <v>50</v>
      </c>
      <c r="AS57" s="9">
        <f t="shared" si="30"/>
        <v>0</v>
      </c>
      <c r="AT57" s="9">
        <f t="shared" si="30"/>
        <v>1050</v>
      </c>
      <c r="AU57" s="9">
        <f t="shared" si="30"/>
        <v>50</v>
      </c>
      <c r="AV57" s="9">
        <f t="shared" si="30"/>
        <v>0</v>
      </c>
      <c r="AW57" s="9">
        <f t="shared" si="30"/>
        <v>0</v>
      </c>
      <c r="AX57" s="9">
        <f t="shared" si="30"/>
        <v>714</v>
      </c>
      <c r="AY57" s="9">
        <f t="shared" si="30"/>
        <v>0</v>
      </c>
      <c r="AZ57" s="9">
        <f t="shared" si="30"/>
        <v>0</v>
      </c>
      <c r="BA57" s="9">
        <f t="shared" si="30"/>
        <v>0</v>
      </c>
      <c r="BB57" s="9">
        <f t="shared" si="30"/>
        <v>0</v>
      </c>
      <c r="BC57" s="9">
        <f t="shared" si="30"/>
        <v>0</v>
      </c>
      <c r="BD57" s="9">
        <f t="shared" si="30"/>
        <v>0</v>
      </c>
      <c r="BE57" s="9">
        <f t="shared" si="30"/>
        <v>0</v>
      </c>
      <c r="BF57" s="9">
        <f t="shared" si="30"/>
        <v>0</v>
      </c>
      <c r="BG57" s="9">
        <f t="shared" si="30"/>
        <v>0</v>
      </c>
      <c r="BH57" s="9">
        <f t="shared" si="30"/>
        <v>0</v>
      </c>
      <c r="BI57" s="9">
        <f t="shared" si="30"/>
        <v>0</v>
      </c>
      <c r="BK57" t="s">
        <v>110</v>
      </c>
      <c r="BL57" s="12">
        <f t="shared" ref="BL57:CK57" si="31">SUM(BL43:BL46)/SUM(BL43:BL55)</f>
        <v>0.95298369608866762</v>
      </c>
      <c r="BM57" s="12">
        <f t="shared" si="31"/>
        <v>0.93802514271053816</v>
      </c>
      <c r="BN57" s="12">
        <f t="shared" si="31"/>
        <v>0.91394914523775317</v>
      </c>
      <c r="BO57" s="12">
        <f t="shared" si="31"/>
        <v>0.88902446754563891</v>
      </c>
      <c r="BP57" s="12">
        <f t="shared" si="31"/>
        <v>0.88809423643247787</v>
      </c>
      <c r="BQ57" s="12">
        <f t="shared" si="31"/>
        <v>0.8858299595141701</v>
      </c>
      <c r="BR57" s="12">
        <f t="shared" si="31"/>
        <v>0.884460763682278</v>
      </c>
      <c r="BS57" s="12">
        <f t="shared" si="31"/>
        <v>0.88475441817764522</v>
      </c>
      <c r="BT57" s="12">
        <f t="shared" si="31"/>
        <v>0.88443927715339676</v>
      </c>
      <c r="BU57" s="12">
        <f t="shared" si="31"/>
        <v>0.88117046516643904</v>
      </c>
      <c r="BV57" s="12">
        <f t="shared" si="31"/>
        <v>0.8681904598539103</v>
      </c>
      <c r="BW57" s="12">
        <f t="shared" si="31"/>
        <v>0.86631284515527507</v>
      </c>
      <c r="BX57" s="12">
        <f t="shared" si="31"/>
        <v>0.86739465130866167</v>
      </c>
      <c r="BY57" s="12">
        <f t="shared" si="31"/>
        <v>0.86700891265597146</v>
      </c>
      <c r="BZ57" s="12">
        <f t="shared" si="31"/>
        <v>0.86439407864040607</v>
      </c>
      <c r="CA57" s="12">
        <f t="shared" si="31"/>
        <v>0.86587327114827917</v>
      </c>
      <c r="CB57" s="12">
        <f t="shared" si="31"/>
        <v>0.86651739822286056</v>
      </c>
      <c r="CC57" s="12">
        <f t="shared" si="31"/>
        <v>0.86993457670149399</v>
      </c>
      <c r="CD57" s="12">
        <f t="shared" si="31"/>
        <v>0.86795947576684529</v>
      </c>
      <c r="CE57" s="12">
        <f t="shared" si="31"/>
        <v>0.8682385382429948</v>
      </c>
      <c r="CF57" s="12">
        <f t="shared" si="31"/>
        <v>0.8688871266190854</v>
      </c>
      <c r="CG57" s="12">
        <f t="shared" si="31"/>
        <v>0.87022532336799141</v>
      </c>
      <c r="CH57" s="12">
        <f t="shared" si="31"/>
        <v>0.86827582362450528</v>
      </c>
      <c r="CI57" s="12">
        <f t="shared" si="31"/>
        <v>0.87109633634959172</v>
      </c>
      <c r="CJ57" s="12">
        <f t="shared" si="31"/>
        <v>0.87308771736737834</v>
      </c>
      <c r="CK57" s="12">
        <f t="shared" si="31"/>
        <v>0.87065032158759825</v>
      </c>
    </row>
    <row r="58" spans="7:152" ht="16" x14ac:dyDescent="0.2">
      <c r="G58" s="5" t="s">
        <v>0</v>
      </c>
      <c r="H58" s="6">
        <f>H43*INDEX('[1]PRM &amp; ELCCs'!$C$10:$L$28,MATCH($G58,'[1]PRM &amp; ELCCs'!$A$10:$A$28,0),MATCH(H$57,'[1]PRM &amp; ELCCs'!$C$9:$L$9,1))</f>
        <v>6635.16</v>
      </c>
      <c r="I58" s="6">
        <f>I43*INDEX('[1]PRM &amp; ELCCs'!$C$10:$L$28,MATCH($G58,'[1]PRM &amp; ELCCs'!$A$10:$A$28,0),MATCH(I$57,'[1]PRM &amp; ELCCs'!$C$9:$L$9,1))</f>
        <v>6556.17</v>
      </c>
      <c r="J58" s="6">
        <f>J43*INDEX('[1]PRM &amp; ELCCs'!$C$10:$L$28,MATCH($G58,'[1]PRM &amp; ELCCs'!$A$10:$A$28,0),MATCH(J$57,'[1]PRM &amp; ELCCs'!$C$9:$L$9,1))</f>
        <v>6635.16</v>
      </c>
      <c r="K58" s="6">
        <f>K43*INDEX('[1]PRM &amp; ELCCs'!$C$10:$L$28,MATCH($G58,'[1]PRM &amp; ELCCs'!$A$10:$A$28,0),MATCH(K$57,'[1]PRM &amp; ELCCs'!$C$9:$L$9,1))</f>
        <v>6385.6799999999994</v>
      </c>
      <c r="L58" s="6">
        <f>L43*INDEX('[1]PRM &amp; ELCCs'!$C$10:$L$28,MATCH($G58,'[1]PRM &amp; ELCCs'!$A$10:$A$28,0),MATCH(L$57,'[1]PRM &amp; ELCCs'!$C$9:$L$9,1))</f>
        <v>5798.7</v>
      </c>
      <c r="M58" s="6">
        <f>M43*INDEX('[1]PRM &amp; ELCCs'!$C$10:$L$28,MATCH($G58,'[1]PRM &amp; ELCCs'!$A$10:$A$28,0),MATCH(M$57,'[1]PRM &amp; ELCCs'!$C$9:$L$9,1))</f>
        <v>4082.5499999999997</v>
      </c>
      <c r="N58" s="6">
        <f>N43*INDEX('[1]PRM &amp; ELCCs'!$C$10:$L$28,MATCH($G58,'[1]PRM &amp; ELCCs'!$A$10:$A$28,0),MATCH(N$57,'[1]PRM &amp; ELCCs'!$C$9:$L$9,1))</f>
        <v>4130.58</v>
      </c>
      <c r="O58" s="6">
        <f>O43*INDEX('[1]PRM &amp; ELCCs'!$C$10:$L$28,MATCH($G58,'[1]PRM &amp; ELCCs'!$A$10:$A$28,0),MATCH(O$57,'[1]PRM &amp; ELCCs'!$C$9:$L$9,1))</f>
        <v>4130.58</v>
      </c>
      <c r="P58" s="6">
        <f>P43*INDEX('[1]PRM &amp; ELCCs'!$C$10:$L$28,MATCH($G58,'[1]PRM &amp; ELCCs'!$A$10:$A$28,0),MATCH(P$57,'[1]PRM &amp; ELCCs'!$C$9:$L$9,1))</f>
        <v>3986.49</v>
      </c>
      <c r="Q58" s="6">
        <f>Q43*INDEX('[1]PRM &amp; ELCCs'!$C$10:$L$28,MATCH($G58,'[1]PRM &amp; ELCCs'!$A$10:$A$28,0),MATCH(Q$57,'[1]PRM &amp; ELCCs'!$C$9:$L$9,1))</f>
        <v>3794.3700000000003</v>
      </c>
      <c r="R58" s="6">
        <f>R43*INDEX('[1]PRM &amp; ELCCs'!$C$10:$L$28,MATCH($G58,'[1]PRM &amp; ELCCs'!$A$10:$A$28,0),MATCH(R$57,'[1]PRM &amp; ELCCs'!$C$9:$L$9,1))</f>
        <v>3794.3700000000003</v>
      </c>
      <c r="S58" s="6">
        <f>S43*INDEX('[1]PRM &amp; ELCCs'!$C$10:$L$28,MATCH($G58,'[1]PRM &amp; ELCCs'!$A$10:$A$28,0),MATCH(S$57,'[1]PRM &amp; ELCCs'!$C$9:$L$9,1))</f>
        <v>2783.17</v>
      </c>
      <c r="T58" s="6">
        <f>T43*INDEX('[1]PRM &amp; ELCCs'!$C$10:$L$28,MATCH($G58,'[1]PRM &amp; ELCCs'!$A$10:$A$28,0),MATCH(T$57,'[1]PRM &amp; ELCCs'!$C$9:$L$9,1))</f>
        <v>2783.17</v>
      </c>
      <c r="U58" s="6">
        <f>U43*INDEX('[1]PRM &amp; ELCCs'!$C$10:$L$28,MATCH($G58,'[1]PRM &amp; ELCCs'!$A$10:$A$28,0),MATCH(U$57,'[1]PRM &amp; ELCCs'!$C$9:$L$9,1))</f>
        <v>2783.17</v>
      </c>
      <c r="V58" s="6">
        <f>V43*INDEX('[1]PRM &amp; ELCCs'!$C$10:$L$28,MATCH($G58,'[1]PRM &amp; ELCCs'!$A$10:$A$28,0),MATCH(V$57,'[1]PRM &amp; ELCCs'!$C$9:$L$9,1))</f>
        <v>2783.17</v>
      </c>
      <c r="W58" s="6">
        <f>W43*INDEX('[1]PRM &amp; ELCCs'!$C$10:$L$28,MATCH($G58,'[1]PRM &amp; ELCCs'!$A$10:$A$28,0),MATCH(W$57,'[1]PRM &amp; ELCCs'!$C$9:$L$9,1))</f>
        <v>2783.17</v>
      </c>
      <c r="X58" s="6">
        <f>X43*INDEX('[1]PRM &amp; ELCCs'!$C$10:$L$28,MATCH($G58,'[1]PRM &amp; ELCCs'!$A$10:$A$28,0),MATCH(X$57,'[1]PRM &amp; ELCCs'!$C$9:$L$9,1))</f>
        <v>2783.17</v>
      </c>
      <c r="Y58" s="6">
        <f>Y43*INDEX('[1]PRM &amp; ELCCs'!$C$10:$L$28,MATCH($G58,'[1]PRM &amp; ELCCs'!$A$10:$A$28,0),MATCH(Y$57,'[1]PRM &amp; ELCCs'!$C$9:$L$9,1))</f>
        <v>2783.17</v>
      </c>
      <c r="Z58" s="6">
        <f>Z43*INDEX('[1]PRM &amp; ELCCs'!$C$10:$L$28,MATCH($G58,'[1]PRM &amp; ELCCs'!$A$10:$A$28,0),MATCH(Z$57,'[1]PRM &amp; ELCCs'!$C$9:$L$9,1))</f>
        <v>2783.17</v>
      </c>
      <c r="AA58" s="6">
        <f>AA43*INDEX('[1]PRM &amp; ELCCs'!$C$10:$L$28,MATCH($G58,'[1]PRM &amp; ELCCs'!$A$10:$A$28,0),MATCH(AA$57,'[1]PRM &amp; ELCCs'!$C$9:$L$9,1))</f>
        <v>2783.17</v>
      </c>
      <c r="AB58" s="6">
        <f>AB43*INDEX('[1]PRM &amp; ELCCs'!$C$10:$L$28,MATCH($G58,'[1]PRM &amp; ELCCs'!$A$10:$A$28,0),MATCH(AB$57,'[1]PRM &amp; ELCCs'!$C$9:$L$9,1))</f>
        <v>2783.17</v>
      </c>
      <c r="AC58" s="6">
        <f>AC43*INDEX('[1]PRM &amp; ELCCs'!$C$10:$L$28,MATCH($G58,'[1]PRM &amp; ELCCs'!$A$10:$A$28,0),MATCH(AC$57,'[1]PRM &amp; ELCCs'!$C$9:$L$9,1))</f>
        <v>2783.17</v>
      </c>
      <c r="AD58" s="6">
        <f>AD43*INDEX('[1]PRM &amp; ELCCs'!$C$10:$L$28,MATCH($G58,'[1]PRM &amp; ELCCs'!$A$10:$A$28,0),MATCH(AD$57,'[1]PRM &amp; ELCCs'!$C$9:$L$9,1))</f>
        <v>2783.17</v>
      </c>
      <c r="AE58" s="6">
        <f>AE43*INDEX('[1]PRM &amp; ELCCs'!$C$10:$L$28,MATCH($G58,'[1]PRM &amp; ELCCs'!$A$10:$A$28,0),MATCH(AE$57,'[1]PRM &amp; ELCCs'!$C$9:$L$9,1))</f>
        <v>2783.17</v>
      </c>
      <c r="AF58" s="6">
        <f>AF43*INDEX('[1]PRM &amp; ELCCs'!$C$10:$L$28,MATCH($G58,'[1]PRM &amp; ELCCs'!$A$10:$A$28,0),MATCH(AF$57,'[1]PRM &amp; ELCCs'!$C$9:$L$9,1))</f>
        <v>2783.17</v>
      </c>
      <c r="AG58" s="6">
        <f>AG43*INDEX('[1]PRM &amp; ELCCs'!$C$10:$L$28,MATCH($G58,'[1]PRM &amp; ELCCs'!$A$10:$A$28,0),MATCH(AG$57,'[1]PRM &amp; ELCCs'!$C$9:$L$9,1))</f>
        <v>2783.17</v>
      </c>
      <c r="BK58" t="s">
        <v>111</v>
      </c>
      <c r="BL58" s="33">
        <f t="shared" ref="BL58:CK58" si="32">SUM(BL47:BL51)/SUM(BL43:BL55)</f>
        <v>4.7016303911332429E-2</v>
      </c>
      <c r="BM58" s="33">
        <f t="shared" si="32"/>
        <v>6.1974857289461879E-2</v>
      </c>
      <c r="BN58" s="33">
        <f t="shared" si="32"/>
        <v>8.6050854762246803E-2</v>
      </c>
      <c r="BO58" s="33">
        <f t="shared" si="32"/>
        <v>0.11097553245436105</v>
      </c>
      <c r="BP58" s="33">
        <f t="shared" si="32"/>
        <v>0.11190576356752209</v>
      </c>
      <c r="BQ58" s="33">
        <f t="shared" si="32"/>
        <v>0.11417004048582996</v>
      </c>
      <c r="BR58" s="33">
        <f t="shared" si="32"/>
        <v>0.11553923631772202</v>
      </c>
      <c r="BS58" s="33">
        <f t="shared" si="32"/>
        <v>0.11524558182235484</v>
      </c>
      <c r="BT58" s="33">
        <f t="shared" si="32"/>
        <v>0.11556072284660322</v>
      </c>
      <c r="BU58" s="33">
        <f t="shared" si="32"/>
        <v>0.118829534833561</v>
      </c>
      <c r="BV58" s="33">
        <f t="shared" si="32"/>
        <v>0.13180954014608975</v>
      </c>
      <c r="BW58" s="33">
        <f t="shared" si="32"/>
        <v>0.13368715484472496</v>
      </c>
      <c r="BX58" s="33">
        <f t="shared" si="32"/>
        <v>0.1326053486913383</v>
      </c>
      <c r="BY58" s="33">
        <f t="shared" si="32"/>
        <v>0.13299108734402851</v>
      </c>
      <c r="BZ58" s="33">
        <f t="shared" si="32"/>
        <v>0.13560592135959393</v>
      </c>
      <c r="CA58" s="33">
        <f t="shared" si="32"/>
        <v>0.13412672885172081</v>
      </c>
      <c r="CB58" s="33">
        <f t="shared" si="32"/>
        <v>0.13348260177713939</v>
      </c>
      <c r="CC58" s="33">
        <f t="shared" si="32"/>
        <v>0.13006542329850601</v>
      </c>
      <c r="CD58" s="33">
        <f t="shared" si="32"/>
        <v>0.13204052423315465</v>
      </c>
      <c r="CE58" s="33">
        <f t="shared" si="32"/>
        <v>0.13176146175700518</v>
      </c>
      <c r="CF58" s="33">
        <f t="shared" si="32"/>
        <v>0.13111287338091462</v>
      </c>
      <c r="CG58" s="33">
        <f t="shared" si="32"/>
        <v>0.12977467663200862</v>
      </c>
      <c r="CH58" s="33">
        <f t="shared" si="32"/>
        <v>0.13172417637549474</v>
      </c>
      <c r="CI58" s="33">
        <f t="shared" si="32"/>
        <v>0.12890366365040831</v>
      </c>
      <c r="CJ58" s="33">
        <f t="shared" si="32"/>
        <v>0.12691228263262161</v>
      </c>
      <c r="CK58" s="33">
        <f t="shared" si="32"/>
        <v>0.12934967841240175</v>
      </c>
    </row>
    <row r="59" spans="7:152" ht="16" x14ac:dyDescent="0.2">
      <c r="G59" s="5" t="s">
        <v>1</v>
      </c>
      <c r="H59" s="6">
        <f>H44*INDEX('[1]PRM &amp; ELCCs'!$C$10:$L$28,MATCH($G59,'[1]PRM &amp; ELCCs'!$A$10:$A$28,0),MATCH(H$57,'[1]PRM &amp; ELCCs'!$C$9:$L$9,1))</f>
        <v>561.75</v>
      </c>
      <c r="I59" s="6">
        <f>I44*INDEX('[1]PRM &amp; ELCCs'!$C$10:$L$28,MATCH($G59,'[1]PRM &amp; ELCCs'!$A$10:$A$28,0),MATCH(I$57,'[1]PRM &amp; ELCCs'!$C$9:$L$9,1))</f>
        <v>546.77</v>
      </c>
      <c r="J59" s="6">
        <f>J44*INDEX('[1]PRM &amp; ELCCs'!$C$10:$L$28,MATCH($G59,'[1]PRM &amp; ELCCs'!$A$10:$A$28,0),MATCH(J$57,'[1]PRM &amp; ELCCs'!$C$9:$L$9,1))</f>
        <v>546.77</v>
      </c>
      <c r="K59" s="6">
        <f>K44*INDEX('[1]PRM &amp; ELCCs'!$C$10:$L$28,MATCH($G59,'[1]PRM &amp; ELCCs'!$A$10:$A$28,0),MATCH(K$57,'[1]PRM &amp; ELCCs'!$C$9:$L$9,1))</f>
        <v>554.26</v>
      </c>
      <c r="L59" s="6">
        <f>L44*INDEX('[1]PRM &amp; ELCCs'!$C$10:$L$28,MATCH($G59,'[1]PRM &amp; ELCCs'!$A$10:$A$28,0),MATCH(L$57,'[1]PRM &amp; ELCCs'!$C$9:$L$9,1))</f>
        <v>561.75</v>
      </c>
      <c r="M59" s="6">
        <f>M44*INDEX('[1]PRM &amp; ELCCs'!$C$10:$L$28,MATCH($G59,'[1]PRM &amp; ELCCs'!$A$10:$A$28,0),MATCH(M$57,'[1]PRM &amp; ELCCs'!$C$9:$L$9,1))</f>
        <v>2048.3200000000002</v>
      </c>
      <c r="N59" s="6">
        <f>N44*INDEX('[1]PRM &amp; ELCCs'!$C$10:$L$28,MATCH($G59,'[1]PRM &amp; ELCCs'!$A$10:$A$28,0),MATCH(N$57,'[1]PRM &amp; ELCCs'!$C$9:$L$9,1))</f>
        <v>2076</v>
      </c>
      <c r="O59" s="6">
        <f>O44*INDEX('[1]PRM &amp; ELCCs'!$C$10:$L$28,MATCH($G59,'[1]PRM &amp; ELCCs'!$A$10:$A$28,0),MATCH(O$57,'[1]PRM &amp; ELCCs'!$C$9:$L$9,1))</f>
        <v>2103.6799999999998</v>
      </c>
      <c r="P59" s="6">
        <f>P44*INDEX('[1]PRM &amp; ELCCs'!$C$10:$L$28,MATCH($G59,'[1]PRM &amp; ELCCs'!$A$10:$A$28,0),MATCH(P$57,'[1]PRM &amp; ELCCs'!$C$9:$L$9,1))</f>
        <v>2048.3200000000002</v>
      </c>
      <c r="Q59" s="6">
        <f>Q44*INDEX('[1]PRM &amp; ELCCs'!$C$10:$L$28,MATCH($G59,'[1]PRM &amp; ELCCs'!$A$10:$A$28,0),MATCH(Q$57,'[1]PRM &amp; ELCCs'!$C$9:$L$9,1))</f>
        <v>2020.6399999999999</v>
      </c>
      <c r="R59" s="6">
        <f>R44*INDEX('[1]PRM &amp; ELCCs'!$C$10:$L$28,MATCH($G59,'[1]PRM &amp; ELCCs'!$A$10:$A$28,0),MATCH(R$57,'[1]PRM &amp; ELCCs'!$C$9:$L$9,1))</f>
        <v>2020.6399999999999</v>
      </c>
      <c r="S59" s="6">
        <f>S44*INDEX('[1]PRM &amp; ELCCs'!$C$10:$L$28,MATCH($G59,'[1]PRM &amp; ELCCs'!$A$10:$A$28,0),MATCH(S$57,'[1]PRM &amp; ELCCs'!$C$9:$L$9,1))</f>
        <v>2020.6399999999999</v>
      </c>
      <c r="T59" s="6">
        <f>T44*INDEX('[1]PRM &amp; ELCCs'!$C$10:$L$28,MATCH($G59,'[1]PRM &amp; ELCCs'!$A$10:$A$28,0),MATCH(T$57,'[1]PRM &amp; ELCCs'!$C$9:$L$9,1))</f>
        <v>2020.6399999999999</v>
      </c>
      <c r="U59" s="6">
        <f>U44*INDEX('[1]PRM &amp; ELCCs'!$C$10:$L$28,MATCH($G59,'[1]PRM &amp; ELCCs'!$A$10:$A$28,0),MATCH(U$57,'[1]PRM &amp; ELCCs'!$C$9:$L$9,1))</f>
        <v>2020.6399999999999</v>
      </c>
      <c r="V59" s="6">
        <f>V44*INDEX('[1]PRM &amp; ELCCs'!$C$10:$L$28,MATCH($G59,'[1]PRM &amp; ELCCs'!$A$10:$A$28,0),MATCH(V$57,'[1]PRM &amp; ELCCs'!$C$9:$L$9,1))</f>
        <v>2505.36</v>
      </c>
      <c r="W59" s="6">
        <f>W44*INDEX('[1]PRM &amp; ELCCs'!$C$10:$L$28,MATCH($G59,'[1]PRM &amp; ELCCs'!$A$10:$A$28,0),MATCH(W$57,'[1]PRM &amp; ELCCs'!$C$9:$L$9,1))</f>
        <v>2505.36</v>
      </c>
      <c r="X59" s="6">
        <f>X44*INDEX('[1]PRM &amp; ELCCs'!$C$10:$L$28,MATCH($G59,'[1]PRM &amp; ELCCs'!$A$10:$A$28,0),MATCH(X$57,'[1]PRM &amp; ELCCs'!$C$9:$L$9,1))</f>
        <v>2505.36</v>
      </c>
      <c r="Y59" s="6">
        <f>Y44*INDEX('[1]PRM &amp; ELCCs'!$C$10:$L$28,MATCH($G59,'[1]PRM &amp; ELCCs'!$A$10:$A$28,0),MATCH(Y$57,'[1]PRM &amp; ELCCs'!$C$9:$L$9,1))</f>
        <v>2290.0099999999998</v>
      </c>
      <c r="Z59" s="6">
        <f>Z44*INDEX('[1]PRM &amp; ELCCs'!$C$10:$L$28,MATCH($G59,'[1]PRM &amp; ELCCs'!$A$10:$A$28,0),MATCH(Z$57,'[1]PRM &amp; ELCCs'!$C$9:$L$9,1))</f>
        <v>2290.0099999999998</v>
      </c>
      <c r="AA59" s="6">
        <f>AA44*INDEX('[1]PRM &amp; ELCCs'!$C$10:$L$28,MATCH($G59,'[1]PRM &amp; ELCCs'!$A$10:$A$28,0),MATCH(AA$57,'[1]PRM &amp; ELCCs'!$C$9:$L$9,1))</f>
        <v>2290.0099999999998</v>
      </c>
      <c r="AB59" s="6">
        <f>AB44*INDEX('[1]PRM &amp; ELCCs'!$C$10:$L$28,MATCH($G59,'[1]PRM &amp; ELCCs'!$A$10:$A$28,0),MATCH(AB$57,'[1]PRM &amp; ELCCs'!$C$9:$L$9,1))</f>
        <v>2290.0099999999998</v>
      </c>
      <c r="AC59" s="6">
        <f>AC44*INDEX('[1]PRM &amp; ELCCs'!$C$10:$L$28,MATCH($G59,'[1]PRM &amp; ELCCs'!$A$10:$A$28,0),MATCH(AC$57,'[1]PRM &amp; ELCCs'!$C$9:$L$9,1))</f>
        <v>2290.0099999999998</v>
      </c>
      <c r="AD59" s="6">
        <f>AD44*INDEX('[1]PRM &amp; ELCCs'!$C$10:$L$28,MATCH($G59,'[1]PRM &amp; ELCCs'!$A$10:$A$28,0),MATCH(AD$57,'[1]PRM &amp; ELCCs'!$C$9:$L$9,1))</f>
        <v>2290.0099999999998</v>
      </c>
      <c r="AE59" s="6">
        <f>AE44*INDEX('[1]PRM &amp; ELCCs'!$C$10:$L$28,MATCH($G59,'[1]PRM &amp; ELCCs'!$A$10:$A$28,0),MATCH(AE$57,'[1]PRM &amp; ELCCs'!$C$9:$L$9,1))</f>
        <v>2290.0099999999998</v>
      </c>
      <c r="AF59" s="6">
        <f>AF44*INDEX('[1]PRM &amp; ELCCs'!$C$10:$L$28,MATCH($G59,'[1]PRM &amp; ELCCs'!$A$10:$A$28,0),MATCH(AF$57,'[1]PRM &amp; ELCCs'!$C$9:$L$9,1))</f>
        <v>2290.0099999999998</v>
      </c>
      <c r="AG59" s="6">
        <f>AG44*INDEX('[1]PRM &amp; ELCCs'!$C$10:$L$28,MATCH($G59,'[1]PRM &amp; ELCCs'!$A$10:$A$28,0),MATCH(AG$57,'[1]PRM &amp; ELCCs'!$C$9:$L$9,1))</f>
        <v>2290.0099999999998</v>
      </c>
    </row>
    <row r="60" spans="7:152" ht="16" x14ac:dyDescent="0.2">
      <c r="G60" s="5" t="s">
        <v>2</v>
      </c>
      <c r="H60" s="6">
        <f>H45*INDEX('[1]PRM &amp; ELCCs'!$C$10:$L$28,MATCH($G60,'[1]PRM &amp; ELCCs'!$A$10:$A$28,0),MATCH(H$57,'[1]PRM &amp; ELCCs'!$C$9:$L$9,1))</f>
        <v>0</v>
      </c>
      <c r="I60" s="6">
        <f>I45*INDEX('[1]PRM &amp; ELCCs'!$C$10:$L$28,MATCH($G60,'[1]PRM &amp; ELCCs'!$A$10:$A$28,0),MATCH(I$57,'[1]PRM &amp; ELCCs'!$C$9:$L$9,1))</f>
        <v>0</v>
      </c>
      <c r="J60" s="6">
        <f>J45*INDEX('[1]PRM &amp; ELCCs'!$C$10:$L$28,MATCH($G60,'[1]PRM &amp; ELCCs'!$A$10:$A$28,0),MATCH(J$57,'[1]PRM &amp; ELCCs'!$C$9:$L$9,1))</f>
        <v>516</v>
      </c>
      <c r="K60" s="6">
        <f>K45*INDEX('[1]PRM &amp; ELCCs'!$C$10:$L$28,MATCH($G60,'[1]PRM &amp; ELCCs'!$A$10:$A$28,0),MATCH(K$57,'[1]PRM &amp; ELCCs'!$C$9:$L$9,1))</f>
        <v>1044.9000000000001</v>
      </c>
      <c r="L60" s="6">
        <f>L45*INDEX('[1]PRM &amp; ELCCs'!$C$10:$L$28,MATCH($G60,'[1]PRM &amp; ELCCs'!$A$10:$A$28,0),MATCH(L$57,'[1]PRM &amp; ELCCs'!$C$9:$L$9,1))</f>
        <v>1568.6999999999998</v>
      </c>
      <c r="M60" s="6">
        <f>M45*INDEX('[1]PRM &amp; ELCCs'!$C$10:$L$28,MATCH($G60,'[1]PRM &amp; ELCCs'!$A$10:$A$28,0),MATCH(M$57,'[1]PRM &amp; ELCCs'!$C$9:$L$9,1))</f>
        <v>2187.0499999999997</v>
      </c>
      <c r="N60" s="6">
        <f>N45*INDEX('[1]PRM &amp; ELCCs'!$C$10:$L$28,MATCH($G60,'[1]PRM &amp; ELCCs'!$A$10:$A$28,0),MATCH(N$57,'[1]PRM &amp; ELCCs'!$C$9:$L$9,1))</f>
        <v>2788</v>
      </c>
      <c r="O60" s="6">
        <f>O45*INDEX('[1]PRM &amp; ELCCs'!$C$10:$L$28,MATCH($G60,'[1]PRM &amp; ELCCs'!$A$10:$A$28,0),MATCH(O$57,'[1]PRM &amp; ELCCs'!$C$9:$L$9,1))</f>
        <v>2788</v>
      </c>
      <c r="P60" s="6">
        <f>P45*INDEX('[1]PRM &amp; ELCCs'!$C$10:$L$28,MATCH($G60,'[1]PRM &amp; ELCCs'!$A$10:$A$28,0),MATCH(P$57,'[1]PRM &amp; ELCCs'!$C$9:$L$9,1))</f>
        <v>2755.2</v>
      </c>
      <c r="Q60" s="6">
        <f>Q45*INDEX('[1]PRM &amp; ELCCs'!$C$10:$L$28,MATCH($G60,'[1]PRM &amp; ELCCs'!$A$10:$A$28,0),MATCH(Q$57,'[1]PRM &amp; ELCCs'!$C$9:$L$9,1))</f>
        <v>2689.6</v>
      </c>
      <c r="R60" s="6">
        <f>R45*INDEX('[1]PRM &amp; ELCCs'!$C$10:$L$28,MATCH($G60,'[1]PRM &amp; ELCCs'!$A$10:$A$28,0),MATCH(R$57,'[1]PRM &amp; ELCCs'!$C$9:$L$9,1))</f>
        <v>2689.6</v>
      </c>
      <c r="S60" s="6">
        <f>S45*INDEX('[1]PRM &amp; ELCCs'!$C$10:$L$28,MATCH($G60,'[1]PRM &amp; ELCCs'!$A$10:$A$28,0),MATCH(S$57,'[1]PRM &amp; ELCCs'!$C$9:$L$9,1))</f>
        <v>2689.6</v>
      </c>
      <c r="T60" s="6">
        <f>T45*INDEX('[1]PRM &amp; ELCCs'!$C$10:$L$28,MATCH($G60,'[1]PRM &amp; ELCCs'!$A$10:$A$28,0),MATCH(T$57,'[1]PRM &amp; ELCCs'!$C$9:$L$9,1))</f>
        <v>2689.6</v>
      </c>
      <c r="U60" s="6">
        <f>U45*INDEX('[1]PRM &amp; ELCCs'!$C$10:$L$28,MATCH($G60,'[1]PRM &amp; ELCCs'!$A$10:$A$28,0),MATCH(U$57,'[1]PRM &amp; ELCCs'!$C$9:$L$9,1))</f>
        <v>2689.6</v>
      </c>
      <c r="V60" s="6">
        <f>V45*INDEX('[1]PRM &amp; ELCCs'!$C$10:$L$28,MATCH($G60,'[1]PRM &amp; ELCCs'!$A$10:$A$28,0),MATCH(V$57,'[1]PRM &amp; ELCCs'!$C$9:$L$9,1))</f>
        <v>2689.6</v>
      </c>
      <c r="W60" s="6">
        <f>W45*INDEX('[1]PRM &amp; ELCCs'!$C$10:$L$28,MATCH($G60,'[1]PRM &amp; ELCCs'!$A$10:$A$28,0),MATCH(W$57,'[1]PRM &amp; ELCCs'!$C$9:$L$9,1))</f>
        <v>2689.6</v>
      </c>
      <c r="X60" s="6">
        <f>X45*INDEX('[1]PRM &amp; ELCCs'!$C$10:$L$28,MATCH($G60,'[1]PRM &amp; ELCCs'!$A$10:$A$28,0),MATCH(X$57,'[1]PRM &amp; ELCCs'!$C$9:$L$9,1))</f>
        <v>2689.6</v>
      </c>
      <c r="Y60" s="6">
        <f>Y45*INDEX('[1]PRM &amp; ELCCs'!$C$10:$L$28,MATCH($G60,'[1]PRM &amp; ELCCs'!$A$10:$A$28,0),MATCH(Y$57,'[1]PRM &amp; ELCCs'!$C$9:$L$9,1))</f>
        <v>2689.6</v>
      </c>
      <c r="Z60" s="6">
        <f>Z45*INDEX('[1]PRM &amp; ELCCs'!$C$10:$L$28,MATCH($G60,'[1]PRM &amp; ELCCs'!$A$10:$A$28,0),MATCH(Z$57,'[1]PRM &amp; ELCCs'!$C$9:$L$9,1))</f>
        <v>2689.6</v>
      </c>
      <c r="AA60" s="6">
        <f>AA45*INDEX('[1]PRM &amp; ELCCs'!$C$10:$L$28,MATCH($G60,'[1]PRM &amp; ELCCs'!$A$10:$A$28,0),MATCH(AA$57,'[1]PRM &amp; ELCCs'!$C$9:$L$9,1))</f>
        <v>2689.6</v>
      </c>
      <c r="AB60" s="6">
        <f>AB45*INDEX('[1]PRM &amp; ELCCs'!$C$10:$L$28,MATCH($G60,'[1]PRM &amp; ELCCs'!$A$10:$A$28,0),MATCH(AB$57,'[1]PRM &amp; ELCCs'!$C$9:$L$9,1))</f>
        <v>2689.6</v>
      </c>
      <c r="AC60" s="6">
        <f>AC45*INDEX('[1]PRM &amp; ELCCs'!$C$10:$L$28,MATCH($G60,'[1]PRM &amp; ELCCs'!$A$10:$A$28,0),MATCH(AC$57,'[1]PRM &amp; ELCCs'!$C$9:$L$9,1))</f>
        <v>2689.6</v>
      </c>
      <c r="AD60" s="6">
        <f>AD45*INDEX('[1]PRM &amp; ELCCs'!$C$10:$L$28,MATCH($G60,'[1]PRM &amp; ELCCs'!$A$10:$A$28,0),MATCH(AD$57,'[1]PRM &amp; ELCCs'!$C$9:$L$9,1))</f>
        <v>2689.6</v>
      </c>
      <c r="AE60" s="6">
        <f>AE45*INDEX('[1]PRM &amp; ELCCs'!$C$10:$L$28,MATCH($G60,'[1]PRM &amp; ELCCs'!$A$10:$A$28,0),MATCH(AE$57,'[1]PRM &amp; ELCCs'!$C$9:$L$9,1))</f>
        <v>2689.6</v>
      </c>
      <c r="AF60" s="6">
        <f>AF45*INDEX('[1]PRM &amp; ELCCs'!$C$10:$L$28,MATCH($G60,'[1]PRM &amp; ELCCs'!$A$10:$A$28,0),MATCH(AF$57,'[1]PRM &amp; ELCCs'!$C$9:$L$9,1))</f>
        <v>2689.6</v>
      </c>
      <c r="AG60" s="6">
        <f>AG45*INDEX('[1]PRM &amp; ELCCs'!$C$10:$L$28,MATCH($G60,'[1]PRM &amp; ELCCs'!$A$10:$A$28,0),MATCH(AG$57,'[1]PRM &amp; ELCCs'!$C$9:$L$9,1))</f>
        <v>2689.6</v>
      </c>
    </row>
    <row r="61" spans="7:152" ht="16" x14ac:dyDescent="0.2">
      <c r="G61" s="5" t="s">
        <v>3</v>
      </c>
      <c r="H61" s="6">
        <f>H46*INDEX('[1]PRM &amp; ELCCs'!$C$10:$L$28,MATCH($G61,'[1]PRM &amp; ELCCs'!$A$10:$A$28,0),MATCH(H$57,'[1]PRM &amp; ELCCs'!$C$9:$L$9,1))</f>
        <v>2884.86</v>
      </c>
      <c r="I61" s="6">
        <f>I46*INDEX('[1]PRM &amp; ELCCs'!$C$10:$L$28,MATCH($G61,'[1]PRM &amp; ELCCs'!$A$10:$A$28,0),MATCH(I$57,'[1]PRM &amp; ELCCs'!$C$9:$L$9,1))</f>
        <v>2749.2</v>
      </c>
      <c r="J61" s="6">
        <f>J46*INDEX('[1]PRM &amp; ELCCs'!$C$10:$L$28,MATCH($G61,'[1]PRM &amp; ELCCs'!$A$10:$A$28,0),MATCH(J$57,'[1]PRM &amp; ELCCs'!$C$9:$L$9,1))</f>
        <v>2886.66</v>
      </c>
      <c r="K61" s="6">
        <f>K46*INDEX('[1]PRM &amp; ELCCs'!$C$10:$L$28,MATCH($G61,'[1]PRM &amp; ELCCs'!$A$10:$A$28,0),MATCH(K$57,'[1]PRM &amp; ELCCs'!$C$9:$L$9,1))</f>
        <v>3165.36</v>
      </c>
      <c r="L61" s="6">
        <f>L46*INDEX('[1]PRM &amp; ELCCs'!$C$10:$L$28,MATCH($G61,'[1]PRM &amp; ELCCs'!$A$10:$A$28,0),MATCH(L$57,'[1]PRM &amp; ELCCs'!$C$9:$L$9,1))</f>
        <v>3587.6800000000003</v>
      </c>
      <c r="M61" s="6">
        <f>M46*INDEX('[1]PRM &amp; ELCCs'!$C$10:$L$28,MATCH($G61,'[1]PRM &amp; ELCCs'!$A$10:$A$28,0),MATCH(M$57,'[1]PRM &amp; ELCCs'!$C$9:$L$9,1))</f>
        <v>3693.2</v>
      </c>
      <c r="N61" s="6">
        <f>N46*INDEX('[1]PRM &amp; ELCCs'!$C$10:$L$28,MATCH($G61,'[1]PRM &amp; ELCCs'!$A$10:$A$28,0),MATCH(N$57,'[1]PRM &amp; ELCCs'!$C$9:$L$9,1))</f>
        <v>3745.96</v>
      </c>
      <c r="O61" s="6">
        <f>O46*INDEX('[1]PRM &amp; ELCCs'!$C$10:$L$28,MATCH($G61,'[1]PRM &amp; ELCCs'!$A$10:$A$28,0),MATCH(O$57,'[1]PRM &amp; ELCCs'!$C$9:$L$9,1))</f>
        <v>3856.14</v>
      </c>
      <c r="P61" s="6">
        <f>P46*INDEX('[1]PRM &amp; ELCCs'!$C$10:$L$28,MATCH($G61,'[1]PRM &amp; ELCCs'!$A$10:$A$28,0),MATCH(P$57,'[1]PRM &amp; ELCCs'!$C$9:$L$9,1))</f>
        <v>3960.36</v>
      </c>
      <c r="Q61" s="6">
        <f>Q46*INDEX('[1]PRM &amp; ELCCs'!$C$10:$L$28,MATCH($G61,'[1]PRM &amp; ELCCs'!$A$10:$A$28,0),MATCH(Q$57,'[1]PRM &amp; ELCCs'!$C$9:$L$9,1))</f>
        <v>4064.58</v>
      </c>
      <c r="R61" s="6">
        <f>R46*INDEX('[1]PRM &amp; ELCCs'!$C$10:$L$28,MATCH($G61,'[1]PRM &amp; ELCCs'!$A$10:$A$28,0),MATCH(R$57,'[1]PRM &amp; ELCCs'!$C$9:$L$9,1))</f>
        <v>4064.58</v>
      </c>
      <c r="S61" s="6">
        <f>S46*INDEX('[1]PRM &amp; ELCCs'!$C$10:$L$28,MATCH($G61,'[1]PRM &amp; ELCCs'!$A$10:$A$28,0),MATCH(S$57,'[1]PRM &amp; ELCCs'!$C$9:$L$9,1))</f>
        <v>4064.58</v>
      </c>
      <c r="T61" s="6">
        <f>T46*INDEX('[1]PRM &amp; ELCCs'!$C$10:$L$28,MATCH($G61,'[1]PRM &amp; ELCCs'!$A$10:$A$28,0),MATCH(T$57,'[1]PRM &amp; ELCCs'!$C$9:$L$9,1))</f>
        <v>4064.58</v>
      </c>
      <c r="U61" s="6">
        <f>U46*INDEX('[1]PRM &amp; ELCCs'!$C$10:$L$28,MATCH($G61,'[1]PRM &amp; ELCCs'!$A$10:$A$28,0),MATCH(U$57,'[1]PRM &amp; ELCCs'!$C$9:$L$9,1))</f>
        <v>4064.58</v>
      </c>
      <c r="V61" s="6">
        <f>V46*INDEX('[1]PRM &amp; ELCCs'!$C$10:$L$28,MATCH($G61,'[1]PRM &amp; ELCCs'!$A$10:$A$28,0),MATCH(V$57,'[1]PRM &amp; ELCCs'!$C$9:$L$9,1))</f>
        <v>4064.58</v>
      </c>
      <c r="W61" s="6">
        <f>W46*INDEX('[1]PRM &amp; ELCCs'!$C$10:$L$28,MATCH($G61,'[1]PRM &amp; ELCCs'!$A$10:$A$28,0),MATCH(W$57,'[1]PRM &amp; ELCCs'!$C$9:$L$9,1))</f>
        <v>4064.58</v>
      </c>
      <c r="X61" s="6">
        <f>X46*INDEX('[1]PRM &amp; ELCCs'!$C$10:$L$28,MATCH($G61,'[1]PRM &amp; ELCCs'!$A$10:$A$28,0),MATCH(X$57,'[1]PRM &amp; ELCCs'!$C$9:$L$9,1))</f>
        <v>4064.58</v>
      </c>
      <c r="Y61" s="6">
        <f>Y46*INDEX('[1]PRM &amp; ELCCs'!$C$10:$L$28,MATCH($G61,'[1]PRM &amp; ELCCs'!$A$10:$A$28,0),MATCH(Y$57,'[1]PRM &amp; ELCCs'!$C$9:$L$9,1))</f>
        <v>4064.58</v>
      </c>
      <c r="Z61" s="6">
        <f>Z46*INDEX('[1]PRM &amp; ELCCs'!$C$10:$L$28,MATCH($G61,'[1]PRM &amp; ELCCs'!$A$10:$A$28,0),MATCH(Z$57,'[1]PRM &amp; ELCCs'!$C$9:$L$9,1))</f>
        <v>4064.58</v>
      </c>
      <c r="AA61" s="6">
        <f>AA46*INDEX('[1]PRM &amp; ELCCs'!$C$10:$L$28,MATCH($G61,'[1]PRM &amp; ELCCs'!$A$10:$A$28,0),MATCH(AA$57,'[1]PRM &amp; ELCCs'!$C$9:$L$9,1))</f>
        <v>4064.58</v>
      </c>
      <c r="AB61" s="6">
        <f>AB46*INDEX('[1]PRM &amp; ELCCs'!$C$10:$L$28,MATCH($G61,'[1]PRM &amp; ELCCs'!$A$10:$A$28,0),MATCH(AB$57,'[1]PRM &amp; ELCCs'!$C$9:$L$9,1))</f>
        <v>4064.58</v>
      </c>
      <c r="AC61" s="6">
        <f>AC46*INDEX('[1]PRM &amp; ELCCs'!$C$10:$L$28,MATCH($G61,'[1]PRM &amp; ELCCs'!$A$10:$A$28,0),MATCH(AC$57,'[1]PRM &amp; ELCCs'!$C$9:$L$9,1))</f>
        <v>4064.58</v>
      </c>
      <c r="AD61" s="6">
        <f>AD46*INDEX('[1]PRM &amp; ELCCs'!$C$10:$L$28,MATCH($G61,'[1]PRM &amp; ELCCs'!$A$10:$A$28,0),MATCH(AD$57,'[1]PRM &amp; ELCCs'!$C$9:$L$9,1))</f>
        <v>4064.58</v>
      </c>
      <c r="AE61" s="6">
        <f>AE46*INDEX('[1]PRM &amp; ELCCs'!$C$10:$L$28,MATCH($G61,'[1]PRM &amp; ELCCs'!$A$10:$A$28,0),MATCH(AE$57,'[1]PRM &amp; ELCCs'!$C$9:$L$9,1))</f>
        <v>4064.58</v>
      </c>
      <c r="AF61" s="6">
        <f>AF46*INDEX('[1]PRM &amp; ELCCs'!$C$10:$L$28,MATCH($G61,'[1]PRM &amp; ELCCs'!$A$10:$A$28,0),MATCH(AF$57,'[1]PRM &amp; ELCCs'!$C$9:$L$9,1))</f>
        <v>4064.58</v>
      </c>
      <c r="AG61" s="6">
        <f>AG46*INDEX('[1]PRM &amp; ELCCs'!$C$10:$L$28,MATCH($G61,'[1]PRM &amp; ELCCs'!$A$10:$A$28,0),MATCH(AG$57,'[1]PRM &amp; ELCCs'!$C$9:$L$9,1))</f>
        <v>4064.58</v>
      </c>
    </row>
    <row r="62" spans="7:152" ht="16" x14ac:dyDescent="0.2">
      <c r="G62" s="5" t="s">
        <v>4</v>
      </c>
      <c r="H62" s="6">
        <f>H47*INDEX('[1]PRM &amp; ELCCs'!$C$10:$L$28,MATCH($G62,'[1]PRM &amp; ELCCs'!$A$10:$A$28,0),MATCH(H$57,'[1]PRM &amp; ELCCs'!$C$9:$L$9,1))</f>
        <v>0</v>
      </c>
      <c r="I62" s="6">
        <f>I47*INDEX('[1]PRM &amp; ELCCs'!$C$10:$L$28,MATCH($G62,'[1]PRM &amp; ELCCs'!$A$10:$A$28,0),MATCH(I$57,'[1]PRM &amp; ELCCs'!$C$9:$L$9,1))</f>
        <v>0</v>
      </c>
      <c r="J62" s="6">
        <f>J47*INDEX('[1]PRM &amp; ELCCs'!$C$10:$L$28,MATCH($G62,'[1]PRM &amp; ELCCs'!$A$10:$A$28,0),MATCH(J$57,'[1]PRM &amp; ELCCs'!$C$9:$L$9,1))</f>
        <v>0</v>
      </c>
      <c r="K62" s="6">
        <f>K47*INDEX('[1]PRM &amp; ELCCs'!$C$10:$L$28,MATCH($G62,'[1]PRM &amp; ELCCs'!$A$10:$A$28,0),MATCH(K$57,'[1]PRM &amp; ELCCs'!$C$9:$L$9,1))</f>
        <v>0</v>
      </c>
      <c r="L62" s="6">
        <f>L47*INDEX('[1]PRM &amp; ELCCs'!$C$10:$L$28,MATCH($G62,'[1]PRM &amp; ELCCs'!$A$10:$A$28,0),MATCH(L$57,'[1]PRM &amp; ELCCs'!$C$9:$L$9,1))</f>
        <v>0</v>
      </c>
      <c r="M62" s="6">
        <f>M47*INDEX('[1]PRM &amp; ELCCs'!$C$10:$L$28,MATCH($G62,'[1]PRM &amp; ELCCs'!$A$10:$A$28,0),MATCH(M$57,'[1]PRM &amp; ELCCs'!$C$9:$L$9,1))</f>
        <v>0</v>
      </c>
      <c r="N62" s="6">
        <f>N47*INDEX('[1]PRM &amp; ELCCs'!$C$10:$L$28,MATCH($G62,'[1]PRM &amp; ELCCs'!$A$10:$A$28,0),MATCH(N$57,'[1]PRM &amp; ELCCs'!$C$9:$L$9,1))</f>
        <v>0</v>
      </c>
      <c r="O62" s="6">
        <f>O47*INDEX('[1]PRM &amp; ELCCs'!$C$10:$L$28,MATCH($G62,'[1]PRM &amp; ELCCs'!$A$10:$A$28,0),MATCH(O$57,'[1]PRM &amp; ELCCs'!$C$9:$L$9,1))</f>
        <v>0</v>
      </c>
      <c r="P62" s="6">
        <f>P47*INDEX('[1]PRM &amp; ELCCs'!$C$10:$L$28,MATCH($G62,'[1]PRM &amp; ELCCs'!$A$10:$A$28,0),MATCH(P$57,'[1]PRM &amp; ELCCs'!$C$9:$L$9,1))</f>
        <v>0</v>
      </c>
      <c r="Q62" s="6">
        <f>Q47*INDEX('[1]PRM &amp; ELCCs'!$C$10:$L$28,MATCH($G62,'[1]PRM &amp; ELCCs'!$A$10:$A$28,0),MATCH(Q$57,'[1]PRM &amp; ELCCs'!$C$9:$L$9,1))</f>
        <v>0</v>
      </c>
      <c r="R62" s="6">
        <f>R47*INDEX('[1]PRM &amp; ELCCs'!$C$10:$L$28,MATCH($G62,'[1]PRM &amp; ELCCs'!$A$10:$A$28,0),MATCH(R$57,'[1]PRM &amp; ELCCs'!$C$9:$L$9,1))</f>
        <v>0</v>
      </c>
      <c r="S62" s="6">
        <f>S47*INDEX('[1]PRM &amp; ELCCs'!$C$10:$L$28,MATCH($G62,'[1]PRM &amp; ELCCs'!$A$10:$A$28,0),MATCH(S$57,'[1]PRM &amp; ELCCs'!$C$9:$L$9,1))</f>
        <v>0</v>
      </c>
      <c r="T62" s="6">
        <f>T47*INDEX('[1]PRM &amp; ELCCs'!$C$10:$L$28,MATCH($G62,'[1]PRM &amp; ELCCs'!$A$10:$A$28,0),MATCH(T$57,'[1]PRM &amp; ELCCs'!$C$9:$L$9,1))</f>
        <v>0</v>
      </c>
      <c r="U62" s="6">
        <f>U47*INDEX('[1]PRM &amp; ELCCs'!$C$10:$L$28,MATCH($G62,'[1]PRM &amp; ELCCs'!$A$10:$A$28,0),MATCH(U$57,'[1]PRM &amp; ELCCs'!$C$9:$L$9,1))</f>
        <v>0</v>
      </c>
      <c r="V62" s="6">
        <f>V47*INDEX('[1]PRM &amp; ELCCs'!$C$10:$L$28,MATCH($G62,'[1]PRM &amp; ELCCs'!$A$10:$A$28,0),MATCH(V$57,'[1]PRM &amp; ELCCs'!$C$9:$L$9,1))</f>
        <v>0</v>
      </c>
      <c r="W62" s="6">
        <f>W47*INDEX('[1]PRM &amp; ELCCs'!$C$10:$L$28,MATCH($G62,'[1]PRM &amp; ELCCs'!$A$10:$A$28,0),MATCH(W$57,'[1]PRM &amp; ELCCs'!$C$9:$L$9,1))</f>
        <v>0</v>
      </c>
      <c r="X62" s="6">
        <f>X47*INDEX('[1]PRM &amp; ELCCs'!$C$10:$L$28,MATCH($G62,'[1]PRM &amp; ELCCs'!$A$10:$A$28,0),MATCH(X$57,'[1]PRM &amp; ELCCs'!$C$9:$L$9,1))</f>
        <v>0</v>
      </c>
      <c r="Y62" s="6">
        <f>Y47*INDEX('[1]PRM &amp; ELCCs'!$C$10:$L$28,MATCH($G62,'[1]PRM &amp; ELCCs'!$A$10:$A$28,0),MATCH(Y$57,'[1]PRM &amp; ELCCs'!$C$9:$L$9,1))</f>
        <v>0</v>
      </c>
      <c r="Z62" s="6">
        <f>Z47*INDEX('[1]PRM &amp; ELCCs'!$C$10:$L$28,MATCH($G62,'[1]PRM &amp; ELCCs'!$A$10:$A$28,0),MATCH(Z$57,'[1]PRM &amp; ELCCs'!$C$9:$L$9,1))</f>
        <v>0</v>
      </c>
      <c r="AA62" s="6">
        <f>AA47*INDEX('[1]PRM &amp; ELCCs'!$C$10:$L$28,MATCH($G62,'[1]PRM &amp; ELCCs'!$A$10:$A$28,0),MATCH(AA$57,'[1]PRM &amp; ELCCs'!$C$9:$L$9,1))</f>
        <v>0</v>
      </c>
      <c r="AB62" s="6">
        <f>AB47*INDEX('[1]PRM &amp; ELCCs'!$C$10:$L$28,MATCH($G62,'[1]PRM &amp; ELCCs'!$A$10:$A$28,0),MATCH(AB$57,'[1]PRM &amp; ELCCs'!$C$9:$L$9,1))</f>
        <v>0</v>
      </c>
      <c r="AC62" s="6">
        <f>AC47*INDEX('[1]PRM &amp; ELCCs'!$C$10:$L$28,MATCH($G62,'[1]PRM &amp; ELCCs'!$A$10:$A$28,0),MATCH(AC$57,'[1]PRM &amp; ELCCs'!$C$9:$L$9,1))</f>
        <v>0</v>
      </c>
      <c r="AD62" s="6">
        <f>AD47*INDEX('[1]PRM &amp; ELCCs'!$C$10:$L$28,MATCH($G62,'[1]PRM &amp; ELCCs'!$A$10:$A$28,0),MATCH(AD$57,'[1]PRM &amp; ELCCs'!$C$9:$L$9,1))</f>
        <v>0</v>
      </c>
      <c r="AE62" s="6">
        <f>AE47*INDEX('[1]PRM &amp; ELCCs'!$C$10:$L$28,MATCH($G62,'[1]PRM &amp; ELCCs'!$A$10:$A$28,0),MATCH(AE$57,'[1]PRM &amp; ELCCs'!$C$9:$L$9,1))</f>
        <v>0</v>
      </c>
      <c r="AF62" s="6">
        <f>AF47*INDEX('[1]PRM &amp; ELCCs'!$C$10:$L$28,MATCH($G62,'[1]PRM &amp; ELCCs'!$A$10:$A$28,0),MATCH(AF$57,'[1]PRM &amp; ELCCs'!$C$9:$L$9,1))</f>
        <v>0</v>
      </c>
      <c r="AG62" s="6">
        <f>AG47*INDEX('[1]PRM &amp; ELCCs'!$C$10:$L$28,MATCH($G62,'[1]PRM &amp; ELCCs'!$A$10:$A$28,0),MATCH(AG$57,'[1]PRM &amp; ELCCs'!$C$9:$L$9,1))</f>
        <v>0</v>
      </c>
    </row>
    <row r="63" spans="7:152" ht="16" x14ac:dyDescent="0.2">
      <c r="G63" s="5" t="s">
        <v>5</v>
      </c>
      <c r="H63" s="6">
        <f>H48*INDEX('[1]PRM &amp; ELCCs'!$C$10:$L$28,MATCH($G63,'[1]PRM &amp; ELCCs'!$A$10:$A$28,0),MATCH(H$57,'[1]PRM &amp; ELCCs'!$C$9:$L$9,1))</f>
        <v>9.7740000000000009</v>
      </c>
      <c r="I63" s="6">
        <f>I48*INDEX('[1]PRM &amp; ELCCs'!$C$10:$L$28,MATCH($G63,'[1]PRM &amp; ELCCs'!$A$10:$A$28,0),MATCH(I$57,'[1]PRM &amp; ELCCs'!$C$9:$L$9,1))</f>
        <v>9.0500000000000007</v>
      </c>
      <c r="J63" s="6">
        <f>J48*INDEX('[1]PRM &amp; ELCCs'!$C$10:$L$28,MATCH($G63,'[1]PRM &amp; ELCCs'!$A$10:$A$28,0),MATCH(J$57,'[1]PRM &amp; ELCCs'!$C$9:$L$9,1))</f>
        <v>9.9550000000000018</v>
      </c>
      <c r="K63" s="6">
        <f>K48*INDEX('[1]PRM &amp; ELCCs'!$C$10:$L$28,MATCH($G63,'[1]PRM &amp; ELCCs'!$A$10:$A$28,0),MATCH(K$57,'[1]PRM &amp; ELCCs'!$C$9:$L$9,1))</f>
        <v>9.9550000000000018</v>
      </c>
      <c r="L63" s="6">
        <f>L48*INDEX('[1]PRM &amp; ELCCs'!$C$10:$L$28,MATCH($G63,'[1]PRM &amp; ELCCs'!$A$10:$A$28,0),MATCH(L$57,'[1]PRM &amp; ELCCs'!$C$9:$L$9,1))</f>
        <v>10.136000000000001</v>
      </c>
      <c r="M63" s="6">
        <f>M48*INDEX('[1]PRM &amp; ELCCs'!$C$10:$L$28,MATCH($G63,'[1]PRM &amp; ELCCs'!$A$10:$A$28,0),MATCH(M$57,'[1]PRM &amp; ELCCs'!$C$9:$L$9,1))</f>
        <v>10.136000000000001</v>
      </c>
      <c r="N63" s="6">
        <f>N48*INDEX('[1]PRM &amp; ELCCs'!$C$10:$L$28,MATCH($G63,'[1]PRM &amp; ELCCs'!$A$10:$A$28,0),MATCH(N$57,'[1]PRM &amp; ELCCs'!$C$9:$L$9,1))</f>
        <v>10.136000000000001</v>
      </c>
      <c r="O63" s="6">
        <f>O48*INDEX('[1]PRM &amp; ELCCs'!$C$10:$L$28,MATCH($G63,'[1]PRM &amp; ELCCs'!$A$10:$A$28,0),MATCH(O$57,'[1]PRM &amp; ELCCs'!$C$9:$L$9,1))</f>
        <v>10.136000000000001</v>
      </c>
      <c r="P63" s="6">
        <f>P48*INDEX('[1]PRM &amp; ELCCs'!$C$10:$L$28,MATCH($G63,'[1]PRM &amp; ELCCs'!$A$10:$A$28,0),MATCH(P$57,'[1]PRM &amp; ELCCs'!$C$9:$L$9,1))</f>
        <v>10.136000000000001</v>
      </c>
      <c r="Q63" s="6">
        <f>Q48*INDEX('[1]PRM &amp; ELCCs'!$C$10:$L$28,MATCH($G63,'[1]PRM &amp; ELCCs'!$A$10:$A$28,0),MATCH(Q$57,'[1]PRM &amp; ELCCs'!$C$9:$L$9,1))</f>
        <v>9.7740000000000009</v>
      </c>
      <c r="R63" s="6">
        <f>R48*INDEX('[1]PRM &amp; ELCCs'!$C$10:$L$28,MATCH($G63,'[1]PRM &amp; ELCCs'!$A$10:$A$28,0),MATCH(R$57,'[1]PRM &amp; ELCCs'!$C$9:$L$9,1))</f>
        <v>9.7740000000000009</v>
      </c>
      <c r="S63" s="6">
        <f>S48*INDEX('[1]PRM &amp; ELCCs'!$C$10:$L$28,MATCH($G63,'[1]PRM &amp; ELCCs'!$A$10:$A$28,0),MATCH(S$57,'[1]PRM &amp; ELCCs'!$C$9:$L$9,1))</f>
        <v>9.7740000000000009</v>
      </c>
      <c r="T63" s="6">
        <f>T48*INDEX('[1]PRM &amp; ELCCs'!$C$10:$L$28,MATCH($G63,'[1]PRM &amp; ELCCs'!$A$10:$A$28,0),MATCH(T$57,'[1]PRM &amp; ELCCs'!$C$9:$L$9,1))</f>
        <v>9.7740000000000009</v>
      </c>
      <c r="U63" s="6">
        <f>U48*INDEX('[1]PRM &amp; ELCCs'!$C$10:$L$28,MATCH($G63,'[1]PRM &amp; ELCCs'!$A$10:$A$28,0),MATCH(U$57,'[1]PRM &amp; ELCCs'!$C$9:$L$9,1))</f>
        <v>9.7740000000000009</v>
      </c>
      <c r="V63" s="6">
        <f>V48*INDEX('[1]PRM &amp; ELCCs'!$C$10:$L$28,MATCH($G63,'[1]PRM &amp; ELCCs'!$A$10:$A$28,0),MATCH(V$57,'[1]PRM &amp; ELCCs'!$C$9:$L$9,1))</f>
        <v>9.7740000000000009</v>
      </c>
      <c r="W63" s="6">
        <f>W48*INDEX('[1]PRM &amp; ELCCs'!$C$10:$L$28,MATCH($G63,'[1]PRM &amp; ELCCs'!$A$10:$A$28,0),MATCH(W$57,'[1]PRM &amp; ELCCs'!$C$9:$L$9,1))</f>
        <v>9.7740000000000009</v>
      </c>
      <c r="X63" s="6">
        <f>X48*INDEX('[1]PRM &amp; ELCCs'!$C$10:$L$28,MATCH($G63,'[1]PRM &amp; ELCCs'!$A$10:$A$28,0),MATCH(X$57,'[1]PRM &amp; ELCCs'!$C$9:$L$9,1))</f>
        <v>9.7740000000000009</v>
      </c>
      <c r="Y63" s="6">
        <f>Y48*INDEX('[1]PRM &amp; ELCCs'!$C$10:$L$28,MATCH($G63,'[1]PRM &amp; ELCCs'!$A$10:$A$28,0),MATCH(Y$57,'[1]PRM &amp; ELCCs'!$C$9:$L$9,1))</f>
        <v>9.7740000000000009</v>
      </c>
      <c r="Z63" s="6">
        <f>Z48*INDEX('[1]PRM &amp; ELCCs'!$C$10:$L$28,MATCH($G63,'[1]PRM &amp; ELCCs'!$A$10:$A$28,0),MATCH(Z$57,'[1]PRM &amp; ELCCs'!$C$9:$L$9,1))</f>
        <v>9.7740000000000009</v>
      </c>
      <c r="AA63" s="6">
        <f>AA48*INDEX('[1]PRM &amp; ELCCs'!$C$10:$L$28,MATCH($G63,'[1]PRM &amp; ELCCs'!$A$10:$A$28,0),MATCH(AA$57,'[1]PRM &amp; ELCCs'!$C$9:$L$9,1))</f>
        <v>9.7740000000000009</v>
      </c>
      <c r="AB63" s="6">
        <f>AB48*INDEX('[1]PRM &amp; ELCCs'!$C$10:$L$28,MATCH($G63,'[1]PRM &amp; ELCCs'!$A$10:$A$28,0),MATCH(AB$57,'[1]PRM &amp; ELCCs'!$C$9:$L$9,1))</f>
        <v>9.7740000000000009</v>
      </c>
      <c r="AC63" s="6">
        <f>AC48*INDEX('[1]PRM &amp; ELCCs'!$C$10:$L$28,MATCH($G63,'[1]PRM &amp; ELCCs'!$A$10:$A$28,0),MATCH(AC$57,'[1]PRM &amp; ELCCs'!$C$9:$L$9,1))</f>
        <v>9.7740000000000009</v>
      </c>
      <c r="AD63" s="6">
        <f>AD48*INDEX('[1]PRM &amp; ELCCs'!$C$10:$L$28,MATCH($G63,'[1]PRM &amp; ELCCs'!$A$10:$A$28,0),MATCH(AD$57,'[1]PRM &amp; ELCCs'!$C$9:$L$9,1))</f>
        <v>9.7740000000000009</v>
      </c>
      <c r="AE63" s="6">
        <f>AE48*INDEX('[1]PRM &amp; ELCCs'!$C$10:$L$28,MATCH($G63,'[1]PRM &amp; ELCCs'!$A$10:$A$28,0),MATCH(AE$57,'[1]PRM &amp; ELCCs'!$C$9:$L$9,1))</f>
        <v>9.7740000000000009</v>
      </c>
      <c r="AF63" s="6">
        <f>AF48*INDEX('[1]PRM &amp; ELCCs'!$C$10:$L$28,MATCH($G63,'[1]PRM &amp; ELCCs'!$A$10:$A$28,0),MATCH(AF$57,'[1]PRM &amp; ELCCs'!$C$9:$L$9,1))</f>
        <v>9.7740000000000009</v>
      </c>
      <c r="AG63" s="6">
        <f>AG48*INDEX('[1]PRM &amp; ELCCs'!$C$10:$L$28,MATCH($G63,'[1]PRM &amp; ELCCs'!$A$10:$A$28,0),MATCH(AG$57,'[1]PRM &amp; ELCCs'!$C$9:$L$9,1))</f>
        <v>9.7740000000000009</v>
      </c>
    </row>
    <row r="64" spans="7:152" ht="16" x14ac:dyDescent="0.2">
      <c r="G64" s="5" t="s">
        <v>6</v>
      </c>
      <c r="H64" s="6">
        <f>H49*INDEX('[1]PRM &amp; ELCCs'!$C$10:$L$28,MATCH($G64,'[1]PRM &amp; ELCCs'!$A$10:$A$28,0),MATCH(H$57,'[1]PRM &amp; ELCCs'!$C$9:$L$9,1))</f>
        <v>178.41399999999999</v>
      </c>
      <c r="I64" s="6">
        <f>I49*INDEX('[1]PRM &amp; ELCCs'!$C$10:$L$28,MATCH($G64,'[1]PRM &amp; ELCCs'!$A$10:$A$28,0),MATCH(I$57,'[1]PRM &amp; ELCCs'!$C$9:$L$9,1))</f>
        <v>183.23599999999999</v>
      </c>
      <c r="J64" s="6">
        <f>J49*INDEX('[1]PRM &amp; ELCCs'!$C$10:$L$28,MATCH($G64,'[1]PRM &amp; ELCCs'!$A$10:$A$28,0),MATCH(J$57,'[1]PRM &amp; ELCCs'!$C$9:$L$9,1))</f>
        <v>192.88</v>
      </c>
      <c r="K64" s="6">
        <f>K49*INDEX('[1]PRM &amp; ELCCs'!$C$10:$L$28,MATCH($G64,'[1]PRM &amp; ELCCs'!$A$10:$A$28,0),MATCH(K$57,'[1]PRM &amp; ELCCs'!$C$9:$L$9,1))</f>
        <v>178.41399999999999</v>
      </c>
      <c r="L64" s="6">
        <f>L49*INDEX('[1]PRM &amp; ELCCs'!$C$10:$L$28,MATCH($G64,'[1]PRM &amp; ELCCs'!$A$10:$A$28,0),MATCH(L$57,'[1]PRM &amp; ELCCs'!$C$9:$L$9,1))</f>
        <v>178.41399999999999</v>
      </c>
      <c r="M64" s="6">
        <f>M49*INDEX('[1]PRM &amp; ELCCs'!$C$10:$L$28,MATCH($G64,'[1]PRM &amp; ELCCs'!$A$10:$A$28,0),MATCH(M$57,'[1]PRM &amp; ELCCs'!$C$9:$L$9,1))</f>
        <v>178.41399999999999</v>
      </c>
      <c r="N64" s="6">
        <f>N49*INDEX('[1]PRM &amp; ELCCs'!$C$10:$L$28,MATCH($G64,'[1]PRM &amp; ELCCs'!$A$10:$A$28,0),MATCH(N$57,'[1]PRM &amp; ELCCs'!$C$9:$L$9,1))</f>
        <v>178.41399999999999</v>
      </c>
      <c r="O64" s="6">
        <f>O49*INDEX('[1]PRM &amp; ELCCs'!$C$10:$L$28,MATCH($G64,'[1]PRM &amp; ELCCs'!$A$10:$A$28,0),MATCH(O$57,'[1]PRM &amp; ELCCs'!$C$9:$L$9,1))</f>
        <v>188.05799999999999</v>
      </c>
      <c r="P64" s="6">
        <f>P49*INDEX('[1]PRM &amp; ELCCs'!$C$10:$L$28,MATCH($G64,'[1]PRM &amp; ELCCs'!$A$10:$A$28,0),MATCH(P$57,'[1]PRM &amp; ELCCs'!$C$9:$L$9,1))</f>
        <v>183.23599999999999</v>
      </c>
      <c r="Q64" s="6">
        <f>Q49*INDEX('[1]PRM &amp; ELCCs'!$C$10:$L$28,MATCH($G64,'[1]PRM &amp; ELCCs'!$A$10:$A$28,0),MATCH(Q$57,'[1]PRM &amp; ELCCs'!$C$9:$L$9,1))</f>
        <v>183.23599999999999</v>
      </c>
      <c r="R64" s="6">
        <f>R49*INDEX('[1]PRM &amp; ELCCs'!$C$10:$L$28,MATCH($G64,'[1]PRM &amp; ELCCs'!$A$10:$A$28,0),MATCH(R$57,'[1]PRM &amp; ELCCs'!$C$9:$L$9,1))</f>
        <v>183.23599999999999</v>
      </c>
      <c r="S64" s="6">
        <f>S49*INDEX('[1]PRM &amp; ELCCs'!$C$10:$L$28,MATCH($G64,'[1]PRM &amp; ELCCs'!$A$10:$A$28,0),MATCH(S$57,'[1]PRM &amp; ELCCs'!$C$9:$L$9,1))</f>
        <v>183.23599999999999</v>
      </c>
      <c r="T64" s="6">
        <f>T49*INDEX('[1]PRM &amp; ELCCs'!$C$10:$L$28,MATCH($G64,'[1]PRM &amp; ELCCs'!$A$10:$A$28,0),MATCH(T$57,'[1]PRM &amp; ELCCs'!$C$9:$L$9,1))</f>
        <v>183.23599999999999</v>
      </c>
      <c r="U64" s="6">
        <f>U49*INDEX('[1]PRM &amp; ELCCs'!$C$10:$L$28,MATCH($G64,'[1]PRM &amp; ELCCs'!$A$10:$A$28,0),MATCH(U$57,'[1]PRM &amp; ELCCs'!$C$9:$L$9,1))</f>
        <v>183.23599999999999</v>
      </c>
      <c r="V64" s="6">
        <f>V49*INDEX('[1]PRM &amp; ELCCs'!$C$10:$L$28,MATCH($G64,'[1]PRM &amp; ELCCs'!$A$10:$A$28,0),MATCH(V$57,'[1]PRM &amp; ELCCs'!$C$9:$L$9,1))</f>
        <v>183.23599999999999</v>
      </c>
      <c r="W64" s="6">
        <f>W49*INDEX('[1]PRM &amp; ELCCs'!$C$10:$L$28,MATCH($G64,'[1]PRM &amp; ELCCs'!$A$10:$A$28,0),MATCH(W$57,'[1]PRM &amp; ELCCs'!$C$9:$L$9,1))</f>
        <v>183.23599999999999</v>
      </c>
      <c r="X64" s="6">
        <f>X49*INDEX('[1]PRM &amp; ELCCs'!$C$10:$L$28,MATCH($G64,'[1]PRM &amp; ELCCs'!$A$10:$A$28,0),MATCH(X$57,'[1]PRM &amp; ELCCs'!$C$9:$L$9,1))</f>
        <v>183.23599999999999</v>
      </c>
      <c r="Y64" s="6">
        <f>Y49*INDEX('[1]PRM &amp; ELCCs'!$C$10:$L$28,MATCH($G64,'[1]PRM &amp; ELCCs'!$A$10:$A$28,0),MATCH(Y$57,'[1]PRM &amp; ELCCs'!$C$9:$L$9,1))</f>
        <v>183.23599999999999</v>
      </c>
      <c r="Z64" s="6">
        <f>Z49*INDEX('[1]PRM &amp; ELCCs'!$C$10:$L$28,MATCH($G64,'[1]PRM &amp; ELCCs'!$A$10:$A$28,0),MATCH(Z$57,'[1]PRM &amp; ELCCs'!$C$9:$L$9,1))</f>
        <v>183.23599999999999</v>
      </c>
      <c r="AA64" s="6">
        <f>AA49*INDEX('[1]PRM &amp; ELCCs'!$C$10:$L$28,MATCH($G64,'[1]PRM &amp; ELCCs'!$A$10:$A$28,0),MATCH(AA$57,'[1]PRM &amp; ELCCs'!$C$9:$L$9,1))</f>
        <v>183.23599999999999</v>
      </c>
      <c r="AB64" s="6">
        <f>AB49*INDEX('[1]PRM &amp; ELCCs'!$C$10:$L$28,MATCH($G64,'[1]PRM &amp; ELCCs'!$A$10:$A$28,0),MATCH(AB$57,'[1]PRM &amp; ELCCs'!$C$9:$L$9,1))</f>
        <v>183.23599999999999</v>
      </c>
      <c r="AC64" s="6">
        <f>AC49*INDEX('[1]PRM &amp; ELCCs'!$C$10:$L$28,MATCH($G64,'[1]PRM &amp; ELCCs'!$A$10:$A$28,0),MATCH(AC$57,'[1]PRM &amp; ELCCs'!$C$9:$L$9,1))</f>
        <v>183.23599999999999</v>
      </c>
      <c r="AD64" s="6">
        <f>AD49*INDEX('[1]PRM &amp; ELCCs'!$C$10:$L$28,MATCH($G64,'[1]PRM &amp; ELCCs'!$A$10:$A$28,0),MATCH(AD$57,'[1]PRM &amp; ELCCs'!$C$9:$L$9,1))</f>
        <v>183.23599999999999</v>
      </c>
      <c r="AE64" s="6">
        <f>AE49*INDEX('[1]PRM &amp; ELCCs'!$C$10:$L$28,MATCH($G64,'[1]PRM &amp; ELCCs'!$A$10:$A$28,0),MATCH(AE$57,'[1]PRM &amp; ELCCs'!$C$9:$L$9,1))</f>
        <v>183.23599999999999</v>
      </c>
      <c r="AF64" s="6">
        <f>AF49*INDEX('[1]PRM &amp; ELCCs'!$C$10:$L$28,MATCH($G64,'[1]PRM &amp; ELCCs'!$A$10:$A$28,0),MATCH(AF$57,'[1]PRM &amp; ELCCs'!$C$9:$L$9,1))</f>
        <v>183.23599999999999</v>
      </c>
      <c r="AG64" s="6">
        <f>AG49*INDEX('[1]PRM &amp; ELCCs'!$C$10:$L$28,MATCH($G64,'[1]PRM &amp; ELCCs'!$A$10:$A$28,0),MATCH(AG$57,'[1]PRM &amp; ELCCs'!$C$9:$L$9,1))</f>
        <v>183.23599999999999</v>
      </c>
    </row>
    <row r="65" spans="3:177" ht="16" x14ac:dyDescent="0.2">
      <c r="G65" s="5" t="s">
        <v>7</v>
      </c>
      <c r="H65" s="6">
        <f>H50*INDEX('[1]PRM &amp; ELCCs'!$C$10:$L$28,MATCH($G65,'[1]PRM &amp; ELCCs'!$A$10:$A$28,0),MATCH(H$57,'[1]PRM &amp; ELCCs'!$C$9:$L$9,1))</f>
        <v>3.15E-2</v>
      </c>
      <c r="I65" s="6">
        <f>I50*INDEX('[1]PRM &amp; ELCCs'!$C$10:$L$28,MATCH($G65,'[1]PRM &amp; ELCCs'!$A$10:$A$28,0),MATCH(I$57,'[1]PRM &amp; ELCCs'!$C$9:$L$9,1))</f>
        <v>82.036900000000003</v>
      </c>
      <c r="J65" s="6">
        <f>J50*INDEX('[1]PRM &amp; ELCCs'!$C$10:$L$28,MATCH($G65,'[1]PRM &amp; ELCCs'!$A$10:$A$28,0),MATCH(J$57,'[1]PRM &amp; ELCCs'!$C$9:$L$9,1))</f>
        <v>132.02969999999999</v>
      </c>
      <c r="K65" s="6">
        <f>K50*INDEX('[1]PRM &amp; ELCCs'!$C$10:$L$28,MATCH($G65,'[1]PRM &amp; ELCCs'!$A$10:$A$28,0),MATCH(K$57,'[1]PRM &amp; ELCCs'!$C$9:$L$9,1))</f>
        <v>140.02520000000001</v>
      </c>
      <c r="L65" s="6">
        <f>L50*INDEX('[1]PRM &amp; ELCCs'!$C$10:$L$28,MATCH($G65,'[1]PRM &amp; ELCCs'!$A$10:$A$28,0),MATCH(L$57,'[1]PRM &amp; ELCCs'!$C$9:$L$9,1))</f>
        <v>125.02249999999999</v>
      </c>
      <c r="M65" s="6">
        <f>M50*INDEX('[1]PRM &amp; ELCCs'!$C$10:$L$28,MATCH($G65,'[1]PRM &amp; ELCCs'!$A$10:$A$28,0),MATCH(M$57,'[1]PRM &amp; ELCCs'!$C$9:$L$9,1))</f>
        <v>138.02070000000001</v>
      </c>
      <c r="N65" s="6">
        <f>N50*INDEX('[1]PRM &amp; ELCCs'!$C$10:$L$28,MATCH($G65,'[1]PRM &amp; ELCCs'!$A$10:$A$28,0),MATCH(N$57,'[1]PRM &amp; ELCCs'!$C$9:$L$9,1))</f>
        <v>147.0189</v>
      </c>
      <c r="O65" s="6">
        <f>O50*INDEX('[1]PRM &amp; ELCCs'!$C$10:$L$28,MATCH($G65,'[1]PRM &amp; ELCCs'!$A$10:$A$28,0),MATCH(O$57,'[1]PRM &amp; ELCCs'!$C$9:$L$9,1))</f>
        <v>133.0171</v>
      </c>
      <c r="P65" s="6">
        <f>P50*INDEX('[1]PRM &amp; ELCCs'!$C$10:$L$28,MATCH($G65,'[1]PRM &amp; ELCCs'!$A$10:$A$28,0),MATCH(P$57,'[1]PRM &amp; ELCCs'!$C$9:$L$9,1))</f>
        <v>119.01530000000001</v>
      </c>
      <c r="Q65" s="6">
        <f>Q50*INDEX('[1]PRM &amp; ELCCs'!$C$10:$L$28,MATCH($G65,'[1]PRM &amp; ELCCs'!$A$10:$A$28,0),MATCH(Q$57,'[1]PRM &amp; ELCCs'!$C$9:$L$9,1))</f>
        <v>105.01350000000001</v>
      </c>
      <c r="R65" s="6">
        <f>R50*INDEX('[1]PRM &amp; ELCCs'!$C$10:$L$28,MATCH($G65,'[1]PRM &amp; ELCCs'!$A$10:$A$28,0),MATCH(R$57,'[1]PRM &amp; ELCCs'!$C$9:$L$9,1))</f>
        <v>105.01350000000001</v>
      </c>
      <c r="S65" s="6">
        <f>S50*INDEX('[1]PRM &amp; ELCCs'!$C$10:$L$28,MATCH($G65,'[1]PRM &amp; ELCCs'!$A$10:$A$28,0),MATCH(S$57,'[1]PRM &amp; ELCCs'!$C$9:$L$9,1))</f>
        <v>105.01350000000001</v>
      </c>
      <c r="T65" s="6">
        <f>T50*INDEX('[1]PRM &amp; ELCCs'!$C$10:$L$28,MATCH($G65,'[1]PRM &amp; ELCCs'!$A$10:$A$28,0),MATCH(T$57,'[1]PRM &amp; ELCCs'!$C$9:$L$9,1))</f>
        <v>105.01350000000001</v>
      </c>
      <c r="U65" s="6">
        <f>U50*INDEX('[1]PRM &amp; ELCCs'!$C$10:$L$28,MATCH($G65,'[1]PRM &amp; ELCCs'!$A$10:$A$28,0),MATCH(U$57,'[1]PRM &amp; ELCCs'!$C$9:$L$9,1))</f>
        <v>105.01350000000001</v>
      </c>
      <c r="V65" s="6">
        <f>V50*INDEX('[1]PRM &amp; ELCCs'!$C$10:$L$28,MATCH($G65,'[1]PRM &amp; ELCCs'!$A$10:$A$28,0),MATCH(V$57,'[1]PRM &amp; ELCCs'!$C$9:$L$9,1))</f>
        <v>105.01350000000001</v>
      </c>
      <c r="W65" s="6">
        <f>W50*INDEX('[1]PRM &amp; ELCCs'!$C$10:$L$28,MATCH($G65,'[1]PRM &amp; ELCCs'!$A$10:$A$28,0),MATCH(W$57,'[1]PRM &amp; ELCCs'!$C$9:$L$9,1))</f>
        <v>105.01350000000001</v>
      </c>
      <c r="X65" s="6">
        <f>X50*INDEX('[1]PRM &amp; ELCCs'!$C$10:$L$28,MATCH($G65,'[1]PRM &amp; ELCCs'!$A$10:$A$28,0),MATCH(X$57,'[1]PRM &amp; ELCCs'!$C$9:$L$9,1))</f>
        <v>105.01350000000001</v>
      </c>
      <c r="Y65" s="6">
        <f>Y50*INDEX('[1]PRM &amp; ELCCs'!$C$10:$L$28,MATCH($G65,'[1]PRM &amp; ELCCs'!$A$10:$A$28,0),MATCH(Y$57,'[1]PRM &amp; ELCCs'!$C$9:$L$9,1))</f>
        <v>105.01350000000001</v>
      </c>
      <c r="Z65" s="6">
        <f>Z50*INDEX('[1]PRM &amp; ELCCs'!$C$10:$L$28,MATCH($G65,'[1]PRM &amp; ELCCs'!$A$10:$A$28,0),MATCH(Z$57,'[1]PRM &amp; ELCCs'!$C$9:$L$9,1))</f>
        <v>105.01350000000001</v>
      </c>
      <c r="AA65" s="6">
        <f>AA50*INDEX('[1]PRM &amp; ELCCs'!$C$10:$L$28,MATCH($G65,'[1]PRM &amp; ELCCs'!$A$10:$A$28,0),MATCH(AA$57,'[1]PRM &amp; ELCCs'!$C$9:$L$9,1))</f>
        <v>105.01350000000001</v>
      </c>
      <c r="AB65" s="6">
        <f>AB50*INDEX('[1]PRM &amp; ELCCs'!$C$10:$L$28,MATCH($G65,'[1]PRM &amp; ELCCs'!$A$10:$A$28,0),MATCH(AB$57,'[1]PRM &amp; ELCCs'!$C$9:$L$9,1))</f>
        <v>105.01350000000001</v>
      </c>
      <c r="AC65" s="6">
        <f>AC50*INDEX('[1]PRM &amp; ELCCs'!$C$10:$L$28,MATCH($G65,'[1]PRM &amp; ELCCs'!$A$10:$A$28,0),MATCH(AC$57,'[1]PRM &amp; ELCCs'!$C$9:$L$9,1))</f>
        <v>105.01350000000001</v>
      </c>
      <c r="AD65" s="6">
        <f>AD50*INDEX('[1]PRM &amp; ELCCs'!$C$10:$L$28,MATCH($G65,'[1]PRM &amp; ELCCs'!$A$10:$A$28,0),MATCH(AD$57,'[1]PRM &amp; ELCCs'!$C$9:$L$9,1))</f>
        <v>105.01350000000001</v>
      </c>
      <c r="AE65" s="6">
        <f>AE50*INDEX('[1]PRM &amp; ELCCs'!$C$10:$L$28,MATCH($G65,'[1]PRM &amp; ELCCs'!$A$10:$A$28,0),MATCH(AE$57,'[1]PRM &amp; ELCCs'!$C$9:$L$9,1))</f>
        <v>105.01350000000001</v>
      </c>
      <c r="AF65" s="6">
        <f>AF50*INDEX('[1]PRM &amp; ELCCs'!$C$10:$L$28,MATCH($G65,'[1]PRM &amp; ELCCs'!$A$10:$A$28,0),MATCH(AF$57,'[1]PRM &amp; ELCCs'!$C$9:$L$9,1))</f>
        <v>105.01350000000001</v>
      </c>
      <c r="AG65" s="6">
        <f>AG50*INDEX('[1]PRM &amp; ELCCs'!$C$10:$L$28,MATCH($G65,'[1]PRM &amp; ELCCs'!$A$10:$A$28,0),MATCH(AG$57,'[1]PRM &amp; ELCCs'!$C$9:$L$9,1))</f>
        <v>105.01350000000001</v>
      </c>
    </row>
    <row r="66" spans="3:177" ht="16" x14ac:dyDescent="0.2">
      <c r="G66" s="5" t="s">
        <v>8</v>
      </c>
      <c r="H66" s="6">
        <f>H51*INDEX('[1]PRM &amp; ELCCs'!$C$10:$L$28,MATCH($G66,'[1]PRM &amp; ELCCs'!$A$10:$A$28,0),MATCH(H$57,'[1]PRM &amp; ELCCs'!$C$9:$L$9,1))</f>
        <v>45.542000000000009</v>
      </c>
      <c r="I66" s="6">
        <f>I51*INDEX('[1]PRM &amp; ELCCs'!$C$10:$L$28,MATCH($G66,'[1]PRM &amp; ELCCs'!$A$10:$A$28,0),MATCH(I$57,'[1]PRM &amp; ELCCs'!$C$9:$L$9,1))</f>
        <v>48.983000000000004</v>
      </c>
      <c r="J66" s="6">
        <f>J51*INDEX('[1]PRM &amp; ELCCs'!$C$10:$L$28,MATCH($G66,'[1]PRM &amp; ELCCs'!$A$10:$A$28,0),MATCH(J$57,'[1]PRM &amp; ELCCs'!$C$9:$L$9,1))</f>
        <v>65.224000000000004</v>
      </c>
      <c r="K66" s="6">
        <f>K51*INDEX('[1]PRM &amp; ELCCs'!$C$10:$L$28,MATCH($G66,'[1]PRM &amp; ELCCs'!$A$10:$A$28,0),MATCH(K$57,'[1]PRM &amp; ELCCs'!$C$9:$L$9,1))</f>
        <v>95.571000000000012</v>
      </c>
      <c r="L66" s="6">
        <f>L51*INDEX('[1]PRM &amp; ELCCs'!$C$10:$L$28,MATCH($G66,'[1]PRM &amp; ELCCs'!$A$10:$A$28,0),MATCH(L$57,'[1]PRM &amp; ELCCs'!$C$9:$L$9,1))</f>
        <v>106.07100000000001</v>
      </c>
      <c r="M66" s="6">
        <f>M51*INDEX('[1]PRM &amp; ELCCs'!$C$10:$L$28,MATCH($G66,'[1]PRM &amp; ELCCs'!$A$10:$A$28,0),MATCH(M$57,'[1]PRM &amp; ELCCs'!$C$9:$L$9,1))</f>
        <v>90.917999999999992</v>
      </c>
      <c r="N66" s="6">
        <f>N51*INDEX('[1]PRM &amp; ELCCs'!$C$10:$L$28,MATCH($G66,'[1]PRM &amp; ELCCs'!$A$10:$A$28,0),MATCH(N$57,'[1]PRM &amp; ELCCs'!$C$9:$L$9,1))</f>
        <v>78.265000000000001</v>
      </c>
      <c r="O66" s="6">
        <f>O51*INDEX('[1]PRM &amp; ELCCs'!$C$10:$L$28,MATCH($G66,'[1]PRM &amp; ELCCs'!$A$10:$A$28,0),MATCH(O$57,'[1]PRM &amp; ELCCs'!$C$9:$L$9,1))</f>
        <v>78.265000000000001</v>
      </c>
      <c r="P66" s="6">
        <f>P51*INDEX('[1]PRM &amp; ELCCs'!$C$10:$L$28,MATCH($G66,'[1]PRM &amp; ELCCs'!$A$10:$A$28,0),MATCH(P$57,'[1]PRM &amp; ELCCs'!$C$9:$L$9,1))</f>
        <v>80.765000000000001</v>
      </c>
      <c r="Q66" s="6">
        <f>Q51*INDEX('[1]PRM &amp; ELCCs'!$C$10:$L$28,MATCH($G66,'[1]PRM &amp; ELCCs'!$A$10:$A$28,0),MATCH(Q$57,'[1]PRM &amp; ELCCs'!$C$9:$L$9,1))</f>
        <v>64.611999999999995</v>
      </c>
      <c r="R66" s="6">
        <f>R51*INDEX('[1]PRM &amp; ELCCs'!$C$10:$L$28,MATCH($G66,'[1]PRM &amp; ELCCs'!$A$10:$A$28,0),MATCH(R$57,'[1]PRM &amp; ELCCs'!$C$9:$L$9,1))</f>
        <v>84.612000000000009</v>
      </c>
      <c r="S66" s="6">
        <f>S51*INDEX('[1]PRM &amp; ELCCs'!$C$10:$L$28,MATCH($G66,'[1]PRM &amp; ELCCs'!$A$10:$A$28,0),MATCH(S$57,'[1]PRM &amp; ELCCs'!$C$9:$L$9,1))</f>
        <v>86.612000000000009</v>
      </c>
      <c r="T66" s="6">
        <f>T51*INDEX('[1]PRM &amp; ELCCs'!$C$10:$L$28,MATCH($G66,'[1]PRM &amp; ELCCs'!$A$10:$A$28,0),MATCH(T$57,'[1]PRM &amp; ELCCs'!$C$9:$L$9,1))</f>
        <v>86.612000000000009</v>
      </c>
      <c r="U66" s="6">
        <f>U51*INDEX('[1]PRM &amp; ELCCs'!$C$10:$L$28,MATCH($G66,'[1]PRM &amp; ELCCs'!$A$10:$A$28,0),MATCH(U$57,'[1]PRM &amp; ELCCs'!$C$9:$L$9,1))</f>
        <v>86.612000000000009</v>
      </c>
      <c r="V66" s="6">
        <f>V51*INDEX('[1]PRM &amp; ELCCs'!$C$10:$L$28,MATCH($G66,'[1]PRM &amp; ELCCs'!$A$10:$A$28,0),MATCH(V$57,'[1]PRM &amp; ELCCs'!$C$9:$L$9,1))</f>
        <v>88.612000000000009</v>
      </c>
      <c r="W66" s="6">
        <f>W51*INDEX('[1]PRM &amp; ELCCs'!$C$10:$L$28,MATCH($G66,'[1]PRM &amp; ELCCs'!$A$10:$A$28,0),MATCH(W$57,'[1]PRM &amp; ELCCs'!$C$9:$L$9,1))</f>
        <v>88.612000000000009</v>
      </c>
      <c r="X66" s="6">
        <f>X51*INDEX('[1]PRM &amp; ELCCs'!$C$10:$L$28,MATCH($G66,'[1]PRM &amp; ELCCs'!$A$10:$A$28,0),MATCH(X$57,'[1]PRM &amp; ELCCs'!$C$9:$L$9,1))</f>
        <v>88.612000000000009</v>
      </c>
      <c r="Y66" s="6">
        <f>Y51*INDEX('[1]PRM &amp; ELCCs'!$C$10:$L$28,MATCH($G66,'[1]PRM &amp; ELCCs'!$A$10:$A$28,0),MATCH(Y$57,'[1]PRM &amp; ELCCs'!$C$9:$L$9,1))</f>
        <v>88.612000000000009</v>
      </c>
      <c r="Z66" s="6">
        <f>Z51*INDEX('[1]PRM &amp; ELCCs'!$C$10:$L$28,MATCH($G66,'[1]PRM &amp; ELCCs'!$A$10:$A$28,0),MATCH(Z$57,'[1]PRM &amp; ELCCs'!$C$9:$L$9,1))</f>
        <v>88.612000000000009</v>
      </c>
      <c r="AA66" s="6">
        <f>AA51*INDEX('[1]PRM &amp; ELCCs'!$C$10:$L$28,MATCH($G66,'[1]PRM &amp; ELCCs'!$A$10:$A$28,0),MATCH(AA$57,'[1]PRM &amp; ELCCs'!$C$9:$L$9,1))</f>
        <v>88.612000000000009</v>
      </c>
      <c r="AB66" s="6">
        <f>AB51*INDEX('[1]PRM &amp; ELCCs'!$C$10:$L$28,MATCH($G66,'[1]PRM &amp; ELCCs'!$A$10:$A$28,0),MATCH(AB$57,'[1]PRM &amp; ELCCs'!$C$9:$L$9,1))</f>
        <v>88.612000000000009</v>
      </c>
      <c r="AC66" s="6">
        <f>AC51*INDEX('[1]PRM &amp; ELCCs'!$C$10:$L$28,MATCH($G66,'[1]PRM &amp; ELCCs'!$A$10:$A$28,0),MATCH(AC$57,'[1]PRM &amp; ELCCs'!$C$9:$L$9,1))</f>
        <v>88.612000000000009</v>
      </c>
      <c r="AD66" s="6">
        <f>AD51*INDEX('[1]PRM &amp; ELCCs'!$C$10:$L$28,MATCH($G66,'[1]PRM &amp; ELCCs'!$A$10:$A$28,0),MATCH(AD$57,'[1]PRM &amp; ELCCs'!$C$9:$L$9,1))</f>
        <v>88.612000000000009</v>
      </c>
      <c r="AE66" s="6">
        <f>AE51*INDEX('[1]PRM &amp; ELCCs'!$C$10:$L$28,MATCH($G66,'[1]PRM &amp; ELCCs'!$A$10:$A$28,0),MATCH(AE$57,'[1]PRM &amp; ELCCs'!$C$9:$L$9,1))</f>
        <v>88.612000000000009</v>
      </c>
      <c r="AF66" s="6">
        <f>AF51*INDEX('[1]PRM &amp; ELCCs'!$C$10:$L$28,MATCH($G66,'[1]PRM &amp; ELCCs'!$A$10:$A$28,0),MATCH(AF$57,'[1]PRM &amp; ELCCs'!$C$9:$L$9,1))</f>
        <v>88.612000000000009</v>
      </c>
      <c r="AG66" s="6">
        <f>AG51*INDEX('[1]PRM &amp; ELCCs'!$C$10:$L$28,MATCH($G66,'[1]PRM &amp; ELCCs'!$A$10:$A$28,0),MATCH(AG$57,'[1]PRM &amp; ELCCs'!$C$9:$L$9,1))</f>
        <v>88.612000000000009</v>
      </c>
    </row>
    <row r="67" spans="3:177" ht="16" x14ac:dyDescent="0.2">
      <c r="G67" s="5" t="s">
        <v>9</v>
      </c>
      <c r="H67" s="6">
        <f>H52*INDEX('[1]PRM &amp; ELCCs'!$C$10:$L$28,MATCH($G67,'[1]PRM &amp; ELCCs'!$A$10:$A$28,0),MATCH(H$57,'[1]PRM &amp; ELCCs'!$C$9:$L$9,1))</f>
        <v>0</v>
      </c>
      <c r="I67" s="6">
        <f>I52*INDEX('[1]PRM &amp; ELCCs'!$C$10:$L$28,MATCH($G67,'[1]PRM &amp; ELCCs'!$A$10:$A$28,0),MATCH(I$57,'[1]PRM &amp; ELCCs'!$C$9:$L$9,1))</f>
        <v>62.5</v>
      </c>
      <c r="J67" s="6">
        <f>J52*INDEX('[1]PRM &amp; ELCCs'!$C$10:$L$28,MATCH($G67,'[1]PRM &amp; ELCCs'!$A$10:$A$28,0),MATCH(J$57,'[1]PRM &amp; ELCCs'!$C$9:$L$9,1))</f>
        <v>65</v>
      </c>
      <c r="K67" s="6">
        <f>K52*INDEX('[1]PRM &amp; ELCCs'!$C$10:$L$28,MATCH($G67,'[1]PRM &amp; ELCCs'!$A$10:$A$28,0),MATCH(K$57,'[1]PRM &amp; ELCCs'!$C$9:$L$9,1))</f>
        <v>316.25</v>
      </c>
      <c r="L67" s="6">
        <f>L52*INDEX('[1]PRM &amp; ELCCs'!$C$10:$L$28,MATCH($G67,'[1]PRM &amp; ELCCs'!$A$10:$A$28,0),MATCH(L$57,'[1]PRM &amp; ELCCs'!$C$9:$L$9,1))</f>
        <v>293.25</v>
      </c>
      <c r="M67" s="6">
        <f>M52*INDEX('[1]PRM &amp; ELCCs'!$C$10:$L$28,MATCH($G67,'[1]PRM &amp; ELCCs'!$A$10:$A$28,0),MATCH(M$57,'[1]PRM &amp; ELCCs'!$C$9:$L$9,1))</f>
        <v>281.75</v>
      </c>
      <c r="N67" s="6">
        <f>N52*INDEX('[1]PRM &amp; ELCCs'!$C$10:$L$28,MATCH($G67,'[1]PRM &amp; ELCCs'!$A$10:$A$28,0),MATCH(N$57,'[1]PRM &amp; ELCCs'!$C$9:$L$9,1))</f>
        <v>241.5</v>
      </c>
      <c r="O67" s="6">
        <f>O52*INDEX('[1]PRM &amp; ELCCs'!$C$10:$L$28,MATCH($G67,'[1]PRM &amp; ELCCs'!$A$10:$A$28,0),MATCH(O$57,'[1]PRM &amp; ELCCs'!$C$9:$L$9,1))</f>
        <v>241.5</v>
      </c>
      <c r="P67" s="6">
        <f>P52*INDEX('[1]PRM &amp; ELCCs'!$C$10:$L$28,MATCH($G67,'[1]PRM &amp; ELCCs'!$A$10:$A$28,0),MATCH(P$57,'[1]PRM &amp; ELCCs'!$C$9:$L$9,1))</f>
        <v>230</v>
      </c>
      <c r="Q67" s="6">
        <f>Q52*INDEX('[1]PRM &amp; ELCCs'!$C$10:$L$28,MATCH($G67,'[1]PRM &amp; ELCCs'!$A$10:$A$28,0),MATCH(Q$57,'[1]PRM &amp; ELCCs'!$C$9:$L$9,1))</f>
        <v>218.5</v>
      </c>
      <c r="R67" s="6">
        <f>R52*INDEX('[1]PRM &amp; ELCCs'!$C$10:$L$28,MATCH($G67,'[1]PRM &amp; ELCCs'!$A$10:$A$28,0),MATCH(R$57,'[1]PRM &amp; ELCCs'!$C$9:$L$9,1))</f>
        <v>427.5</v>
      </c>
      <c r="S67" s="6">
        <f>S52*INDEX('[1]PRM &amp; ELCCs'!$C$10:$L$28,MATCH($G67,'[1]PRM &amp; ELCCs'!$A$10:$A$28,0),MATCH(S$57,'[1]PRM &amp; ELCCs'!$C$9:$L$9,1))</f>
        <v>427.5</v>
      </c>
      <c r="T67" s="6">
        <f>T52*INDEX('[1]PRM &amp; ELCCs'!$C$10:$L$28,MATCH($G67,'[1]PRM &amp; ELCCs'!$A$10:$A$28,0),MATCH(T$57,'[1]PRM &amp; ELCCs'!$C$9:$L$9,1))</f>
        <v>427.5</v>
      </c>
      <c r="U67" s="6">
        <f>U52*INDEX('[1]PRM &amp; ELCCs'!$C$10:$L$28,MATCH($G67,'[1]PRM &amp; ELCCs'!$A$10:$A$28,0),MATCH(U$57,'[1]PRM &amp; ELCCs'!$C$9:$L$9,1))</f>
        <v>427.5</v>
      </c>
      <c r="V67" s="6">
        <f>V52*INDEX('[1]PRM &amp; ELCCs'!$C$10:$L$28,MATCH($G67,'[1]PRM &amp; ELCCs'!$A$10:$A$28,0),MATCH(V$57,'[1]PRM &amp; ELCCs'!$C$9:$L$9,1))</f>
        <v>427.5</v>
      </c>
      <c r="W67" s="6">
        <f>W52*INDEX('[1]PRM &amp; ELCCs'!$C$10:$L$28,MATCH($G67,'[1]PRM &amp; ELCCs'!$A$10:$A$28,0),MATCH(W$57,'[1]PRM &amp; ELCCs'!$C$9:$L$9,1))</f>
        <v>427.5</v>
      </c>
      <c r="X67" s="6">
        <f>X52*INDEX('[1]PRM &amp; ELCCs'!$C$10:$L$28,MATCH($G67,'[1]PRM &amp; ELCCs'!$A$10:$A$28,0),MATCH(X$57,'[1]PRM &amp; ELCCs'!$C$9:$L$9,1))</f>
        <v>427.5</v>
      </c>
      <c r="Y67" s="6">
        <f>Y52*INDEX('[1]PRM &amp; ELCCs'!$C$10:$L$28,MATCH($G67,'[1]PRM &amp; ELCCs'!$A$10:$A$28,0),MATCH(Y$57,'[1]PRM &amp; ELCCs'!$C$9:$L$9,1))</f>
        <v>427.5</v>
      </c>
      <c r="Z67" s="6">
        <f>Z52*INDEX('[1]PRM &amp; ELCCs'!$C$10:$L$28,MATCH($G67,'[1]PRM &amp; ELCCs'!$A$10:$A$28,0),MATCH(Z$57,'[1]PRM &amp; ELCCs'!$C$9:$L$9,1))</f>
        <v>427.5</v>
      </c>
      <c r="AA67" s="6">
        <f>AA52*INDEX('[1]PRM &amp; ELCCs'!$C$10:$L$28,MATCH($G67,'[1]PRM &amp; ELCCs'!$A$10:$A$28,0),MATCH(AA$57,'[1]PRM &amp; ELCCs'!$C$9:$L$9,1))</f>
        <v>427.5</v>
      </c>
      <c r="AB67" s="6">
        <f>AB52*INDEX('[1]PRM &amp; ELCCs'!$C$10:$L$28,MATCH($G67,'[1]PRM &amp; ELCCs'!$A$10:$A$28,0),MATCH(AB$57,'[1]PRM &amp; ELCCs'!$C$9:$L$9,1))</f>
        <v>427.5</v>
      </c>
      <c r="AC67" s="6">
        <f>AC52*INDEX('[1]PRM &amp; ELCCs'!$C$10:$L$28,MATCH($G67,'[1]PRM &amp; ELCCs'!$A$10:$A$28,0),MATCH(AC$57,'[1]PRM &amp; ELCCs'!$C$9:$L$9,1))</f>
        <v>427.5</v>
      </c>
      <c r="AD67" s="6">
        <f>AD52*INDEX('[1]PRM &amp; ELCCs'!$C$10:$L$28,MATCH($G67,'[1]PRM &amp; ELCCs'!$A$10:$A$28,0),MATCH(AD$57,'[1]PRM &amp; ELCCs'!$C$9:$L$9,1))</f>
        <v>427.5</v>
      </c>
      <c r="AE67" s="6">
        <f>AE52*INDEX('[1]PRM &amp; ELCCs'!$C$10:$L$28,MATCH($G67,'[1]PRM &amp; ELCCs'!$A$10:$A$28,0),MATCH(AE$57,'[1]PRM &amp; ELCCs'!$C$9:$L$9,1))</f>
        <v>427.5</v>
      </c>
      <c r="AF67" s="6">
        <f>AF52*INDEX('[1]PRM &amp; ELCCs'!$C$10:$L$28,MATCH($G67,'[1]PRM &amp; ELCCs'!$A$10:$A$28,0),MATCH(AF$57,'[1]PRM &amp; ELCCs'!$C$9:$L$9,1))</f>
        <v>427.5</v>
      </c>
      <c r="AG67" s="6">
        <f>AG52*INDEX('[1]PRM &amp; ELCCs'!$C$10:$L$28,MATCH($G67,'[1]PRM &amp; ELCCs'!$A$10:$A$28,0),MATCH(AG$57,'[1]PRM &amp; ELCCs'!$C$9:$L$9,1))</f>
        <v>427.5</v>
      </c>
    </row>
    <row r="68" spans="3:177" ht="16" x14ac:dyDescent="0.2">
      <c r="G68" s="5" t="s">
        <v>10</v>
      </c>
      <c r="H68" s="6">
        <f>H53*INDEX('[1]PRM &amp; ELCCs'!$C$10:$L$28,MATCH($G68,'[1]PRM &amp; ELCCs'!$A$10:$A$28,0),MATCH(H$57,'[1]PRM &amp; ELCCs'!$C$9:$L$9,1))</f>
        <v>0</v>
      </c>
      <c r="I68" s="6">
        <f>I53*INDEX('[1]PRM &amp; ELCCs'!$C$10:$L$28,MATCH($G68,'[1]PRM &amp; ELCCs'!$A$10:$A$28,0),MATCH(I$57,'[1]PRM &amp; ELCCs'!$C$9:$L$9,1))</f>
        <v>0</v>
      </c>
      <c r="J68" s="6">
        <f>J53*INDEX('[1]PRM &amp; ELCCs'!$C$10:$L$28,MATCH($G68,'[1]PRM &amp; ELCCs'!$A$10:$A$28,0),MATCH(J$57,'[1]PRM &amp; ELCCs'!$C$9:$L$9,1))</f>
        <v>0</v>
      </c>
      <c r="K68" s="6">
        <f>K53*INDEX('[1]PRM &amp; ELCCs'!$C$10:$L$28,MATCH($G68,'[1]PRM &amp; ELCCs'!$A$10:$A$28,0),MATCH(K$57,'[1]PRM &amp; ELCCs'!$C$9:$L$9,1))</f>
        <v>0</v>
      </c>
      <c r="L68" s="6">
        <f>L53*INDEX('[1]PRM &amp; ELCCs'!$C$10:$L$28,MATCH($G68,'[1]PRM &amp; ELCCs'!$A$10:$A$28,0),MATCH(L$57,'[1]PRM &amp; ELCCs'!$C$9:$L$9,1))</f>
        <v>0</v>
      </c>
      <c r="M68" s="6">
        <f>M53*INDEX('[1]PRM &amp; ELCCs'!$C$10:$L$28,MATCH($G68,'[1]PRM &amp; ELCCs'!$A$10:$A$28,0),MATCH(M$57,'[1]PRM &amp; ELCCs'!$C$9:$L$9,1))</f>
        <v>0</v>
      </c>
      <c r="N68" s="6">
        <f>N53*INDEX('[1]PRM &amp; ELCCs'!$C$10:$L$28,MATCH($G68,'[1]PRM &amp; ELCCs'!$A$10:$A$28,0),MATCH(N$57,'[1]PRM &amp; ELCCs'!$C$9:$L$9,1))</f>
        <v>0</v>
      </c>
      <c r="O68" s="6">
        <f>O53*INDEX('[1]PRM &amp; ELCCs'!$C$10:$L$28,MATCH($G68,'[1]PRM &amp; ELCCs'!$A$10:$A$28,0),MATCH(O$57,'[1]PRM &amp; ELCCs'!$C$9:$L$9,1))</f>
        <v>0</v>
      </c>
      <c r="P68" s="6">
        <f>P53*INDEX('[1]PRM &amp; ELCCs'!$C$10:$L$28,MATCH($G68,'[1]PRM &amp; ELCCs'!$A$10:$A$28,0),MATCH(P$57,'[1]PRM &amp; ELCCs'!$C$9:$L$9,1))</f>
        <v>0</v>
      </c>
      <c r="Q68" s="6">
        <f>Q53*INDEX('[1]PRM &amp; ELCCs'!$C$10:$L$28,MATCH($G68,'[1]PRM &amp; ELCCs'!$A$10:$A$28,0),MATCH(Q$57,'[1]PRM &amp; ELCCs'!$C$9:$L$9,1))</f>
        <v>0</v>
      </c>
      <c r="R68" s="6">
        <f>R53*INDEX('[1]PRM &amp; ELCCs'!$C$10:$L$28,MATCH($G68,'[1]PRM &amp; ELCCs'!$A$10:$A$28,0),MATCH(R$57,'[1]PRM &amp; ELCCs'!$C$9:$L$9,1))</f>
        <v>0</v>
      </c>
      <c r="S68" s="6">
        <f>S53*INDEX('[1]PRM &amp; ELCCs'!$C$10:$L$28,MATCH($G68,'[1]PRM &amp; ELCCs'!$A$10:$A$28,0),MATCH(S$57,'[1]PRM &amp; ELCCs'!$C$9:$L$9,1))</f>
        <v>0</v>
      </c>
      <c r="T68" s="6">
        <f>T53*INDEX('[1]PRM &amp; ELCCs'!$C$10:$L$28,MATCH($G68,'[1]PRM &amp; ELCCs'!$A$10:$A$28,0),MATCH(T$57,'[1]PRM &amp; ELCCs'!$C$9:$L$9,1))</f>
        <v>0</v>
      </c>
      <c r="U68" s="6">
        <f>U53*INDEX('[1]PRM &amp; ELCCs'!$C$10:$L$28,MATCH($G68,'[1]PRM &amp; ELCCs'!$A$10:$A$28,0),MATCH(U$57,'[1]PRM &amp; ELCCs'!$C$9:$L$9,1))</f>
        <v>0</v>
      </c>
      <c r="V68" s="6">
        <f>V53*INDEX('[1]PRM &amp; ELCCs'!$C$10:$L$28,MATCH($G68,'[1]PRM &amp; ELCCs'!$A$10:$A$28,0),MATCH(V$57,'[1]PRM &amp; ELCCs'!$C$9:$L$9,1))</f>
        <v>0</v>
      </c>
      <c r="W68" s="6">
        <f>W53*INDEX('[1]PRM &amp; ELCCs'!$C$10:$L$28,MATCH($G68,'[1]PRM &amp; ELCCs'!$A$10:$A$28,0),MATCH(W$57,'[1]PRM &amp; ELCCs'!$C$9:$L$9,1))</f>
        <v>0</v>
      </c>
      <c r="X68" s="6">
        <f>X53*INDEX('[1]PRM &amp; ELCCs'!$C$10:$L$28,MATCH($G68,'[1]PRM &amp; ELCCs'!$A$10:$A$28,0),MATCH(X$57,'[1]PRM &amp; ELCCs'!$C$9:$L$9,1))</f>
        <v>0</v>
      </c>
      <c r="Y68" s="6">
        <f>Y53*INDEX('[1]PRM &amp; ELCCs'!$C$10:$L$28,MATCH($G68,'[1]PRM &amp; ELCCs'!$A$10:$A$28,0),MATCH(Y$57,'[1]PRM &amp; ELCCs'!$C$9:$L$9,1))</f>
        <v>0</v>
      </c>
      <c r="Z68" s="6">
        <f>Z53*INDEX('[1]PRM &amp; ELCCs'!$C$10:$L$28,MATCH($G68,'[1]PRM &amp; ELCCs'!$A$10:$A$28,0),MATCH(Z$57,'[1]PRM &amp; ELCCs'!$C$9:$L$9,1))</f>
        <v>0</v>
      </c>
      <c r="AA68" s="6">
        <f>AA53*INDEX('[1]PRM &amp; ELCCs'!$C$10:$L$28,MATCH($G68,'[1]PRM &amp; ELCCs'!$A$10:$A$28,0),MATCH(AA$57,'[1]PRM &amp; ELCCs'!$C$9:$L$9,1))</f>
        <v>0</v>
      </c>
      <c r="AB68" s="6">
        <f>AB53*INDEX('[1]PRM &amp; ELCCs'!$C$10:$L$28,MATCH($G68,'[1]PRM &amp; ELCCs'!$A$10:$A$28,0),MATCH(AB$57,'[1]PRM &amp; ELCCs'!$C$9:$L$9,1))</f>
        <v>0</v>
      </c>
      <c r="AC68" s="6">
        <f>AC53*INDEX('[1]PRM &amp; ELCCs'!$C$10:$L$28,MATCH($G68,'[1]PRM &amp; ELCCs'!$A$10:$A$28,0),MATCH(AC$57,'[1]PRM &amp; ELCCs'!$C$9:$L$9,1))</f>
        <v>0</v>
      </c>
      <c r="AD68" s="6">
        <f>AD53*INDEX('[1]PRM &amp; ELCCs'!$C$10:$L$28,MATCH($G68,'[1]PRM &amp; ELCCs'!$A$10:$A$28,0),MATCH(AD$57,'[1]PRM &amp; ELCCs'!$C$9:$L$9,1))</f>
        <v>0</v>
      </c>
      <c r="AE68" s="6">
        <f>AE53*INDEX('[1]PRM &amp; ELCCs'!$C$10:$L$28,MATCH($G68,'[1]PRM &amp; ELCCs'!$A$10:$A$28,0),MATCH(AE$57,'[1]PRM &amp; ELCCs'!$C$9:$L$9,1))</f>
        <v>0</v>
      </c>
      <c r="AF68" s="6">
        <f>AF53*INDEX('[1]PRM &amp; ELCCs'!$C$10:$L$28,MATCH($G68,'[1]PRM &amp; ELCCs'!$A$10:$A$28,0),MATCH(AF$57,'[1]PRM &amp; ELCCs'!$C$9:$L$9,1))</f>
        <v>0</v>
      </c>
      <c r="AG68" s="6">
        <f>AG53*INDEX('[1]PRM &amp; ELCCs'!$C$10:$L$28,MATCH($G68,'[1]PRM &amp; ELCCs'!$A$10:$A$28,0),MATCH(AG$57,'[1]PRM &amp; ELCCs'!$C$9:$L$9,1))</f>
        <v>0</v>
      </c>
    </row>
    <row r="69" spans="3:177" ht="16" x14ac:dyDescent="0.2">
      <c r="G69" s="5" t="s">
        <v>11</v>
      </c>
      <c r="H69" s="6">
        <f>H54*INDEX('[1]PRM &amp; ELCCs'!$C$10:$L$28,MATCH($G69,'[1]PRM &amp; ELCCs'!$A$10:$A$28,0),MATCH(H$57,'[1]PRM &amp; ELCCs'!$C$9:$L$9,1))</f>
        <v>0</v>
      </c>
      <c r="I69" s="6">
        <f>I54*INDEX('[1]PRM &amp; ELCCs'!$C$10:$L$28,MATCH($G69,'[1]PRM &amp; ELCCs'!$A$10:$A$28,0),MATCH(I$57,'[1]PRM &amp; ELCCs'!$C$9:$L$9,1))</f>
        <v>0</v>
      </c>
      <c r="J69" s="6">
        <f>J54*INDEX('[1]PRM &amp; ELCCs'!$C$10:$L$28,MATCH($G69,'[1]PRM &amp; ELCCs'!$A$10:$A$28,0),MATCH(J$57,'[1]PRM &amp; ELCCs'!$C$9:$L$9,1))</f>
        <v>0</v>
      </c>
      <c r="K69" s="6">
        <f>K54*INDEX('[1]PRM &amp; ELCCs'!$C$10:$L$28,MATCH($G69,'[1]PRM &amp; ELCCs'!$A$10:$A$28,0),MATCH(K$57,'[1]PRM &amp; ELCCs'!$C$9:$L$9,1))</f>
        <v>0</v>
      </c>
      <c r="L69" s="6">
        <f>L54*INDEX('[1]PRM &amp; ELCCs'!$C$10:$L$28,MATCH($G69,'[1]PRM &amp; ELCCs'!$A$10:$A$28,0),MATCH(L$57,'[1]PRM &amp; ELCCs'!$C$9:$L$9,1))</f>
        <v>0</v>
      </c>
      <c r="M69" s="6">
        <f>M54*INDEX('[1]PRM &amp; ELCCs'!$C$10:$L$28,MATCH($G69,'[1]PRM &amp; ELCCs'!$A$10:$A$28,0),MATCH(M$57,'[1]PRM &amp; ELCCs'!$C$9:$L$9,1))</f>
        <v>0</v>
      </c>
      <c r="N69" s="6">
        <f>N54*INDEX('[1]PRM &amp; ELCCs'!$C$10:$L$28,MATCH($G69,'[1]PRM &amp; ELCCs'!$A$10:$A$28,0),MATCH(N$57,'[1]PRM &amp; ELCCs'!$C$9:$L$9,1))</f>
        <v>0</v>
      </c>
      <c r="O69" s="6">
        <f>O54*INDEX('[1]PRM &amp; ELCCs'!$C$10:$L$28,MATCH($G69,'[1]PRM &amp; ELCCs'!$A$10:$A$28,0),MATCH(O$57,'[1]PRM &amp; ELCCs'!$C$9:$L$9,1))</f>
        <v>0</v>
      </c>
      <c r="P69" s="6">
        <f>P54*INDEX('[1]PRM &amp; ELCCs'!$C$10:$L$28,MATCH($G69,'[1]PRM &amp; ELCCs'!$A$10:$A$28,0),MATCH(P$57,'[1]PRM &amp; ELCCs'!$C$9:$L$9,1))</f>
        <v>0</v>
      </c>
      <c r="Q69" s="6">
        <f>Q54*INDEX('[1]PRM &amp; ELCCs'!$C$10:$L$28,MATCH($G69,'[1]PRM &amp; ELCCs'!$A$10:$A$28,0),MATCH(Q$57,'[1]PRM &amp; ELCCs'!$C$9:$L$9,1))</f>
        <v>0</v>
      </c>
      <c r="R69" s="6">
        <f>R54*INDEX('[1]PRM &amp; ELCCs'!$C$10:$L$28,MATCH($G69,'[1]PRM &amp; ELCCs'!$A$10:$A$28,0),MATCH(R$57,'[1]PRM &amp; ELCCs'!$C$9:$L$9,1))</f>
        <v>0</v>
      </c>
      <c r="S69" s="6">
        <f>S54*INDEX('[1]PRM &amp; ELCCs'!$C$10:$L$28,MATCH($G69,'[1]PRM &amp; ELCCs'!$A$10:$A$28,0),MATCH(S$57,'[1]PRM &amp; ELCCs'!$C$9:$L$9,1))</f>
        <v>0</v>
      </c>
      <c r="T69" s="6">
        <f>T54*INDEX('[1]PRM &amp; ELCCs'!$C$10:$L$28,MATCH($G69,'[1]PRM &amp; ELCCs'!$A$10:$A$28,0),MATCH(T$57,'[1]PRM &amp; ELCCs'!$C$9:$L$9,1))</f>
        <v>0</v>
      </c>
      <c r="U69" s="6">
        <f>U54*INDEX('[1]PRM &amp; ELCCs'!$C$10:$L$28,MATCH($G69,'[1]PRM &amp; ELCCs'!$A$10:$A$28,0),MATCH(U$57,'[1]PRM &amp; ELCCs'!$C$9:$L$9,1))</f>
        <v>0</v>
      </c>
      <c r="V69" s="6">
        <f>V54*INDEX('[1]PRM &amp; ELCCs'!$C$10:$L$28,MATCH($G69,'[1]PRM &amp; ELCCs'!$A$10:$A$28,0),MATCH(V$57,'[1]PRM &amp; ELCCs'!$C$9:$L$9,1))</f>
        <v>0</v>
      </c>
      <c r="W69" s="6">
        <f>W54*INDEX('[1]PRM &amp; ELCCs'!$C$10:$L$28,MATCH($G69,'[1]PRM &amp; ELCCs'!$A$10:$A$28,0),MATCH(W$57,'[1]PRM &amp; ELCCs'!$C$9:$L$9,1))</f>
        <v>0</v>
      </c>
      <c r="X69" s="6">
        <f>X54*INDEX('[1]PRM &amp; ELCCs'!$C$10:$L$28,MATCH($G69,'[1]PRM &amp; ELCCs'!$A$10:$A$28,0),MATCH(X$57,'[1]PRM &amp; ELCCs'!$C$9:$L$9,1))</f>
        <v>0</v>
      </c>
      <c r="Y69" s="6">
        <f>Y54*INDEX('[1]PRM &amp; ELCCs'!$C$10:$L$28,MATCH($G69,'[1]PRM &amp; ELCCs'!$A$10:$A$28,0),MATCH(Y$57,'[1]PRM &amp; ELCCs'!$C$9:$L$9,1))</f>
        <v>0</v>
      </c>
      <c r="Z69" s="6">
        <f>Z54*INDEX('[1]PRM &amp; ELCCs'!$C$10:$L$28,MATCH($G69,'[1]PRM &amp; ELCCs'!$A$10:$A$28,0),MATCH(Z$57,'[1]PRM &amp; ELCCs'!$C$9:$L$9,1))</f>
        <v>0</v>
      </c>
      <c r="AA69" s="6">
        <f>AA54*INDEX('[1]PRM &amp; ELCCs'!$C$10:$L$28,MATCH($G69,'[1]PRM &amp; ELCCs'!$A$10:$A$28,0),MATCH(AA$57,'[1]PRM &amp; ELCCs'!$C$9:$L$9,1))</f>
        <v>0</v>
      </c>
      <c r="AB69" s="6">
        <f>AB54*INDEX('[1]PRM &amp; ELCCs'!$C$10:$L$28,MATCH($G69,'[1]PRM &amp; ELCCs'!$A$10:$A$28,0),MATCH(AB$57,'[1]PRM &amp; ELCCs'!$C$9:$L$9,1))</f>
        <v>0</v>
      </c>
      <c r="AC69" s="6">
        <f>AC54*INDEX('[1]PRM &amp; ELCCs'!$C$10:$L$28,MATCH($G69,'[1]PRM &amp; ELCCs'!$A$10:$A$28,0),MATCH(AC$57,'[1]PRM &amp; ELCCs'!$C$9:$L$9,1))</f>
        <v>0</v>
      </c>
      <c r="AD69" s="6">
        <f>AD54*INDEX('[1]PRM &amp; ELCCs'!$C$10:$L$28,MATCH($G69,'[1]PRM &amp; ELCCs'!$A$10:$A$28,0),MATCH(AD$57,'[1]PRM &amp; ELCCs'!$C$9:$L$9,1))</f>
        <v>0</v>
      </c>
      <c r="AE69" s="6">
        <f>AE54*INDEX('[1]PRM &amp; ELCCs'!$C$10:$L$28,MATCH($G69,'[1]PRM &amp; ELCCs'!$A$10:$A$28,0),MATCH(AE$57,'[1]PRM &amp; ELCCs'!$C$9:$L$9,1))</f>
        <v>0</v>
      </c>
      <c r="AF69" s="6">
        <f>AF54*INDEX('[1]PRM &amp; ELCCs'!$C$10:$L$28,MATCH($G69,'[1]PRM &amp; ELCCs'!$A$10:$A$28,0),MATCH(AF$57,'[1]PRM &amp; ELCCs'!$C$9:$L$9,1))</f>
        <v>0</v>
      </c>
      <c r="AG69" s="6">
        <f>AG54*INDEX('[1]PRM &amp; ELCCs'!$C$10:$L$28,MATCH($G69,'[1]PRM &amp; ELCCs'!$A$10:$A$28,0),MATCH(AG$57,'[1]PRM &amp; ELCCs'!$C$9:$L$9,1))</f>
        <v>0</v>
      </c>
    </row>
    <row r="70" spans="3:177" x14ac:dyDescent="0.2">
      <c r="G70" s="5" t="s">
        <v>12</v>
      </c>
      <c r="H70" s="13">
        <f>H55</f>
        <v>0</v>
      </c>
      <c r="I70" s="13">
        <f t="shared" ref="I70:AG70" si="33">I55</f>
        <v>0</v>
      </c>
      <c r="J70" s="13">
        <f t="shared" si="33"/>
        <v>0</v>
      </c>
      <c r="K70" s="13">
        <f t="shared" si="33"/>
        <v>0</v>
      </c>
      <c r="L70" s="13">
        <f t="shared" si="33"/>
        <v>0</v>
      </c>
      <c r="M70" s="13">
        <f t="shared" si="33"/>
        <v>0</v>
      </c>
      <c r="N70" s="13">
        <f t="shared" si="33"/>
        <v>0</v>
      </c>
      <c r="O70" s="13">
        <f t="shared" si="33"/>
        <v>0</v>
      </c>
      <c r="P70" s="13">
        <f t="shared" si="33"/>
        <v>0</v>
      </c>
      <c r="Q70" s="13">
        <f t="shared" si="33"/>
        <v>0</v>
      </c>
      <c r="R70" s="13">
        <f t="shared" si="33"/>
        <v>0</v>
      </c>
      <c r="S70" s="13">
        <f t="shared" si="33"/>
        <v>0</v>
      </c>
      <c r="T70" s="13">
        <f t="shared" si="33"/>
        <v>0</v>
      </c>
      <c r="U70" s="13">
        <f t="shared" si="33"/>
        <v>0</v>
      </c>
      <c r="V70" s="13">
        <f t="shared" si="33"/>
        <v>0</v>
      </c>
      <c r="W70" s="13">
        <f t="shared" si="33"/>
        <v>0</v>
      </c>
      <c r="X70" s="13">
        <f t="shared" si="33"/>
        <v>0</v>
      </c>
      <c r="Y70" s="13">
        <f t="shared" si="33"/>
        <v>0</v>
      </c>
      <c r="Z70" s="13">
        <f t="shared" si="33"/>
        <v>0</v>
      </c>
      <c r="AA70" s="13">
        <f t="shared" si="33"/>
        <v>0</v>
      </c>
      <c r="AB70" s="13">
        <f t="shared" si="33"/>
        <v>0</v>
      </c>
      <c r="AC70" s="13">
        <f t="shared" si="33"/>
        <v>0</v>
      </c>
      <c r="AD70" s="13">
        <f t="shared" si="33"/>
        <v>0</v>
      </c>
      <c r="AE70" s="13">
        <f t="shared" si="33"/>
        <v>0</v>
      </c>
      <c r="AF70" s="13">
        <f t="shared" si="33"/>
        <v>0</v>
      </c>
      <c r="AG70" s="13">
        <f t="shared" si="33"/>
        <v>0</v>
      </c>
    </row>
    <row r="71" spans="3:177" x14ac:dyDescent="0.2">
      <c r="G71" s="14" t="s">
        <v>25</v>
      </c>
      <c r="H71" s="13">
        <f>SUM(H58:H70)</f>
        <v>10315.531499999999</v>
      </c>
      <c r="I71" s="13">
        <f t="shared" ref="I71:AG71" si="34">SUM(I58:I70)</f>
        <v>10237.945899999999</v>
      </c>
      <c r="J71" s="13">
        <f t="shared" si="34"/>
        <v>11049.678699999999</v>
      </c>
      <c r="K71" s="13">
        <f t="shared" si="34"/>
        <v>11890.415200000001</v>
      </c>
      <c r="L71" s="13">
        <f t="shared" si="34"/>
        <v>12229.7235</v>
      </c>
      <c r="M71" s="13">
        <f t="shared" si="34"/>
        <v>12710.358699999999</v>
      </c>
      <c r="N71" s="13">
        <f t="shared" si="34"/>
        <v>13395.873900000001</v>
      </c>
      <c r="O71" s="13">
        <f t="shared" si="34"/>
        <v>13529.376099999999</v>
      </c>
      <c r="P71" s="13">
        <f t="shared" si="34"/>
        <v>13373.522299999999</v>
      </c>
      <c r="Q71" s="13">
        <f t="shared" si="34"/>
        <v>13150.325499999999</v>
      </c>
      <c r="R71" s="13">
        <f t="shared" si="34"/>
        <v>13379.325499999999</v>
      </c>
      <c r="S71" s="13">
        <f t="shared" si="34"/>
        <v>12370.125499999998</v>
      </c>
      <c r="T71" s="13">
        <f t="shared" si="34"/>
        <v>12370.125499999998</v>
      </c>
      <c r="U71" s="13">
        <f t="shared" si="34"/>
        <v>12370.125499999998</v>
      </c>
      <c r="V71" s="13">
        <f t="shared" si="34"/>
        <v>12856.845499999999</v>
      </c>
      <c r="W71" s="13">
        <f t="shared" si="34"/>
        <v>12856.845499999999</v>
      </c>
      <c r="X71" s="13">
        <f t="shared" si="34"/>
        <v>12856.845499999999</v>
      </c>
      <c r="Y71" s="13">
        <f t="shared" si="34"/>
        <v>12641.495499999999</v>
      </c>
      <c r="Z71" s="13">
        <f t="shared" si="34"/>
        <v>12641.495499999999</v>
      </c>
      <c r="AA71" s="13">
        <f t="shared" si="34"/>
        <v>12641.495499999999</v>
      </c>
      <c r="AB71" s="13">
        <f t="shared" si="34"/>
        <v>12641.495499999999</v>
      </c>
      <c r="AC71" s="13">
        <f t="shared" si="34"/>
        <v>12641.495499999999</v>
      </c>
      <c r="AD71" s="13">
        <f t="shared" si="34"/>
        <v>12641.495499999999</v>
      </c>
      <c r="AE71" s="13">
        <f t="shared" si="34"/>
        <v>12641.495499999999</v>
      </c>
      <c r="AF71" s="13">
        <f t="shared" si="34"/>
        <v>12641.495499999999</v>
      </c>
      <c r="AG71" s="13">
        <f t="shared" si="34"/>
        <v>12641.495499999999</v>
      </c>
    </row>
    <row r="72" spans="3:177" ht="16" x14ac:dyDescent="0.2">
      <c r="G72" s="14" t="s">
        <v>113</v>
      </c>
      <c r="H72" s="15" t="e">
        <f>#REF!</f>
        <v>#REF!</v>
      </c>
      <c r="I72" s="15" t="e">
        <f>#REF!</f>
        <v>#REF!</v>
      </c>
      <c r="J72" s="15" t="e">
        <f>#REF!</f>
        <v>#REF!</v>
      </c>
      <c r="K72" s="15" t="e">
        <f>#REF!</f>
        <v>#REF!</v>
      </c>
      <c r="L72" s="15" t="e">
        <f>#REF!</f>
        <v>#REF!</v>
      </c>
      <c r="M72" s="15" t="e">
        <f>#REF!</f>
        <v>#REF!</v>
      </c>
      <c r="N72" s="15" t="e">
        <f>#REF!</f>
        <v>#REF!</v>
      </c>
      <c r="O72" s="15" t="e">
        <f>#REF!</f>
        <v>#REF!</v>
      </c>
      <c r="P72" s="15" t="e">
        <f>#REF!</f>
        <v>#REF!</v>
      </c>
      <c r="Q72" s="15" t="e">
        <f>#REF!</f>
        <v>#REF!</v>
      </c>
      <c r="R72" s="15" t="e">
        <f>#REF!</f>
        <v>#REF!</v>
      </c>
      <c r="S72" s="15" t="e">
        <f>#REF!</f>
        <v>#REF!</v>
      </c>
      <c r="T72" s="15" t="e">
        <f>#REF!</f>
        <v>#REF!</v>
      </c>
      <c r="U72" s="15" t="e">
        <f>#REF!</f>
        <v>#REF!</v>
      </c>
      <c r="V72" s="15" t="e">
        <f>#REF!</f>
        <v>#REF!</v>
      </c>
      <c r="W72" s="15" t="e">
        <f>#REF!</f>
        <v>#REF!</v>
      </c>
      <c r="X72" s="15" t="e">
        <f>#REF!</f>
        <v>#REF!</v>
      </c>
      <c r="Y72" s="15" t="e">
        <f>#REF!</f>
        <v>#REF!</v>
      </c>
      <c r="Z72" s="15" t="e">
        <f>#REF!</f>
        <v>#REF!</v>
      </c>
      <c r="AA72" s="15" t="e">
        <f>#REF!</f>
        <v>#REF!</v>
      </c>
      <c r="AB72" s="15" t="e">
        <f>#REF!</f>
        <v>#REF!</v>
      </c>
      <c r="AC72" s="15" t="e">
        <f>#REF!</f>
        <v>#REF!</v>
      </c>
      <c r="AD72" s="15" t="e">
        <f>#REF!</f>
        <v>#REF!</v>
      </c>
      <c r="AE72" s="15" t="e">
        <f>#REF!</f>
        <v>#REF!</v>
      </c>
      <c r="AF72" s="15" t="e">
        <f>#REF!</f>
        <v>#REF!</v>
      </c>
      <c r="AG72" s="15" t="e">
        <f>#REF!</f>
        <v>#REF!</v>
      </c>
    </row>
    <row r="73" spans="3:177" s="16" customFormat="1" ht="17" thickBot="1" x14ac:dyDescent="0.25">
      <c r="C73" s="2"/>
      <c r="D73" s="2"/>
      <c r="E73" s="16" t="s">
        <v>26</v>
      </c>
    </row>
    <row r="75" spans="3:177" ht="16" thickBot="1" x14ac:dyDescent="0.25">
      <c r="G75" s="17" t="s">
        <v>27</v>
      </c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I75" s="17" t="s">
        <v>28</v>
      </c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K75" s="17" t="s">
        <v>29</v>
      </c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M75" s="17" t="s">
        <v>30</v>
      </c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O75" s="17" t="s">
        <v>31</v>
      </c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U75" s="17" t="s">
        <v>32</v>
      </c>
      <c r="EV75" s="17"/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  <c r="FN75" s="17"/>
      <c r="FO75" s="17"/>
      <c r="FP75" s="17"/>
      <c r="FQ75" s="17"/>
      <c r="FR75" s="17"/>
      <c r="FS75" s="17"/>
      <c r="FT75" s="17"/>
      <c r="FU75" s="17"/>
    </row>
    <row r="77" spans="3:177" s="18" customFormat="1" x14ac:dyDescent="0.2">
      <c r="F77" s="4" t="s">
        <v>33</v>
      </c>
      <c r="G77" s="4" t="s">
        <v>34</v>
      </c>
      <c r="H77" s="4">
        <v>2025</v>
      </c>
      <c r="I77" s="4">
        <v>2026</v>
      </c>
      <c r="J77" s="4">
        <v>2027</v>
      </c>
      <c r="K77" s="4">
        <v>2028</v>
      </c>
      <c r="L77" s="4">
        <v>2029</v>
      </c>
      <c r="M77" s="4">
        <v>2030</v>
      </c>
      <c r="N77" s="4">
        <v>2031</v>
      </c>
      <c r="O77" s="4">
        <v>2032</v>
      </c>
      <c r="P77" s="4">
        <v>2033</v>
      </c>
      <c r="Q77" s="4">
        <v>2034</v>
      </c>
      <c r="R77" s="4">
        <v>2035</v>
      </c>
      <c r="S77" s="4">
        <v>2036</v>
      </c>
      <c r="T77" s="4">
        <v>2037</v>
      </c>
      <c r="U77" s="4">
        <v>2038</v>
      </c>
      <c r="V77" s="4">
        <v>2039</v>
      </c>
      <c r="W77" s="4">
        <v>2040</v>
      </c>
      <c r="X77" s="4">
        <v>2041</v>
      </c>
      <c r="Y77" s="4">
        <v>2042</v>
      </c>
      <c r="Z77" s="4">
        <v>2043</v>
      </c>
      <c r="AA77" s="4">
        <v>2044</v>
      </c>
      <c r="AB77" s="4">
        <v>2045</v>
      </c>
      <c r="AC77" s="4">
        <v>2046</v>
      </c>
      <c r="AD77" s="4">
        <v>2047</v>
      </c>
      <c r="AE77" s="4">
        <v>2048</v>
      </c>
      <c r="AF77" s="4">
        <v>2049</v>
      </c>
      <c r="AG77" s="4">
        <v>2050</v>
      </c>
      <c r="AI77" s="4" t="s">
        <v>34</v>
      </c>
      <c r="AJ77" s="4">
        <v>2025</v>
      </c>
      <c r="AK77" s="4">
        <v>2026</v>
      </c>
      <c r="AL77" s="4">
        <v>2027</v>
      </c>
      <c r="AM77" s="4">
        <v>2028</v>
      </c>
      <c r="AN77" s="4">
        <v>2029</v>
      </c>
      <c r="AO77" s="4">
        <v>2030</v>
      </c>
      <c r="AP77" s="4">
        <v>2031</v>
      </c>
      <c r="AQ77" s="4">
        <v>2032</v>
      </c>
      <c r="AR77" s="4">
        <v>2033</v>
      </c>
      <c r="AS77" s="4">
        <v>2034</v>
      </c>
      <c r="AT77" s="4">
        <v>2035</v>
      </c>
      <c r="AU77" s="4">
        <v>2036</v>
      </c>
      <c r="AV77" s="4">
        <v>2037</v>
      </c>
      <c r="AW77" s="4">
        <v>2038</v>
      </c>
      <c r="AX77" s="4">
        <v>2039</v>
      </c>
      <c r="AY77" s="4">
        <v>2040</v>
      </c>
      <c r="AZ77" s="4">
        <v>2041</v>
      </c>
      <c r="BA77" s="4">
        <v>2042</v>
      </c>
      <c r="BB77" s="4">
        <v>2043</v>
      </c>
      <c r="BC77" s="4">
        <v>2044</v>
      </c>
      <c r="BD77" s="4">
        <v>2045</v>
      </c>
      <c r="BE77" s="4">
        <v>2046</v>
      </c>
      <c r="BF77" s="4">
        <v>2047</v>
      </c>
      <c r="BG77" s="4">
        <v>2048</v>
      </c>
      <c r="BH77" s="4">
        <v>2049</v>
      </c>
      <c r="BI77" s="4">
        <v>2050</v>
      </c>
      <c r="BK77" s="4"/>
      <c r="BL77" s="4">
        <v>2025</v>
      </c>
      <c r="BM77" s="4">
        <v>2026</v>
      </c>
      <c r="BN77" s="4">
        <v>2027</v>
      </c>
      <c r="BO77" s="4">
        <v>2028</v>
      </c>
      <c r="BP77" s="4">
        <v>2029</v>
      </c>
      <c r="BQ77" s="4">
        <v>2030</v>
      </c>
      <c r="BR77" s="4">
        <v>2031</v>
      </c>
      <c r="BS77" s="4">
        <v>2032</v>
      </c>
      <c r="BT77" s="4">
        <v>2033</v>
      </c>
      <c r="BU77" s="4">
        <v>2034</v>
      </c>
      <c r="BV77" s="4">
        <v>2035</v>
      </c>
      <c r="BW77" s="4">
        <v>2036</v>
      </c>
      <c r="BX77" s="4">
        <v>2037</v>
      </c>
      <c r="BY77" s="4">
        <v>2038</v>
      </c>
      <c r="BZ77" s="4">
        <v>2039</v>
      </c>
      <c r="CA77" s="4">
        <v>2040</v>
      </c>
      <c r="CB77" s="4">
        <v>2041</v>
      </c>
      <c r="CC77" s="4">
        <v>2042</v>
      </c>
      <c r="CD77" s="4">
        <v>2043</v>
      </c>
      <c r="CE77" s="4">
        <v>2044</v>
      </c>
      <c r="CF77" s="4">
        <v>2045</v>
      </c>
      <c r="CG77" s="4">
        <v>2046</v>
      </c>
      <c r="CH77" s="4">
        <v>2047</v>
      </c>
      <c r="CI77" s="4">
        <v>2048</v>
      </c>
      <c r="CJ77" s="4">
        <v>2049</v>
      </c>
      <c r="CK77" s="4">
        <v>2050</v>
      </c>
      <c r="CM77" s="4"/>
      <c r="CN77" s="4">
        <v>2025</v>
      </c>
      <c r="CO77" s="4">
        <v>2026</v>
      </c>
      <c r="CP77" s="4">
        <v>2027</v>
      </c>
      <c r="CQ77" s="4">
        <v>2028</v>
      </c>
      <c r="CR77" s="4">
        <v>2029</v>
      </c>
      <c r="CS77" s="4">
        <v>2030</v>
      </c>
      <c r="CT77" s="4">
        <v>2031</v>
      </c>
      <c r="CU77" s="4">
        <v>2032</v>
      </c>
      <c r="CV77" s="4">
        <v>2033</v>
      </c>
      <c r="CW77" s="4">
        <v>2034</v>
      </c>
      <c r="CX77" s="4">
        <v>2035</v>
      </c>
      <c r="CY77" s="4">
        <v>2036</v>
      </c>
      <c r="CZ77" s="4">
        <v>2037</v>
      </c>
      <c r="DA77" s="4">
        <v>2038</v>
      </c>
      <c r="DB77" s="4">
        <v>2039</v>
      </c>
      <c r="DC77" s="4">
        <v>2040</v>
      </c>
      <c r="DD77" s="4">
        <v>2041</v>
      </c>
      <c r="DE77" s="4">
        <v>2042</v>
      </c>
      <c r="DF77" s="4">
        <v>2043</v>
      </c>
      <c r="DG77" s="4">
        <v>2044</v>
      </c>
      <c r="DH77" s="4">
        <v>2045</v>
      </c>
      <c r="DI77" s="4">
        <v>2046</v>
      </c>
      <c r="DJ77" s="4">
        <v>2047</v>
      </c>
      <c r="DK77" s="4">
        <v>2048</v>
      </c>
      <c r="DL77" s="4">
        <v>2049</v>
      </c>
      <c r="DM77" s="4">
        <v>2050</v>
      </c>
      <c r="DO77" s="4" t="s">
        <v>34</v>
      </c>
      <c r="DP77" s="4">
        <v>2025</v>
      </c>
      <c r="DQ77" s="4">
        <v>2026</v>
      </c>
      <c r="DR77" s="4">
        <v>2027</v>
      </c>
      <c r="DS77" s="4">
        <v>2028</v>
      </c>
      <c r="DT77" s="4">
        <v>2029</v>
      </c>
      <c r="DU77" s="4">
        <v>2030</v>
      </c>
      <c r="DV77" s="4">
        <v>2031</v>
      </c>
      <c r="DW77" s="4">
        <v>2032</v>
      </c>
      <c r="DX77" s="4">
        <v>2033</v>
      </c>
      <c r="DY77" s="4">
        <v>2034</v>
      </c>
      <c r="DZ77" s="4">
        <v>2035</v>
      </c>
      <c r="EA77" s="4">
        <v>2036</v>
      </c>
      <c r="EB77" s="4">
        <v>2037</v>
      </c>
      <c r="EC77" s="4">
        <v>2038</v>
      </c>
      <c r="ED77" s="4">
        <v>2039</v>
      </c>
      <c r="EE77" s="4">
        <v>2040</v>
      </c>
      <c r="EF77" s="4">
        <v>2041</v>
      </c>
      <c r="EG77" s="4">
        <v>2042</v>
      </c>
      <c r="EH77" s="4">
        <v>2043</v>
      </c>
      <c r="EI77" s="4">
        <v>2044</v>
      </c>
      <c r="EJ77" s="4">
        <v>2045</v>
      </c>
      <c r="EK77" s="4">
        <v>2046</v>
      </c>
      <c r="EL77" s="4">
        <v>2047</v>
      </c>
      <c r="EM77" s="4">
        <v>2048</v>
      </c>
      <c r="EN77" s="4">
        <v>2049</v>
      </c>
      <c r="EO77" s="4">
        <v>2050</v>
      </c>
      <c r="ES77" s="18" t="s">
        <v>35</v>
      </c>
      <c r="EU77" s="4" t="s">
        <v>36</v>
      </c>
      <c r="EV77" s="4">
        <v>2025</v>
      </c>
      <c r="EW77" s="4">
        <v>2026</v>
      </c>
      <c r="EX77" s="4">
        <v>2027</v>
      </c>
      <c r="EY77" s="4">
        <v>2028</v>
      </c>
      <c r="EZ77" s="4">
        <v>2029</v>
      </c>
      <c r="FA77" s="4">
        <v>2030</v>
      </c>
      <c r="FB77" s="4">
        <v>2031</v>
      </c>
      <c r="FC77" s="4">
        <v>2032</v>
      </c>
      <c r="FD77" s="4">
        <v>2033</v>
      </c>
      <c r="FE77" s="4">
        <v>2034</v>
      </c>
      <c r="FF77" s="4">
        <v>2035</v>
      </c>
      <c r="FG77" s="4">
        <v>2036</v>
      </c>
      <c r="FH77" s="4">
        <v>2037</v>
      </c>
      <c r="FI77" s="4">
        <v>2038</v>
      </c>
      <c r="FJ77" s="4">
        <v>2039</v>
      </c>
      <c r="FK77" s="4">
        <v>2040</v>
      </c>
      <c r="FL77" s="4">
        <v>2041</v>
      </c>
      <c r="FM77" s="4">
        <v>2042</v>
      </c>
      <c r="FN77" s="4">
        <v>2043</v>
      </c>
      <c r="FO77" s="4">
        <v>2044</v>
      </c>
      <c r="FP77" s="4">
        <v>2045</v>
      </c>
      <c r="FQ77" s="4">
        <v>2046</v>
      </c>
      <c r="FR77" s="4">
        <v>2047</v>
      </c>
      <c r="FS77" s="4">
        <v>2048</v>
      </c>
      <c r="FT77" s="4">
        <v>2049</v>
      </c>
      <c r="FU77" s="4">
        <v>2050</v>
      </c>
    </row>
    <row r="78" spans="3:177" ht="16" x14ac:dyDescent="0.2">
      <c r="F78" s="19" t="str">
        <f>IFERROR(INDEX('[1]GenX Resources'!$A$10:$A$76,MATCH(G78,'[1]GenX Resources'!$B$10:$B$76,0)),"")</f>
        <v>Gas Other</v>
      </c>
      <c r="G78" s="5" t="s">
        <v>37</v>
      </c>
      <c r="H78" s="6">
        <v>454</v>
      </c>
      <c r="I78" s="6">
        <v>454</v>
      </c>
      <c r="J78" s="6">
        <v>454</v>
      </c>
      <c r="K78" s="6">
        <v>454</v>
      </c>
      <c r="L78" s="6">
        <v>454</v>
      </c>
      <c r="M78" s="6">
        <v>454</v>
      </c>
      <c r="N78" s="6">
        <v>454</v>
      </c>
      <c r="O78" s="6">
        <v>454</v>
      </c>
      <c r="P78" s="6">
        <v>454</v>
      </c>
      <c r="Q78" s="6">
        <v>454</v>
      </c>
      <c r="R78" s="6">
        <v>454</v>
      </c>
      <c r="S78" s="6">
        <v>454</v>
      </c>
      <c r="T78" s="6">
        <v>454</v>
      </c>
      <c r="U78" s="6">
        <v>454</v>
      </c>
      <c r="V78" s="6">
        <v>454</v>
      </c>
      <c r="W78" s="6">
        <v>454</v>
      </c>
      <c r="X78" s="6">
        <v>454</v>
      </c>
      <c r="Y78" s="6">
        <v>454</v>
      </c>
      <c r="Z78" s="6">
        <v>454</v>
      </c>
      <c r="AA78" s="6">
        <v>454</v>
      </c>
      <c r="AB78" s="6">
        <v>454</v>
      </c>
      <c r="AC78" s="6">
        <v>454</v>
      </c>
      <c r="AD78" s="6">
        <v>454</v>
      </c>
      <c r="AE78" s="6">
        <v>454</v>
      </c>
      <c r="AF78" s="6">
        <v>454</v>
      </c>
      <c r="AG78" s="6">
        <v>454</v>
      </c>
      <c r="AI78" s="5" t="s">
        <v>37</v>
      </c>
      <c r="AJ78" s="6">
        <f>SUMIFS([1]!Resources[Summer Rating],[1]!Resources[COD],"&lt;="&amp;AJ$77,[1]!Resources[Retirement Date],"&gt;="&amp;AJ$77,[1]!Resources[Unique Key],$AI78,[1]!Resources[Availability '#],"&gt;="&amp;2)</f>
        <v>0</v>
      </c>
      <c r="AK78" s="6">
        <f>SUMIFS([1]!Resources[Summer Rating],[1]!Resources[COD],"&lt;="&amp;AK$77,[1]!Resources[Retirement Date],"&gt;="&amp;AK$77,[1]!Resources[Unique Key],$AI78,[1]!Resources[Availability '#],"&gt;="&amp;2)</f>
        <v>0</v>
      </c>
      <c r="AL78" s="6">
        <f>SUMIFS([1]!Resources[Summer Rating],[1]!Resources[COD],"&lt;="&amp;AL$77,[1]!Resources[Retirement Date],"&gt;="&amp;AL$77,[1]!Resources[Unique Key],$AI78,[1]!Resources[Availability '#],"&gt;="&amp;2)</f>
        <v>0</v>
      </c>
      <c r="AM78" s="6">
        <f>SUMIFS([1]!Resources[Summer Rating],[1]!Resources[COD],"&lt;="&amp;AM$77,[1]!Resources[Retirement Date],"&gt;="&amp;AM$77,[1]!Resources[Unique Key],$AI78,[1]!Resources[Availability '#],"&gt;="&amp;2)</f>
        <v>0</v>
      </c>
      <c r="AN78" s="6">
        <f>SUMIFS([1]!Resources[Summer Rating],[1]!Resources[COD],"&lt;="&amp;AN$77,[1]!Resources[Retirement Date],"&gt;="&amp;AN$77,[1]!Resources[Unique Key],$AI78,[1]!Resources[Availability '#],"&gt;="&amp;2)</f>
        <v>0</v>
      </c>
      <c r="AO78" s="6">
        <f>SUMIFS([1]!Resources[Summer Rating],[1]!Resources[COD],"&lt;="&amp;AO$77,[1]!Resources[Retirement Date],"&gt;="&amp;AO$77,[1]!Resources[Unique Key],$AI78,[1]!Resources[Availability '#],"&gt;="&amp;2)</f>
        <v>0</v>
      </c>
      <c r="AP78" s="6">
        <f>SUMIFS([1]!Resources[Summer Rating],[1]!Resources[COD],"&lt;="&amp;AP$77,[1]!Resources[Retirement Date],"&gt;="&amp;AP$77,[1]!Resources[Unique Key],$AI78,[1]!Resources[Availability '#],"&gt;="&amp;2)</f>
        <v>0</v>
      </c>
      <c r="AQ78" s="6">
        <f>SUMIFS([1]!Resources[Summer Rating],[1]!Resources[COD],"&lt;="&amp;AQ$77,[1]!Resources[Retirement Date],"&gt;="&amp;AQ$77,[1]!Resources[Unique Key],$AI78,[1]!Resources[Availability '#],"&gt;="&amp;2)</f>
        <v>0</v>
      </c>
      <c r="AR78" s="6">
        <f>SUMIFS([1]!Resources[Summer Rating],[1]!Resources[COD],"&lt;="&amp;AR$77,[1]!Resources[Retirement Date],"&gt;="&amp;AR$77,[1]!Resources[Unique Key],$AI78,[1]!Resources[Availability '#],"&gt;="&amp;2)</f>
        <v>0</v>
      </c>
      <c r="AS78" s="6">
        <f>SUMIFS([1]!Resources[Summer Rating],[1]!Resources[COD],"&lt;="&amp;AS$77,[1]!Resources[Retirement Date],"&gt;="&amp;AS$77,[1]!Resources[Unique Key],$AI78,[1]!Resources[Availability '#],"&gt;="&amp;2)</f>
        <v>0</v>
      </c>
      <c r="AT78" s="6">
        <f>SUMIFS([1]!Resources[Summer Rating],[1]!Resources[COD],"&lt;="&amp;AT$77,[1]!Resources[Retirement Date],"&gt;="&amp;AT$77,[1]!Resources[Unique Key],$AI78,[1]!Resources[Availability '#],"&gt;="&amp;2)</f>
        <v>0</v>
      </c>
      <c r="AU78" s="6">
        <f>SUMIFS([1]!Resources[Summer Rating],[1]!Resources[COD],"&lt;="&amp;AU$77,[1]!Resources[Retirement Date],"&gt;="&amp;AU$77,[1]!Resources[Unique Key],$AI78,[1]!Resources[Availability '#],"&gt;="&amp;2)</f>
        <v>0</v>
      </c>
      <c r="AV78" s="6">
        <f>SUMIFS([1]!Resources[Summer Rating],[1]!Resources[COD],"&lt;="&amp;AV$77,[1]!Resources[Retirement Date],"&gt;="&amp;AV$77,[1]!Resources[Unique Key],$AI78,[1]!Resources[Availability '#],"&gt;="&amp;2)</f>
        <v>0</v>
      </c>
      <c r="AW78" s="6">
        <f>SUMIFS([1]!Resources[Summer Rating],[1]!Resources[COD],"&lt;="&amp;AW$77,[1]!Resources[Retirement Date],"&gt;="&amp;AW$77,[1]!Resources[Unique Key],$AI78,[1]!Resources[Availability '#],"&gt;="&amp;2)</f>
        <v>0</v>
      </c>
      <c r="AX78" s="6">
        <f>SUMIFS([1]!Resources[Summer Rating],[1]!Resources[COD],"&lt;="&amp;AX$77,[1]!Resources[Retirement Date],"&gt;="&amp;AX$77,[1]!Resources[Unique Key],$AI78,[1]!Resources[Availability '#],"&gt;="&amp;2)</f>
        <v>0</v>
      </c>
      <c r="AY78" s="6">
        <f>SUMIFS([1]!Resources[Summer Rating],[1]!Resources[COD],"&lt;="&amp;AY$77,[1]!Resources[Retirement Date],"&gt;="&amp;AY$77,[1]!Resources[Unique Key],$AI78,[1]!Resources[Availability '#],"&gt;="&amp;2)</f>
        <v>0</v>
      </c>
      <c r="AZ78" s="6">
        <f>SUMIFS([1]!Resources[Summer Rating],[1]!Resources[COD],"&lt;="&amp;AZ$77,[1]!Resources[Retirement Date],"&gt;="&amp;AZ$77,[1]!Resources[Unique Key],$AI78,[1]!Resources[Availability '#],"&gt;="&amp;2)</f>
        <v>0</v>
      </c>
      <c r="BA78" s="6">
        <f>SUMIFS([1]!Resources[Summer Rating],[1]!Resources[COD],"&lt;="&amp;BA$77,[1]!Resources[Retirement Date],"&gt;="&amp;BA$77,[1]!Resources[Unique Key],$AI78,[1]!Resources[Availability '#],"&gt;="&amp;2)</f>
        <v>0</v>
      </c>
      <c r="BB78" s="6">
        <f>SUMIFS([1]!Resources[Summer Rating],[1]!Resources[COD],"&lt;="&amp;BB$77,[1]!Resources[Retirement Date],"&gt;="&amp;BB$77,[1]!Resources[Unique Key],$AI78,[1]!Resources[Availability '#],"&gt;="&amp;2)</f>
        <v>0</v>
      </c>
      <c r="BC78" s="6">
        <f>SUMIFS([1]!Resources[Summer Rating],[1]!Resources[COD],"&lt;="&amp;BC$77,[1]!Resources[Retirement Date],"&gt;="&amp;BC$77,[1]!Resources[Unique Key],$AI78,[1]!Resources[Availability '#],"&gt;="&amp;2)</f>
        <v>0</v>
      </c>
      <c r="BD78" s="6">
        <f>SUMIFS([1]!Resources[Summer Rating],[1]!Resources[COD],"&lt;="&amp;BD$77,[1]!Resources[Retirement Date],"&gt;="&amp;BD$77,[1]!Resources[Unique Key],$AI78,[1]!Resources[Availability '#],"&gt;="&amp;2)</f>
        <v>0</v>
      </c>
      <c r="BE78" s="6">
        <f>SUMIFS([1]!Resources[Summer Rating],[1]!Resources[COD],"&lt;="&amp;BE$77,[1]!Resources[Retirement Date],"&gt;="&amp;BE$77,[1]!Resources[Unique Key],$AI78,[1]!Resources[Availability '#],"&gt;="&amp;2)</f>
        <v>0</v>
      </c>
      <c r="BF78" s="6">
        <f>SUMIFS([1]!Resources[Summer Rating],[1]!Resources[COD],"&lt;="&amp;BF$77,[1]!Resources[Retirement Date],"&gt;="&amp;BF$77,[1]!Resources[Unique Key],$AI78,[1]!Resources[Availability '#],"&gt;="&amp;2)</f>
        <v>0</v>
      </c>
      <c r="BG78" s="6">
        <f>SUMIFS([1]!Resources[Summer Rating],[1]!Resources[COD],"&lt;="&amp;BG$77,[1]!Resources[Retirement Date],"&gt;="&amp;BG$77,[1]!Resources[Unique Key],$AI78,[1]!Resources[Availability '#],"&gt;="&amp;2)</f>
        <v>0</v>
      </c>
      <c r="BH78" s="6">
        <f>SUMIFS([1]!Resources[Summer Rating],[1]!Resources[COD],"&lt;="&amp;BH$77,[1]!Resources[Retirement Date],"&gt;="&amp;BH$77,[1]!Resources[Unique Key],$AI78,[1]!Resources[Availability '#],"&gt;="&amp;2)</f>
        <v>0</v>
      </c>
      <c r="BI78" s="6">
        <f>SUMIFS([1]!Resources[Summer Rating],[1]!Resources[COD],"&lt;="&amp;BI$77,[1]!Resources[Retirement Date],"&gt;="&amp;BI$77,[1]!Resources[Unique Key],$AI78,[1]!Resources[Availability '#],"&gt;="&amp;2)</f>
        <v>0</v>
      </c>
      <c r="BK78" s="5" t="s">
        <v>37</v>
      </c>
      <c r="BL78" s="20">
        <v>2.9430000000000001</v>
      </c>
      <c r="BM78" s="20">
        <v>2.9430000000000001</v>
      </c>
      <c r="BN78" s="20">
        <v>2.9430000000000001</v>
      </c>
      <c r="BO78" s="20">
        <v>2.9430000000000001</v>
      </c>
      <c r="BP78" s="20">
        <v>2.9430000000000001</v>
      </c>
      <c r="BQ78" s="20">
        <v>1.9490000000000001</v>
      </c>
      <c r="BR78" s="20">
        <v>1.9490000000000001</v>
      </c>
      <c r="BS78" s="20">
        <v>1.9490000000000001</v>
      </c>
      <c r="BT78" s="20">
        <v>1.9490000000000001</v>
      </c>
      <c r="BU78" s="20">
        <v>1.9490000000000001</v>
      </c>
      <c r="BV78" s="20">
        <v>1.9490000000000001</v>
      </c>
      <c r="BW78" s="20">
        <v>2.9430000000000001</v>
      </c>
      <c r="BX78" s="20">
        <v>2.9430000000000001</v>
      </c>
      <c r="BY78" s="20">
        <v>2.9430000000000001</v>
      </c>
      <c r="BZ78" s="20">
        <v>1.9490000000000001</v>
      </c>
      <c r="CA78" s="20">
        <v>2.423</v>
      </c>
      <c r="CB78" s="20">
        <v>2.0409999999999999</v>
      </c>
      <c r="CC78" s="20">
        <v>2.9430000000000001</v>
      </c>
      <c r="CD78" s="20">
        <v>2.9430000000000001</v>
      </c>
      <c r="CE78" s="20">
        <v>2.9430000000000001</v>
      </c>
      <c r="CF78" s="20">
        <v>2.9430000000000001</v>
      </c>
      <c r="CG78" s="20">
        <v>2.9430000000000001</v>
      </c>
      <c r="CH78" s="20">
        <v>2.9430000000000001</v>
      </c>
      <c r="CI78" s="20">
        <v>2.9430000000000001</v>
      </c>
      <c r="CJ78" s="20">
        <v>2.9430000000000001</v>
      </c>
      <c r="CK78" s="20">
        <v>2.9430000000000001</v>
      </c>
      <c r="CM78" s="5" t="s">
        <v>37</v>
      </c>
      <c r="CN78" s="21">
        <v>1.667</v>
      </c>
      <c r="CO78" s="22">
        <v>1.667</v>
      </c>
      <c r="CP78" s="22">
        <v>1.667</v>
      </c>
      <c r="CQ78" s="22">
        <v>1.667</v>
      </c>
      <c r="CR78" s="22">
        <v>1.667</v>
      </c>
      <c r="CS78" s="22">
        <v>1.1040000000000001</v>
      </c>
      <c r="CT78" s="22">
        <v>1.1040000000000001</v>
      </c>
      <c r="CU78" s="22">
        <v>1.1040000000000001</v>
      </c>
      <c r="CV78" s="22">
        <v>1.1040000000000001</v>
      </c>
      <c r="CW78" s="22">
        <v>1.1040000000000001</v>
      </c>
      <c r="CX78" s="22">
        <v>1.1040000000000001</v>
      </c>
      <c r="CY78" s="22">
        <v>1.667</v>
      </c>
      <c r="CZ78" s="22">
        <v>1.667</v>
      </c>
      <c r="DA78" s="22">
        <v>1.667</v>
      </c>
      <c r="DB78" s="22">
        <v>1.1040000000000001</v>
      </c>
      <c r="DC78" s="22">
        <v>1.373</v>
      </c>
      <c r="DD78" s="22">
        <v>1.157</v>
      </c>
      <c r="DE78" s="22">
        <v>1.667</v>
      </c>
      <c r="DF78" s="22">
        <v>1.667</v>
      </c>
      <c r="DG78" s="22">
        <v>1.667</v>
      </c>
      <c r="DH78" s="22">
        <v>1.667</v>
      </c>
      <c r="DI78" s="22">
        <v>1.667</v>
      </c>
      <c r="DJ78" s="22">
        <v>1.667</v>
      </c>
      <c r="DK78" s="22">
        <v>1.667</v>
      </c>
      <c r="DL78" s="22">
        <v>1.667</v>
      </c>
      <c r="DM78" s="22">
        <v>1.667</v>
      </c>
      <c r="DO78" s="5" t="s">
        <v>37</v>
      </c>
      <c r="DP78" s="23">
        <v>0.74</v>
      </c>
      <c r="DQ78" s="23">
        <v>0.74</v>
      </c>
      <c r="DR78" s="23">
        <v>0.74</v>
      </c>
      <c r="DS78" s="23">
        <v>0.74</v>
      </c>
      <c r="DT78" s="23">
        <v>0.74</v>
      </c>
      <c r="DU78" s="23">
        <v>0.49</v>
      </c>
      <c r="DV78" s="23">
        <v>0.49</v>
      </c>
      <c r="DW78" s="23">
        <v>0.49</v>
      </c>
      <c r="DX78" s="23">
        <v>0.49</v>
      </c>
      <c r="DY78" s="23">
        <v>0.49</v>
      </c>
      <c r="DZ78" s="23">
        <v>0.49</v>
      </c>
      <c r="EA78" s="23">
        <v>0.74</v>
      </c>
      <c r="EB78" s="23">
        <v>0.74</v>
      </c>
      <c r="EC78" s="23">
        <v>0.74</v>
      </c>
      <c r="ED78" s="23">
        <v>0.49</v>
      </c>
      <c r="EE78" s="23">
        <v>0.60899999999999999</v>
      </c>
      <c r="EF78" s="23">
        <v>0.51300000000000001</v>
      </c>
      <c r="EG78" s="23">
        <v>0.74</v>
      </c>
      <c r="EH78" s="23">
        <v>0.74</v>
      </c>
      <c r="EI78" s="23">
        <v>0.74</v>
      </c>
      <c r="EJ78" s="23">
        <v>0.74</v>
      </c>
      <c r="EK78" s="23">
        <v>0.74</v>
      </c>
      <c r="EL78" s="23">
        <v>0.74</v>
      </c>
      <c r="EM78" s="23">
        <v>0.74</v>
      </c>
      <c r="EN78" s="23">
        <v>0.74</v>
      </c>
      <c r="EO78" s="23">
        <v>0.74</v>
      </c>
      <c r="EP78" s="24">
        <f ca="1">IFERROR(INDEX('[1]GenX Resources'!$AP$10:$AP$46,MATCH(DO78,'[1]GenX Resources'!$B$10:$B$46,0)),0)</f>
        <v>0.49</v>
      </c>
      <c r="EQ78" s="2" t="b">
        <f t="shared" ref="EQ78:EQ135" ca="1" si="35">IF(EP78=0,TRUE,DP78&gt;=EP78)</f>
        <v>1</v>
      </c>
      <c r="ES78" s="25">
        <f ca="1">IFERROR(INDEX('[1]GenX Resources'!$AD:$AD,MATCH($G78,'[1]GenX Resources'!$B:$B,0)) - IF(OR(INDEX('[1]GenX Resources'!$L:$L,MATCH($G78,'[1]GenX Resources'!$B:$B,0)),ISNUMBER(SEARCH("New Generic",$G78))),0,INDEX('[1]GenX Resources'!$M:$M,MATCH($G78,'[1]GenX Resources'!$B:$B,0))),0)</f>
        <v>70000</v>
      </c>
      <c r="EU78" s="5" t="s">
        <v>38</v>
      </c>
      <c r="EV78" s="20">
        <v>754.99699999999996</v>
      </c>
      <c r="EW78" s="20">
        <v>766.79</v>
      </c>
      <c r="EX78" s="20">
        <v>805.96500000000003</v>
      </c>
      <c r="EY78" s="20">
        <v>847.95399999999995</v>
      </c>
      <c r="EZ78" s="20">
        <v>832.24</v>
      </c>
      <c r="FA78" s="20">
        <v>864.42</v>
      </c>
      <c r="FB78" s="20">
        <v>893.75</v>
      </c>
      <c r="FC78" s="20">
        <v>892.08</v>
      </c>
      <c r="FD78" s="20">
        <v>893.13</v>
      </c>
      <c r="FE78" s="20">
        <v>893.13</v>
      </c>
      <c r="FF78" s="20">
        <v>924.95699999999999</v>
      </c>
      <c r="FG78" s="20">
        <v>836.40700000000004</v>
      </c>
      <c r="FH78" s="20">
        <v>836.40700000000004</v>
      </c>
      <c r="FI78" s="20">
        <v>836.40700000000004</v>
      </c>
      <c r="FJ78" s="20">
        <v>864.34500000000003</v>
      </c>
      <c r="FK78" s="20">
        <v>864.34500000000003</v>
      </c>
      <c r="FL78" s="20">
        <v>864.34500000000003</v>
      </c>
      <c r="FM78" s="20">
        <v>843.69500000000005</v>
      </c>
      <c r="FN78" s="20">
        <v>843.69500000000005</v>
      </c>
      <c r="FO78" s="20">
        <v>843.69500000000005</v>
      </c>
      <c r="FP78" s="20">
        <v>843.69500000000005</v>
      </c>
      <c r="FQ78" s="20">
        <v>843.69500000000005</v>
      </c>
      <c r="FR78" s="20">
        <v>843.69500000000005</v>
      </c>
      <c r="FS78" s="20">
        <v>843.69500000000005</v>
      </c>
      <c r="FT78" s="20">
        <v>843.69500000000005</v>
      </c>
      <c r="FU78" s="20">
        <v>843.69500000000005</v>
      </c>
    </row>
    <row r="79" spans="3:177" ht="16" x14ac:dyDescent="0.2">
      <c r="F79" s="19" t="str">
        <f>IFERROR(INDEX('[1]GenX Resources'!$A$10:$A$76,MATCH(G79,'[1]GenX Resources'!$B$10:$B$76,0)),"")</f>
        <v>Gas CT</v>
      </c>
      <c r="G79" s="5" t="s">
        <v>39</v>
      </c>
      <c r="H79" s="6">
        <v>65</v>
      </c>
      <c r="I79" s="6">
        <v>65</v>
      </c>
      <c r="J79" s="6">
        <v>65</v>
      </c>
      <c r="K79" s="6">
        <v>65</v>
      </c>
      <c r="L79" s="6">
        <v>65</v>
      </c>
      <c r="M79" s="6">
        <v>65</v>
      </c>
      <c r="N79" s="6">
        <v>65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I79" s="5" t="s">
        <v>39</v>
      </c>
      <c r="AJ79" s="6">
        <f>SUMIFS([1]!Resources[Summer Rating],[1]!Resources[COD],"&lt;="&amp;AJ$77,[1]!Resources[Retirement Date],"&gt;="&amp;AJ$77,[1]!Resources[Unique Key],$AI79,[1]!Resources[Availability '#],"&gt;="&amp;2)</f>
        <v>0</v>
      </c>
      <c r="AK79" s="6">
        <f>SUMIFS([1]!Resources[Summer Rating],[1]!Resources[COD],"&lt;="&amp;AK$77,[1]!Resources[Retirement Date],"&gt;="&amp;AK$77,[1]!Resources[Unique Key],$AI79,[1]!Resources[Availability '#],"&gt;="&amp;2)</f>
        <v>0</v>
      </c>
      <c r="AL79" s="6">
        <f>SUMIFS([1]!Resources[Summer Rating],[1]!Resources[COD],"&lt;="&amp;AL$77,[1]!Resources[Retirement Date],"&gt;="&amp;AL$77,[1]!Resources[Unique Key],$AI79,[1]!Resources[Availability '#],"&gt;="&amp;2)</f>
        <v>0</v>
      </c>
      <c r="AM79" s="6">
        <f>SUMIFS([1]!Resources[Summer Rating],[1]!Resources[COD],"&lt;="&amp;AM$77,[1]!Resources[Retirement Date],"&gt;="&amp;AM$77,[1]!Resources[Unique Key],$AI79,[1]!Resources[Availability '#],"&gt;="&amp;2)</f>
        <v>0</v>
      </c>
      <c r="AN79" s="6">
        <f>SUMIFS([1]!Resources[Summer Rating],[1]!Resources[COD],"&lt;="&amp;AN$77,[1]!Resources[Retirement Date],"&gt;="&amp;AN$77,[1]!Resources[Unique Key],$AI79,[1]!Resources[Availability '#],"&gt;="&amp;2)</f>
        <v>0</v>
      </c>
      <c r="AO79" s="6">
        <f>SUMIFS([1]!Resources[Summer Rating],[1]!Resources[COD],"&lt;="&amp;AO$77,[1]!Resources[Retirement Date],"&gt;="&amp;AO$77,[1]!Resources[Unique Key],$AI79,[1]!Resources[Availability '#],"&gt;="&amp;2)</f>
        <v>0</v>
      </c>
      <c r="AP79" s="6">
        <f>SUMIFS([1]!Resources[Summer Rating],[1]!Resources[COD],"&lt;="&amp;AP$77,[1]!Resources[Retirement Date],"&gt;="&amp;AP$77,[1]!Resources[Unique Key],$AI79,[1]!Resources[Availability '#],"&gt;="&amp;2)</f>
        <v>0</v>
      </c>
      <c r="AQ79" s="6">
        <f>SUMIFS([1]!Resources[Summer Rating],[1]!Resources[COD],"&lt;="&amp;AQ$77,[1]!Resources[Retirement Date],"&gt;="&amp;AQ$77,[1]!Resources[Unique Key],$AI79,[1]!Resources[Availability '#],"&gt;="&amp;2)</f>
        <v>0</v>
      </c>
      <c r="AR79" s="6">
        <f>SUMIFS([1]!Resources[Summer Rating],[1]!Resources[COD],"&lt;="&amp;AR$77,[1]!Resources[Retirement Date],"&gt;="&amp;AR$77,[1]!Resources[Unique Key],$AI79,[1]!Resources[Availability '#],"&gt;="&amp;2)</f>
        <v>0</v>
      </c>
      <c r="AS79" s="6">
        <f>SUMIFS([1]!Resources[Summer Rating],[1]!Resources[COD],"&lt;="&amp;AS$77,[1]!Resources[Retirement Date],"&gt;="&amp;AS$77,[1]!Resources[Unique Key],$AI79,[1]!Resources[Availability '#],"&gt;="&amp;2)</f>
        <v>0</v>
      </c>
      <c r="AT79" s="6">
        <f>SUMIFS([1]!Resources[Summer Rating],[1]!Resources[COD],"&lt;="&amp;AT$77,[1]!Resources[Retirement Date],"&gt;="&amp;AT$77,[1]!Resources[Unique Key],$AI79,[1]!Resources[Availability '#],"&gt;="&amp;2)</f>
        <v>0</v>
      </c>
      <c r="AU79" s="6">
        <f>SUMIFS([1]!Resources[Summer Rating],[1]!Resources[COD],"&lt;="&amp;AU$77,[1]!Resources[Retirement Date],"&gt;="&amp;AU$77,[1]!Resources[Unique Key],$AI79,[1]!Resources[Availability '#],"&gt;="&amp;2)</f>
        <v>0</v>
      </c>
      <c r="AV79" s="6">
        <f>SUMIFS([1]!Resources[Summer Rating],[1]!Resources[COD],"&lt;="&amp;AV$77,[1]!Resources[Retirement Date],"&gt;="&amp;AV$77,[1]!Resources[Unique Key],$AI79,[1]!Resources[Availability '#],"&gt;="&amp;2)</f>
        <v>0</v>
      </c>
      <c r="AW79" s="6">
        <f>SUMIFS([1]!Resources[Summer Rating],[1]!Resources[COD],"&lt;="&amp;AW$77,[1]!Resources[Retirement Date],"&gt;="&amp;AW$77,[1]!Resources[Unique Key],$AI79,[1]!Resources[Availability '#],"&gt;="&amp;2)</f>
        <v>0</v>
      </c>
      <c r="AX79" s="6">
        <f>SUMIFS([1]!Resources[Summer Rating],[1]!Resources[COD],"&lt;="&amp;AX$77,[1]!Resources[Retirement Date],"&gt;="&amp;AX$77,[1]!Resources[Unique Key],$AI79,[1]!Resources[Availability '#],"&gt;="&amp;2)</f>
        <v>0</v>
      </c>
      <c r="AY79" s="6">
        <f>SUMIFS([1]!Resources[Summer Rating],[1]!Resources[COD],"&lt;="&amp;AY$77,[1]!Resources[Retirement Date],"&gt;="&amp;AY$77,[1]!Resources[Unique Key],$AI79,[1]!Resources[Availability '#],"&gt;="&amp;2)</f>
        <v>0</v>
      </c>
      <c r="AZ79" s="6">
        <f>SUMIFS([1]!Resources[Summer Rating],[1]!Resources[COD],"&lt;="&amp;AZ$77,[1]!Resources[Retirement Date],"&gt;="&amp;AZ$77,[1]!Resources[Unique Key],$AI79,[1]!Resources[Availability '#],"&gt;="&amp;2)</f>
        <v>0</v>
      </c>
      <c r="BA79" s="6">
        <f>SUMIFS([1]!Resources[Summer Rating],[1]!Resources[COD],"&lt;="&amp;BA$77,[1]!Resources[Retirement Date],"&gt;="&amp;BA$77,[1]!Resources[Unique Key],$AI79,[1]!Resources[Availability '#],"&gt;="&amp;2)</f>
        <v>0</v>
      </c>
      <c r="BB79" s="6">
        <f>SUMIFS([1]!Resources[Summer Rating],[1]!Resources[COD],"&lt;="&amp;BB$77,[1]!Resources[Retirement Date],"&gt;="&amp;BB$77,[1]!Resources[Unique Key],$AI79,[1]!Resources[Availability '#],"&gt;="&amp;2)</f>
        <v>0</v>
      </c>
      <c r="BC79" s="6">
        <f>SUMIFS([1]!Resources[Summer Rating],[1]!Resources[COD],"&lt;="&amp;BC$77,[1]!Resources[Retirement Date],"&gt;="&amp;BC$77,[1]!Resources[Unique Key],$AI79,[1]!Resources[Availability '#],"&gt;="&amp;2)</f>
        <v>0</v>
      </c>
      <c r="BD79" s="6">
        <f>SUMIFS([1]!Resources[Summer Rating],[1]!Resources[COD],"&lt;="&amp;BD$77,[1]!Resources[Retirement Date],"&gt;="&amp;BD$77,[1]!Resources[Unique Key],$AI79,[1]!Resources[Availability '#],"&gt;="&amp;2)</f>
        <v>0</v>
      </c>
      <c r="BE79" s="6">
        <f>SUMIFS([1]!Resources[Summer Rating],[1]!Resources[COD],"&lt;="&amp;BE$77,[1]!Resources[Retirement Date],"&gt;="&amp;BE$77,[1]!Resources[Unique Key],$AI79,[1]!Resources[Availability '#],"&gt;="&amp;2)</f>
        <v>0</v>
      </c>
      <c r="BF79" s="6">
        <f>SUMIFS([1]!Resources[Summer Rating],[1]!Resources[COD],"&lt;="&amp;BF$77,[1]!Resources[Retirement Date],"&gt;="&amp;BF$77,[1]!Resources[Unique Key],$AI79,[1]!Resources[Availability '#],"&gt;="&amp;2)</f>
        <v>0</v>
      </c>
      <c r="BG79" s="6">
        <f>SUMIFS([1]!Resources[Summer Rating],[1]!Resources[COD],"&lt;="&amp;BG$77,[1]!Resources[Retirement Date],"&gt;="&amp;BG$77,[1]!Resources[Unique Key],$AI79,[1]!Resources[Availability '#],"&gt;="&amp;2)</f>
        <v>0</v>
      </c>
      <c r="BH79" s="6">
        <f>SUMIFS([1]!Resources[Summer Rating],[1]!Resources[COD],"&lt;="&amp;BH$77,[1]!Resources[Retirement Date],"&gt;="&amp;BH$77,[1]!Resources[Unique Key],$AI79,[1]!Resources[Availability '#],"&gt;="&amp;2)</f>
        <v>0</v>
      </c>
      <c r="BI79" s="6">
        <f>SUMIFS([1]!Resources[Summer Rating],[1]!Resources[COD],"&lt;="&amp;BI$77,[1]!Resources[Retirement Date],"&gt;="&amp;BI$77,[1]!Resources[Unique Key],$AI79,[1]!Resources[Availability '#],"&gt;="&amp;2)</f>
        <v>0</v>
      </c>
      <c r="BK79" s="5" t="s">
        <v>39</v>
      </c>
      <c r="BL79" s="20">
        <v>0.154</v>
      </c>
      <c r="BM79" s="20">
        <v>0.154</v>
      </c>
      <c r="BN79" s="20">
        <v>0.154</v>
      </c>
      <c r="BO79" s="20">
        <v>0.154</v>
      </c>
      <c r="BP79" s="20">
        <v>1.0999999999999999E-2</v>
      </c>
      <c r="BQ79" s="20">
        <v>1.0999999999999999E-2</v>
      </c>
      <c r="BR79" s="20">
        <v>1.0999999999999999E-2</v>
      </c>
      <c r="BS79" s="20">
        <v>0</v>
      </c>
      <c r="BT79" s="20">
        <v>0</v>
      </c>
      <c r="BU79" s="20">
        <v>0</v>
      </c>
      <c r="BV79" s="20">
        <v>0</v>
      </c>
      <c r="BW79" s="20">
        <v>0</v>
      </c>
      <c r="BX79" s="20">
        <v>0</v>
      </c>
      <c r="BY79" s="20">
        <v>0</v>
      </c>
      <c r="BZ79" s="20">
        <v>0</v>
      </c>
      <c r="CA79" s="20">
        <v>0</v>
      </c>
      <c r="CB79" s="20">
        <v>0</v>
      </c>
      <c r="CC79" s="20">
        <v>0</v>
      </c>
      <c r="CD79" s="20">
        <v>0</v>
      </c>
      <c r="CE79" s="20">
        <v>0</v>
      </c>
      <c r="CF79" s="20">
        <v>0</v>
      </c>
      <c r="CG79" s="20">
        <v>0</v>
      </c>
      <c r="CH79" s="20">
        <v>0</v>
      </c>
      <c r="CI79" s="20">
        <v>0</v>
      </c>
      <c r="CJ79" s="20">
        <v>0</v>
      </c>
      <c r="CK79" s="20">
        <v>0</v>
      </c>
      <c r="CM79" s="5" t="s">
        <v>39</v>
      </c>
      <c r="CN79" s="21">
        <v>0.152</v>
      </c>
      <c r="CO79" s="22">
        <v>0.152</v>
      </c>
      <c r="CP79" s="22">
        <v>0.152</v>
      </c>
      <c r="CQ79" s="22">
        <v>0.152</v>
      </c>
      <c r="CR79" s="22">
        <v>1.0999999999999999E-2</v>
      </c>
      <c r="CS79" s="22">
        <v>1.0999999999999999E-2</v>
      </c>
      <c r="CT79" s="22">
        <v>1.0999999999999999E-2</v>
      </c>
      <c r="CU79" s="22">
        <v>0</v>
      </c>
      <c r="CV79" s="22">
        <v>0</v>
      </c>
      <c r="CW79" s="22">
        <v>0</v>
      </c>
      <c r="CX79" s="22">
        <v>0</v>
      </c>
      <c r="CY79" s="22">
        <v>0</v>
      </c>
      <c r="CZ79" s="22">
        <v>0</v>
      </c>
      <c r="DA79" s="22">
        <v>0</v>
      </c>
      <c r="DB79" s="22">
        <v>0</v>
      </c>
      <c r="DC79" s="22">
        <v>0</v>
      </c>
      <c r="DD79" s="22">
        <v>0</v>
      </c>
      <c r="DE79" s="22">
        <v>0</v>
      </c>
      <c r="DF79" s="22">
        <v>0</v>
      </c>
      <c r="DG79" s="22">
        <v>0</v>
      </c>
      <c r="DH79" s="22">
        <v>0</v>
      </c>
      <c r="DI79" s="22">
        <v>0</v>
      </c>
      <c r="DJ79" s="22">
        <v>0</v>
      </c>
      <c r="DK79" s="22">
        <v>0</v>
      </c>
      <c r="DL79" s="22">
        <v>0</v>
      </c>
      <c r="DM79" s="22">
        <v>0</v>
      </c>
      <c r="DO79" s="5" t="s">
        <v>39</v>
      </c>
      <c r="DP79" s="23">
        <v>0.27</v>
      </c>
      <c r="DQ79" s="23">
        <v>0.27</v>
      </c>
      <c r="DR79" s="23">
        <v>0.27</v>
      </c>
      <c r="DS79" s="23">
        <v>0.27</v>
      </c>
      <c r="DT79" s="23">
        <v>0.02</v>
      </c>
      <c r="DU79" s="23">
        <v>0.02</v>
      </c>
      <c r="DV79" s="23">
        <v>0.02</v>
      </c>
      <c r="DW79" s="23">
        <v>0</v>
      </c>
      <c r="DX79" s="23">
        <v>0</v>
      </c>
      <c r="DY79" s="23">
        <v>0</v>
      </c>
      <c r="DZ79" s="23">
        <v>0</v>
      </c>
      <c r="EA79" s="23">
        <v>0</v>
      </c>
      <c r="EB79" s="23">
        <v>0</v>
      </c>
      <c r="EC79" s="23">
        <v>0</v>
      </c>
      <c r="ED79" s="23">
        <v>0</v>
      </c>
      <c r="EE79" s="23">
        <v>0</v>
      </c>
      <c r="EF79" s="23">
        <v>0</v>
      </c>
      <c r="EG79" s="23">
        <v>0</v>
      </c>
      <c r="EH79" s="23">
        <v>0</v>
      </c>
      <c r="EI79" s="23">
        <v>0</v>
      </c>
      <c r="EJ79" s="23">
        <v>0</v>
      </c>
      <c r="EK79" s="23">
        <v>0</v>
      </c>
      <c r="EL79" s="23">
        <v>0</v>
      </c>
      <c r="EM79" s="23">
        <v>0</v>
      </c>
      <c r="EN79" s="23">
        <v>0</v>
      </c>
      <c r="EO79" s="23">
        <v>0</v>
      </c>
      <c r="EP79" s="24">
        <f ca="1">IFERROR(INDEX('[1]GenX Resources'!$AP$10:$AP$46,MATCH(DO79,'[1]GenX Resources'!$B$10:$B$46,0)),0)</f>
        <v>0.02</v>
      </c>
      <c r="EQ79" s="2" t="b">
        <f t="shared" ca="1" si="35"/>
        <v>1</v>
      </c>
      <c r="ES79" s="25">
        <f ca="1">IFERROR(INDEX('[1]GenX Resources'!$AD:$AD,MATCH($G79,'[1]GenX Resources'!$B:$B,0)) - IF(OR(INDEX('[1]GenX Resources'!$L:$L,MATCH($G79,'[1]GenX Resources'!$B:$B,0)),ISNUMBER(SEARCH("New Generic",$G79))),0,INDEX('[1]GenX Resources'!$M:$M,MATCH($G79,'[1]GenX Resources'!$B:$B,0))),0)</f>
        <v>25700</v>
      </c>
      <c r="EU79" s="5" t="s">
        <v>18</v>
      </c>
      <c r="EV79" s="20">
        <v>585.54399999999998</v>
      </c>
      <c r="EW79" s="20">
        <v>576.88099999999997</v>
      </c>
      <c r="EX79" s="20">
        <v>550.68499999999995</v>
      </c>
      <c r="EY79" s="20">
        <v>520.24400000000003</v>
      </c>
      <c r="EZ79" s="20">
        <v>497.39600000000002</v>
      </c>
      <c r="FA79" s="20">
        <v>519.97400000000005</v>
      </c>
      <c r="FB79" s="20">
        <v>515.24699999999996</v>
      </c>
      <c r="FC79" s="20">
        <v>524.16300000000001</v>
      </c>
      <c r="FD79" s="20">
        <v>523.44799999999998</v>
      </c>
      <c r="FE79" s="20">
        <v>519.404</v>
      </c>
      <c r="FF79" s="20">
        <v>512.87300000000005</v>
      </c>
      <c r="FG79" s="20">
        <v>497.18200000000002</v>
      </c>
      <c r="FH79" s="20">
        <v>498.98700000000002</v>
      </c>
      <c r="FI79" s="20">
        <v>498.8</v>
      </c>
      <c r="FJ79" s="20">
        <v>491.08</v>
      </c>
      <c r="FK79" s="20">
        <v>500.45100000000002</v>
      </c>
      <c r="FL79" s="20">
        <v>495.87099999999998</v>
      </c>
      <c r="FM79" s="20">
        <v>501.23099999999999</v>
      </c>
      <c r="FN79" s="20">
        <v>499.20400000000001</v>
      </c>
      <c r="FO79" s="20">
        <v>501.15300000000002</v>
      </c>
      <c r="FP79" s="20">
        <v>501.59</v>
      </c>
      <c r="FQ79" s="20">
        <v>504.20800000000003</v>
      </c>
      <c r="FR79" s="20">
        <v>500.99400000000003</v>
      </c>
      <c r="FS79" s="20">
        <v>504.38299999999998</v>
      </c>
      <c r="FT79" s="20">
        <v>505.63099999999997</v>
      </c>
      <c r="FU79" s="20">
        <v>505.18799999999999</v>
      </c>
    </row>
    <row r="80" spans="3:177" ht="16" x14ac:dyDescent="0.2">
      <c r="F80" s="19" t="str">
        <f>IFERROR(INDEX('[1]GenX Resources'!$A$10:$A$76,MATCH(G80,'[1]GenX Resources'!$B$10:$B$76,0)),"")</f>
        <v>Coal</v>
      </c>
      <c r="G80" s="5" t="s">
        <v>40</v>
      </c>
      <c r="H80" s="6">
        <v>417</v>
      </c>
      <c r="I80" s="6">
        <v>417</v>
      </c>
      <c r="J80" s="6">
        <v>417</v>
      </c>
      <c r="K80" s="6">
        <v>417</v>
      </c>
      <c r="L80" s="6">
        <v>417</v>
      </c>
      <c r="M80" s="6">
        <v>417</v>
      </c>
      <c r="N80" s="6">
        <v>417</v>
      </c>
      <c r="O80" s="6">
        <v>417</v>
      </c>
      <c r="P80" s="6">
        <v>417</v>
      </c>
      <c r="Q80" s="6">
        <v>417</v>
      </c>
      <c r="R80" s="6">
        <v>417</v>
      </c>
      <c r="S80" s="6">
        <v>417</v>
      </c>
      <c r="T80" s="6">
        <v>417</v>
      </c>
      <c r="U80" s="6">
        <v>417</v>
      </c>
      <c r="V80" s="6">
        <v>417</v>
      </c>
      <c r="W80" s="6">
        <v>417</v>
      </c>
      <c r="X80" s="6">
        <v>417</v>
      </c>
      <c r="Y80" s="6">
        <v>417</v>
      </c>
      <c r="Z80" s="6">
        <v>417</v>
      </c>
      <c r="AA80" s="6">
        <v>417</v>
      </c>
      <c r="AB80" s="6">
        <v>417</v>
      </c>
      <c r="AC80" s="6">
        <v>417</v>
      </c>
      <c r="AD80" s="6">
        <v>417</v>
      </c>
      <c r="AE80" s="6">
        <v>417</v>
      </c>
      <c r="AF80" s="6">
        <v>417</v>
      </c>
      <c r="AG80" s="6">
        <v>417</v>
      </c>
      <c r="AI80" s="5" t="s">
        <v>40</v>
      </c>
      <c r="AJ80" s="6">
        <f>SUMIFS([1]!Resources[Summer Rating],[1]!Resources[COD],"&lt;="&amp;AJ$77,[1]!Resources[Retirement Date],"&gt;="&amp;AJ$77,[1]!Resources[Unique Key],$AI80,[1]!Resources[Availability '#],"&gt;="&amp;2)</f>
        <v>0</v>
      </c>
      <c r="AK80" s="6">
        <f>SUMIFS([1]!Resources[Summer Rating],[1]!Resources[COD],"&lt;="&amp;AK$77,[1]!Resources[Retirement Date],"&gt;="&amp;AK$77,[1]!Resources[Unique Key],$AI80,[1]!Resources[Availability '#],"&gt;="&amp;2)</f>
        <v>0</v>
      </c>
      <c r="AL80" s="6">
        <f>SUMIFS([1]!Resources[Summer Rating],[1]!Resources[COD],"&lt;="&amp;AL$77,[1]!Resources[Retirement Date],"&gt;="&amp;AL$77,[1]!Resources[Unique Key],$AI80,[1]!Resources[Availability '#],"&gt;="&amp;2)</f>
        <v>0</v>
      </c>
      <c r="AM80" s="6">
        <f>SUMIFS([1]!Resources[Summer Rating],[1]!Resources[COD],"&lt;="&amp;AM$77,[1]!Resources[Retirement Date],"&gt;="&amp;AM$77,[1]!Resources[Unique Key],$AI80,[1]!Resources[Availability '#],"&gt;="&amp;2)</f>
        <v>0</v>
      </c>
      <c r="AN80" s="6">
        <f>SUMIFS([1]!Resources[Summer Rating],[1]!Resources[COD],"&lt;="&amp;AN$77,[1]!Resources[Retirement Date],"&gt;="&amp;AN$77,[1]!Resources[Unique Key],$AI80,[1]!Resources[Availability '#],"&gt;="&amp;2)</f>
        <v>0</v>
      </c>
      <c r="AO80" s="6">
        <f>SUMIFS([1]!Resources[Summer Rating],[1]!Resources[COD],"&lt;="&amp;AO$77,[1]!Resources[Retirement Date],"&gt;="&amp;AO$77,[1]!Resources[Unique Key],$AI80,[1]!Resources[Availability '#],"&gt;="&amp;2)</f>
        <v>0</v>
      </c>
      <c r="AP80" s="6">
        <f>SUMIFS([1]!Resources[Summer Rating],[1]!Resources[COD],"&lt;="&amp;AP$77,[1]!Resources[Retirement Date],"&gt;="&amp;AP$77,[1]!Resources[Unique Key],$AI80,[1]!Resources[Availability '#],"&gt;="&amp;2)</f>
        <v>0</v>
      </c>
      <c r="AQ80" s="6">
        <f>SUMIFS([1]!Resources[Summer Rating],[1]!Resources[COD],"&lt;="&amp;AQ$77,[1]!Resources[Retirement Date],"&gt;="&amp;AQ$77,[1]!Resources[Unique Key],$AI80,[1]!Resources[Availability '#],"&gt;="&amp;2)</f>
        <v>0</v>
      </c>
      <c r="AR80" s="6">
        <f>SUMIFS([1]!Resources[Summer Rating],[1]!Resources[COD],"&lt;="&amp;AR$77,[1]!Resources[Retirement Date],"&gt;="&amp;AR$77,[1]!Resources[Unique Key],$AI80,[1]!Resources[Availability '#],"&gt;="&amp;2)</f>
        <v>0</v>
      </c>
      <c r="AS80" s="6">
        <f>SUMIFS([1]!Resources[Summer Rating],[1]!Resources[COD],"&lt;="&amp;AS$77,[1]!Resources[Retirement Date],"&gt;="&amp;AS$77,[1]!Resources[Unique Key],$AI80,[1]!Resources[Availability '#],"&gt;="&amp;2)</f>
        <v>0</v>
      </c>
      <c r="AT80" s="6">
        <f>SUMIFS([1]!Resources[Summer Rating],[1]!Resources[COD],"&lt;="&amp;AT$77,[1]!Resources[Retirement Date],"&gt;="&amp;AT$77,[1]!Resources[Unique Key],$AI80,[1]!Resources[Availability '#],"&gt;="&amp;2)</f>
        <v>0</v>
      </c>
      <c r="AU80" s="6">
        <f>SUMIFS([1]!Resources[Summer Rating],[1]!Resources[COD],"&lt;="&amp;AU$77,[1]!Resources[Retirement Date],"&gt;="&amp;AU$77,[1]!Resources[Unique Key],$AI80,[1]!Resources[Availability '#],"&gt;="&amp;2)</f>
        <v>0</v>
      </c>
      <c r="AV80" s="6">
        <f>SUMIFS([1]!Resources[Summer Rating],[1]!Resources[COD],"&lt;="&amp;AV$77,[1]!Resources[Retirement Date],"&gt;="&amp;AV$77,[1]!Resources[Unique Key],$AI80,[1]!Resources[Availability '#],"&gt;="&amp;2)</f>
        <v>0</v>
      </c>
      <c r="AW80" s="6">
        <f>SUMIFS([1]!Resources[Summer Rating],[1]!Resources[COD],"&lt;="&amp;AW$77,[1]!Resources[Retirement Date],"&gt;="&amp;AW$77,[1]!Resources[Unique Key],$AI80,[1]!Resources[Availability '#],"&gt;="&amp;2)</f>
        <v>0</v>
      </c>
      <c r="AX80" s="6">
        <f>SUMIFS([1]!Resources[Summer Rating],[1]!Resources[COD],"&lt;="&amp;AX$77,[1]!Resources[Retirement Date],"&gt;="&amp;AX$77,[1]!Resources[Unique Key],$AI80,[1]!Resources[Availability '#],"&gt;="&amp;2)</f>
        <v>0</v>
      </c>
      <c r="AY80" s="6">
        <f>SUMIFS([1]!Resources[Summer Rating],[1]!Resources[COD],"&lt;="&amp;AY$77,[1]!Resources[Retirement Date],"&gt;="&amp;AY$77,[1]!Resources[Unique Key],$AI80,[1]!Resources[Availability '#],"&gt;="&amp;2)</f>
        <v>0</v>
      </c>
      <c r="AZ80" s="6">
        <f>SUMIFS([1]!Resources[Summer Rating],[1]!Resources[COD],"&lt;="&amp;AZ$77,[1]!Resources[Retirement Date],"&gt;="&amp;AZ$77,[1]!Resources[Unique Key],$AI80,[1]!Resources[Availability '#],"&gt;="&amp;2)</f>
        <v>0</v>
      </c>
      <c r="BA80" s="6">
        <f>SUMIFS([1]!Resources[Summer Rating],[1]!Resources[COD],"&lt;="&amp;BA$77,[1]!Resources[Retirement Date],"&gt;="&amp;BA$77,[1]!Resources[Unique Key],$AI80,[1]!Resources[Availability '#],"&gt;="&amp;2)</f>
        <v>0</v>
      </c>
      <c r="BB80" s="6">
        <f>SUMIFS([1]!Resources[Summer Rating],[1]!Resources[COD],"&lt;="&amp;BB$77,[1]!Resources[Retirement Date],"&gt;="&amp;BB$77,[1]!Resources[Unique Key],$AI80,[1]!Resources[Availability '#],"&gt;="&amp;2)</f>
        <v>0</v>
      </c>
      <c r="BC80" s="6">
        <f>SUMIFS([1]!Resources[Summer Rating],[1]!Resources[COD],"&lt;="&amp;BC$77,[1]!Resources[Retirement Date],"&gt;="&amp;BC$77,[1]!Resources[Unique Key],$AI80,[1]!Resources[Availability '#],"&gt;="&amp;2)</f>
        <v>0</v>
      </c>
      <c r="BD80" s="6">
        <f>SUMIFS([1]!Resources[Summer Rating],[1]!Resources[COD],"&lt;="&amp;BD$77,[1]!Resources[Retirement Date],"&gt;="&amp;BD$77,[1]!Resources[Unique Key],$AI80,[1]!Resources[Availability '#],"&gt;="&amp;2)</f>
        <v>0</v>
      </c>
      <c r="BE80" s="6">
        <f>SUMIFS([1]!Resources[Summer Rating],[1]!Resources[COD],"&lt;="&amp;BE$77,[1]!Resources[Retirement Date],"&gt;="&amp;BE$77,[1]!Resources[Unique Key],$AI80,[1]!Resources[Availability '#],"&gt;="&amp;2)</f>
        <v>0</v>
      </c>
      <c r="BF80" s="6">
        <f>SUMIFS([1]!Resources[Summer Rating],[1]!Resources[COD],"&lt;="&amp;BF$77,[1]!Resources[Retirement Date],"&gt;="&amp;BF$77,[1]!Resources[Unique Key],$AI80,[1]!Resources[Availability '#],"&gt;="&amp;2)</f>
        <v>0</v>
      </c>
      <c r="BG80" s="6">
        <f>SUMIFS([1]!Resources[Summer Rating],[1]!Resources[COD],"&lt;="&amp;BG$77,[1]!Resources[Retirement Date],"&gt;="&amp;BG$77,[1]!Resources[Unique Key],$AI80,[1]!Resources[Availability '#],"&gt;="&amp;2)</f>
        <v>0</v>
      </c>
      <c r="BH80" s="6">
        <f>SUMIFS([1]!Resources[Summer Rating],[1]!Resources[COD],"&lt;="&amp;BH$77,[1]!Resources[Retirement Date],"&gt;="&amp;BH$77,[1]!Resources[Unique Key],$AI80,[1]!Resources[Availability '#],"&gt;="&amp;2)</f>
        <v>0</v>
      </c>
      <c r="BI80" s="6">
        <f>SUMIFS([1]!Resources[Summer Rating],[1]!Resources[COD],"&lt;="&amp;BI$77,[1]!Resources[Retirement Date],"&gt;="&amp;BI$77,[1]!Resources[Unique Key],$AI80,[1]!Resources[Availability '#],"&gt;="&amp;2)</f>
        <v>0</v>
      </c>
      <c r="BK80" s="5" t="s">
        <v>40</v>
      </c>
      <c r="BL80" s="20">
        <v>2.3010000000000002</v>
      </c>
      <c r="BM80" s="20">
        <v>2.3010000000000002</v>
      </c>
      <c r="BN80" s="20">
        <v>2.3010000000000002</v>
      </c>
      <c r="BO80" s="20">
        <v>2.3010000000000002</v>
      </c>
      <c r="BP80" s="20">
        <v>2.3010000000000002</v>
      </c>
      <c r="BQ80" s="20">
        <v>2.3010000000000002</v>
      </c>
      <c r="BR80" s="20">
        <v>2.3010000000000002</v>
      </c>
      <c r="BS80" s="20">
        <v>2.3010000000000002</v>
      </c>
      <c r="BT80" s="20">
        <v>2.3010000000000002</v>
      </c>
      <c r="BU80" s="20">
        <v>2.3010000000000002</v>
      </c>
      <c r="BV80" s="20">
        <v>2.3010000000000002</v>
      </c>
      <c r="BW80" s="20">
        <v>2.3010000000000002</v>
      </c>
      <c r="BX80" s="20">
        <v>2.3010000000000002</v>
      </c>
      <c r="BY80" s="20">
        <v>2.3010000000000002</v>
      </c>
      <c r="BZ80" s="20">
        <v>2.3010000000000002</v>
      </c>
      <c r="CA80" s="20">
        <v>2.3010000000000002</v>
      </c>
      <c r="CB80" s="20">
        <v>2.3010000000000002</v>
      </c>
      <c r="CC80" s="20">
        <v>2.3010000000000002</v>
      </c>
      <c r="CD80" s="20">
        <v>2.3010000000000002</v>
      </c>
      <c r="CE80" s="20">
        <v>2.3010000000000002</v>
      </c>
      <c r="CF80" s="20">
        <v>2.3010000000000002</v>
      </c>
      <c r="CG80" s="20">
        <v>2.3010000000000002</v>
      </c>
      <c r="CH80" s="20">
        <v>2.3010000000000002</v>
      </c>
      <c r="CI80" s="20">
        <v>2.3010000000000002</v>
      </c>
      <c r="CJ80" s="20">
        <v>2.3010000000000002</v>
      </c>
      <c r="CK80" s="20">
        <v>2.3010000000000002</v>
      </c>
      <c r="CM80" s="5" t="s">
        <v>40</v>
      </c>
      <c r="CN80" s="21">
        <v>2.2759999999999998</v>
      </c>
      <c r="CO80" s="22">
        <v>2.2759999999999998</v>
      </c>
      <c r="CP80" s="22">
        <v>2.2759999999999998</v>
      </c>
      <c r="CQ80" s="22">
        <v>2.2759999999999998</v>
      </c>
      <c r="CR80" s="22">
        <v>2.2759999999999998</v>
      </c>
      <c r="CS80" s="22">
        <v>2.2759999999999998</v>
      </c>
      <c r="CT80" s="22">
        <v>2.2759999999999998</v>
      </c>
      <c r="CU80" s="22">
        <v>2.2759999999999998</v>
      </c>
      <c r="CV80" s="22">
        <v>2.2759999999999998</v>
      </c>
      <c r="CW80" s="22">
        <v>2.2759999999999998</v>
      </c>
      <c r="CX80" s="22">
        <v>2.2759999999999998</v>
      </c>
      <c r="CY80" s="22">
        <v>2.2759999999999998</v>
      </c>
      <c r="CZ80" s="22">
        <v>2.2759999999999998</v>
      </c>
      <c r="DA80" s="22">
        <v>2.2759999999999998</v>
      </c>
      <c r="DB80" s="22">
        <v>2.2759999999999998</v>
      </c>
      <c r="DC80" s="22">
        <v>2.2759999999999998</v>
      </c>
      <c r="DD80" s="22">
        <v>2.2759999999999998</v>
      </c>
      <c r="DE80" s="22">
        <v>2.2759999999999998</v>
      </c>
      <c r="DF80" s="22">
        <v>2.2759999999999998</v>
      </c>
      <c r="DG80" s="22">
        <v>2.2759999999999998</v>
      </c>
      <c r="DH80" s="22">
        <v>2.2759999999999998</v>
      </c>
      <c r="DI80" s="22">
        <v>2.2759999999999998</v>
      </c>
      <c r="DJ80" s="22">
        <v>2.2759999999999998</v>
      </c>
      <c r="DK80" s="22">
        <v>2.2759999999999998</v>
      </c>
      <c r="DL80" s="22">
        <v>2.2759999999999998</v>
      </c>
      <c r="DM80" s="22">
        <v>2.2759999999999998</v>
      </c>
      <c r="DO80" s="5" t="s">
        <v>40</v>
      </c>
      <c r="DP80" s="23">
        <v>0.63</v>
      </c>
      <c r="DQ80" s="23">
        <v>0.63</v>
      </c>
      <c r="DR80" s="23">
        <v>0.63</v>
      </c>
      <c r="DS80" s="23">
        <v>0.63</v>
      </c>
      <c r="DT80" s="23">
        <v>0.63</v>
      </c>
      <c r="DU80" s="23">
        <v>0.63</v>
      </c>
      <c r="DV80" s="23">
        <v>0.63</v>
      </c>
      <c r="DW80" s="23">
        <v>0.63</v>
      </c>
      <c r="DX80" s="23">
        <v>0.63</v>
      </c>
      <c r="DY80" s="23">
        <v>0.63</v>
      </c>
      <c r="DZ80" s="23">
        <v>0.63</v>
      </c>
      <c r="EA80" s="23">
        <v>0.63</v>
      </c>
      <c r="EB80" s="23">
        <v>0.63</v>
      </c>
      <c r="EC80" s="23">
        <v>0.63</v>
      </c>
      <c r="ED80" s="23">
        <v>0.63</v>
      </c>
      <c r="EE80" s="23">
        <v>0.63</v>
      </c>
      <c r="EF80" s="23">
        <v>0.63</v>
      </c>
      <c r="EG80" s="23">
        <v>0.63</v>
      </c>
      <c r="EH80" s="23">
        <v>0.63</v>
      </c>
      <c r="EI80" s="23">
        <v>0.63</v>
      </c>
      <c r="EJ80" s="23">
        <v>0.63</v>
      </c>
      <c r="EK80" s="23">
        <v>0.63</v>
      </c>
      <c r="EL80" s="23">
        <v>0.63</v>
      </c>
      <c r="EM80" s="23">
        <v>0.63</v>
      </c>
      <c r="EN80" s="23">
        <v>0.63</v>
      </c>
      <c r="EO80" s="23">
        <v>0.63</v>
      </c>
      <c r="EP80" s="24">
        <f ca="1">IFERROR(INDEX('[1]GenX Resources'!$AP$10:$AP$46,MATCH(DO80,'[1]GenX Resources'!$B$10:$B$46,0)),0)</f>
        <v>0.63</v>
      </c>
      <c r="EQ80" s="2" t="b">
        <f t="shared" ca="1" si="35"/>
        <v>1</v>
      </c>
      <c r="ES80" s="25">
        <f ca="1">IFERROR(INDEX('[1]GenX Resources'!$AD:$AD,MATCH($G80,'[1]GenX Resources'!$B:$B,0)) - IF(OR(INDEX('[1]GenX Resources'!$L:$L,MATCH($G80,'[1]GenX Resources'!$B:$B,0)),ISNUMBER(SEARCH("New Generic",$G80))),0,INDEX('[1]GenX Resources'!$M:$M,MATCH($G80,'[1]GenX Resources'!$B:$B,0))),0)</f>
        <v>70000</v>
      </c>
      <c r="EU80" s="5" t="s">
        <v>20</v>
      </c>
      <c r="EV80" s="20">
        <v>3584.02</v>
      </c>
      <c r="EW80" s="20">
        <v>3481.9459999999999</v>
      </c>
      <c r="EX80" s="20">
        <v>3245.0169999999998</v>
      </c>
      <c r="EY80" s="20">
        <v>3148.6529999999998</v>
      </c>
      <c r="EZ80" s="20">
        <v>3125.3910000000001</v>
      </c>
      <c r="FA80" s="20">
        <v>2568.942</v>
      </c>
      <c r="FB80" s="20">
        <v>2617.645</v>
      </c>
      <c r="FC80" s="20">
        <v>2754.0340000000001</v>
      </c>
      <c r="FD80" s="20">
        <v>2836.846</v>
      </c>
      <c r="FE80" s="20">
        <v>2870.3029999999999</v>
      </c>
      <c r="FF80" s="20">
        <v>2861.4</v>
      </c>
      <c r="FG80" s="20">
        <v>3004.7950000000001</v>
      </c>
      <c r="FH80" s="20">
        <v>2991.875</v>
      </c>
      <c r="FI80" s="20">
        <v>2964.3879999999999</v>
      </c>
      <c r="FJ80" s="20">
        <v>2896.4459999999999</v>
      </c>
      <c r="FK80" s="20">
        <v>2938.982</v>
      </c>
      <c r="FL80" s="20">
        <v>2955.136</v>
      </c>
      <c r="FM80" s="20">
        <v>3032.9789999999998</v>
      </c>
      <c r="FN80" s="20">
        <v>3037.6210000000001</v>
      </c>
      <c r="FO80" s="20">
        <v>3070.2849999999999</v>
      </c>
      <c r="FP80" s="20">
        <v>3074.8339999999998</v>
      </c>
      <c r="FQ80" s="20">
        <v>3100.9319999999998</v>
      </c>
      <c r="FR80" s="20">
        <v>3122.6619999999998</v>
      </c>
      <c r="FS80" s="20">
        <v>3154.4290000000001</v>
      </c>
      <c r="FT80" s="20">
        <v>3146.7829999999999</v>
      </c>
      <c r="FU80" s="20">
        <v>3117.4160000000002</v>
      </c>
    </row>
    <row r="81" spans="6:177" ht="16" x14ac:dyDescent="0.2">
      <c r="F81" s="19" t="str">
        <f>IFERROR(INDEX('[1]GenX Resources'!$A$10:$A$76,MATCH(G81,'[1]GenX Resources'!$B$10:$B$76,0)),"")</f>
        <v>Gas CCGT</v>
      </c>
      <c r="G81" s="5" t="s">
        <v>41</v>
      </c>
      <c r="H81" s="6">
        <v>0</v>
      </c>
      <c r="I81" s="6">
        <v>0</v>
      </c>
      <c r="J81" s="6">
        <v>0</v>
      </c>
      <c r="K81" s="6">
        <v>0</v>
      </c>
      <c r="L81" s="6">
        <v>600</v>
      </c>
      <c r="M81" s="6">
        <v>1345</v>
      </c>
      <c r="N81" s="6">
        <v>1990</v>
      </c>
      <c r="O81" s="6">
        <v>1990</v>
      </c>
      <c r="P81" s="6">
        <v>1990</v>
      </c>
      <c r="Q81" s="6">
        <v>1990</v>
      </c>
      <c r="R81" s="6">
        <v>1990</v>
      </c>
      <c r="S81" s="6">
        <v>1990</v>
      </c>
      <c r="T81" s="6">
        <v>1990</v>
      </c>
      <c r="U81" s="6">
        <v>1990</v>
      </c>
      <c r="V81" s="6">
        <v>1990</v>
      </c>
      <c r="W81" s="6">
        <v>1990</v>
      </c>
      <c r="X81" s="6">
        <v>1990</v>
      </c>
      <c r="Y81" s="6">
        <v>1990</v>
      </c>
      <c r="Z81" s="6">
        <v>1990</v>
      </c>
      <c r="AA81" s="6">
        <v>1990</v>
      </c>
      <c r="AB81" s="6">
        <v>1990</v>
      </c>
      <c r="AC81" s="6">
        <v>1990</v>
      </c>
      <c r="AD81" s="6">
        <v>1990</v>
      </c>
      <c r="AE81" s="6">
        <v>1990</v>
      </c>
      <c r="AF81" s="6">
        <v>1990</v>
      </c>
      <c r="AG81" s="6">
        <v>1990</v>
      </c>
      <c r="AI81" s="5" t="s">
        <v>41</v>
      </c>
      <c r="AJ81" s="6">
        <f>SUMIFS([1]!Resources[Summer Rating],[1]!Resources[COD],"&lt;="&amp;AJ$77,[1]!Resources[Retirement Date],"&gt;="&amp;AJ$77,[1]!Resources[Unique Key],$AI81,[1]!Resources[Availability '#],"&gt;="&amp;2)</f>
        <v>0</v>
      </c>
      <c r="AK81" s="6">
        <f>SUMIFS([1]!Resources[Summer Rating],[1]!Resources[COD],"&lt;="&amp;AK$77,[1]!Resources[Retirement Date],"&gt;="&amp;AK$77,[1]!Resources[Unique Key],$AI81,[1]!Resources[Availability '#],"&gt;="&amp;2)</f>
        <v>0</v>
      </c>
      <c r="AL81" s="6">
        <f>SUMIFS([1]!Resources[Summer Rating],[1]!Resources[COD],"&lt;="&amp;AL$77,[1]!Resources[Retirement Date],"&gt;="&amp;AL$77,[1]!Resources[Unique Key],$AI81,[1]!Resources[Availability '#],"&gt;="&amp;2)</f>
        <v>0</v>
      </c>
      <c r="AM81" s="6">
        <f>SUMIFS([1]!Resources[Summer Rating],[1]!Resources[COD],"&lt;="&amp;AM$77,[1]!Resources[Retirement Date],"&gt;="&amp;AM$77,[1]!Resources[Unique Key],$AI81,[1]!Resources[Availability '#],"&gt;="&amp;2)</f>
        <v>0</v>
      </c>
      <c r="AN81" s="6">
        <f>SUMIFS([1]!Resources[Summer Rating],[1]!Resources[COD],"&lt;="&amp;AN$77,[1]!Resources[Retirement Date],"&gt;="&amp;AN$77,[1]!Resources[Unique Key],$AI81,[1]!Resources[Availability '#],"&gt;="&amp;2)</f>
        <v>600</v>
      </c>
      <c r="AO81" s="6">
        <f>SUMIFS([1]!Resources[Summer Rating],[1]!Resources[COD],"&lt;="&amp;AO$77,[1]!Resources[Retirement Date],"&gt;="&amp;AO$77,[1]!Resources[Unique Key],$AI81,[1]!Resources[Availability '#],"&gt;="&amp;2)</f>
        <v>1345</v>
      </c>
      <c r="AP81" s="6">
        <f>SUMIFS([1]!Resources[Summer Rating],[1]!Resources[COD],"&lt;="&amp;AP$77,[1]!Resources[Retirement Date],"&gt;="&amp;AP$77,[1]!Resources[Unique Key],$AI81,[1]!Resources[Availability '#],"&gt;="&amp;2)</f>
        <v>1990</v>
      </c>
      <c r="AQ81" s="6">
        <f>SUMIFS([1]!Resources[Summer Rating],[1]!Resources[COD],"&lt;="&amp;AQ$77,[1]!Resources[Retirement Date],"&gt;="&amp;AQ$77,[1]!Resources[Unique Key],$AI81,[1]!Resources[Availability '#],"&gt;="&amp;2)</f>
        <v>1990</v>
      </c>
      <c r="AR81" s="6">
        <f>SUMIFS([1]!Resources[Summer Rating],[1]!Resources[COD],"&lt;="&amp;AR$77,[1]!Resources[Retirement Date],"&gt;="&amp;AR$77,[1]!Resources[Unique Key],$AI81,[1]!Resources[Availability '#],"&gt;="&amp;2)</f>
        <v>1990</v>
      </c>
      <c r="AS81" s="6">
        <f>SUMIFS([1]!Resources[Summer Rating],[1]!Resources[COD],"&lt;="&amp;AS$77,[1]!Resources[Retirement Date],"&gt;="&amp;AS$77,[1]!Resources[Unique Key],$AI81,[1]!Resources[Availability '#],"&gt;="&amp;2)</f>
        <v>1990</v>
      </c>
      <c r="AT81" s="6">
        <f>SUMIFS([1]!Resources[Summer Rating],[1]!Resources[COD],"&lt;="&amp;AT$77,[1]!Resources[Retirement Date],"&gt;="&amp;AT$77,[1]!Resources[Unique Key],$AI81,[1]!Resources[Availability '#],"&gt;="&amp;2)</f>
        <v>1990</v>
      </c>
      <c r="AU81" s="6">
        <f>SUMIFS([1]!Resources[Summer Rating],[1]!Resources[COD],"&lt;="&amp;AU$77,[1]!Resources[Retirement Date],"&gt;="&amp;AU$77,[1]!Resources[Unique Key],$AI81,[1]!Resources[Availability '#],"&gt;="&amp;2)</f>
        <v>1990</v>
      </c>
      <c r="AV81" s="6">
        <f>SUMIFS([1]!Resources[Summer Rating],[1]!Resources[COD],"&lt;="&amp;AV$77,[1]!Resources[Retirement Date],"&gt;="&amp;AV$77,[1]!Resources[Unique Key],$AI81,[1]!Resources[Availability '#],"&gt;="&amp;2)</f>
        <v>1990</v>
      </c>
      <c r="AW81" s="6">
        <f>SUMIFS([1]!Resources[Summer Rating],[1]!Resources[COD],"&lt;="&amp;AW$77,[1]!Resources[Retirement Date],"&gt;="&amp;AW$77,[1]!Resources[Unique Key],$AI81,[1]!Resources[Availability '#],"&gt;="&amp;2)</f>
        <v>1990</v>
      </c>
      <c r="AX81" s="6">
        <f>SUMIFS([1]!Resources[Summer Rating],[1]!Resources[COD],"&lt;="&amp;AX$77,[1]!Resources[Retirement Date],"&gt;="&amp;AX$77,[1]!Resources[Unique Key],$AI81,[1]!Resources[Availability '#],"&gt;="&amp;2)</f>
        <v>1990</v>
      </c>
      <c r="AY81" s="6">
        <f>SUMIFS([1]!Resources[Summer Rating],[1]!Resources[COD],"&lt;="&amp;AY$77,[1]!Resources[Retirement Date],"&gt;="&amp;AY$77,[1]!Resources[Unique Key],$AI81,[1]!Resources[Availability '#],"&gt;="&amp;2)</f>
        <v>1990</v>
      </c>
      <c r="AZ81" s="6">
        <f>SUMIFS([1]!Resources[Summer Rating],[1]!Resources[COD],"&lt;="&amp;AZ$77,[1]!Resources[Retirement Date],"&gt;="&amp;AZ$77,[1]!Resources[Unique Key],$AI81,[1]!Resources[Availability '#],"&gt;="&amp;2)</f>
        <v>1990</v>
      </c>
      <c r="BA81" s="6">
        <f>SUMIFS([1]!Resources[Summer Rating],[1]!Resources[COD],"&lt;="&amp;BA$77,[1]!Resources[Retirement Date],"&gt;="&amp;BA$77,[1]!Resources[Unique Key],$AI81,[1]!Resources[Availability '#],"&gt;="&amp;2)</f>
        <v>1990</v>
      </c>
      <c r="BB81" s="6">
        <f>SUMIFS([1]!Resources[Summer Rating],[1]!Resources[COD],"&lt;="&amp;BB$77,[1]!Resources[Retirement Date],"&gt;="&amp;BB$77,[1]!Resources[Unique Key],$AI81,[1]!Resources[Availability '#],"&gt;="&amp;2)</f>
        <v>1990</v>
      </c>
      <c r="BC81" s="6">
        <f>SUMIFS([1]!Resources[Summer Rating],[1]!Resources[COD],"&lt;="&amp;BC$77,[1]!Resources[Retirement Date],"&gt;="&amp;BC$77,[1]!Resources[Unique Key],$AI81,[1]!Resources[Availability '#],"&gt;="&amp;2)</f>
        <v>1990</v>
      </c>
      <c r="BD81" s="6">
        <f>SUMIFS([1]!Resources[Summer Rating],[1]!Resources[COD],"&lt;="&amp;BD$77,[1]!Resources[Retirement Date],"&gt;="&amp;BD$77,[1]!Resources[Unique Key],$AI81,[1]!Resources[Availability '#],"&gt;="&amp;2)</f>
        <v>1990</v>
      </c>
      <c r="BE81" s="6">
        <f>SUMIFS([1]!Resources[Summer Rating],[1]!Resources[COD],"&lt;="&amp;BE$77,[1]!Resources[Retirement Date],"&gt;="&amp;BE$77,[1]!Resources[Unique Key],$AI81,[1]!Resources[Availability '#],"&gt;="&amp;2)</f>
        <v>1990</v>
      </c>
      <c r="BF81" s="6">
        <f>SUMIFS([1]!Resources[Summer Rating],[1]!Resources[COD],"&lt;="&amp;BF$77,[1]!Resources[Retirement Date],"&gt;="&amp;BF$77,[1]!Resources[Unique Key],$AI81,[1]!Resources[Availability '#],"&gt;="&amp;2)</f>
        <v>1990</v>
      </c>
      <c r="BG81" s="6">
        <f>SUMIFS([1]!Resources[Summer Rating],[1]!Resources[COD],"&lt;="&amp;BG$77,[1]!Resources[Retirement Date],"&gt;="&amp;BG$77,[1]!Resources[Unique Key],$AI81,[1]!Resources[Availability '#],"&gt;="&amp;2)</f>
        <v>1990</v>
      </c>
      <c r="BH81" s="6">
        <f>SUMIFS([1]!Resources[Summer Rating],[1]!Resources[COD],"&lt;="&amp;BH$77,[1]!Resources[Retirement Date],"&gt;="&amp;BH$77,[1]!Resources[Unique Key],$AI81,[1]!Resources[Availability '#],"&gt;="&amp;2)</f>
        <v>1990</v>
      </c>
      <c r="BI81" s="6">
        <f>SUMIFS([1]!Resources[Summer Rating],[1]!Resources[COD],"&lt;="&amp;BI$77,[1]!Resources[Retirement Date],"&gt;="&amp;BI$77,[1]!Resources[Unique Key],$AI81,[1]!Resources[Availability '#],"&gt;="&amp;2)</f>
        <v>1990</v>
      </c>
      <c r="BK81" s="5" t="s">
        <v>41</v>
      </c>
      <c r="BL81" s="20">
        <v>0</v>
      </c>
      <c r="BM81" s="20">
        <v>0</v>
      </c>
      <c r="BN81" s="20">
        <v>0</v>
      </c>
      <c r="BO81" s="20">
        <v>0</v>
      </c>
      <c r="BP81" s="20">
        <v>3.1539999999999999</v>
      </c>
      <c r="BQ81" s="20">
        <v>7.069</v>
      </c>
      <c r="BR81" s="20">
        <v>10.459</v>
      </c>
      <c r="BS81" s="20">
        <v>10.459</v>
      </c>
      <c r="BT81" s="20">
        <v>10.459</v>
      </c>
      <c r="BU81" s="20">
        <v>10.459</v>
      </c>
      <c r="BV81" s="20">
        <v>10.459</v>
      </c>
      <c r="BW81" s="20">
        <v>10.459</v>
      </c>
      <c r="BX81" s="20">
        <v>10.459</v>
      </c>
      <c r="BY81" s="20">
        <v>10.459</v>
      </c>
      <c r="BZ81" s="20">
        <v>10.459</v>
      </c>
      <c r="CA81" s="20">
        <v>10.459</v>
      </c>
      <c r="CB81" s="20">
        <v>10.459</v>
      </c>
      <c r="CC81" s="20">
        <v>10.459</v>
      </c>
      <c r="CD81" s="20">
        <v>10.459</v>
      </c>
      <c r="CE81" s="20">
        <v>10.459</v>
      </c>
      <c r="CF81" s="20">
        <v>10.459</v>
      </c>
      <c r="CG81" s="20">
        <v>10.459</v>
      </c>
      <c r="CH81" s="20">
        <v>10.459</v>
      </c>
      <c r="CI81" s="20">
        <v>10.459</v>
      </c>
      <c r="CJ81" s="20">
        <v>10.459</v>
      </c>
      <c r="CK81" s="20">
        <v>10.459</v>
      </c>
      <c r="CM81" s="5" t="s">
        <v>41</v>
      </c>
      <c r="CN81" s="21">
        <v>0</v>
      </c>
      <c r="CO81" s="22">
        <v>0</v>
      </c>
      <c r="CP81" s="22">
        <v>0</v>
      </c>
      <c r="CQ81" s="22">
        <v>0</v>
      </c>
      <c r="CR81" s="22">
        <v>1.0529999999999999</v>
      </c>
      <c r="CS81" s="22">
        <v>2.36</v>
      </c>
      <c r="CT81" s="22">
        <v>3.492</v>
      </c>
      <c r="CU81" s="22">
        <v>3.492</v>
      </c>
      <c r="CV81" s="22">
        <v>3.492</v>
      </c>
      <c r="CW81" s="22">
        <v>3.492</v>
      </c>
      <c r="CX81" s="22">
        <v>3.492</v>
      </c>
      <c r="CY81" s="22">
        <v>3.492</v>
      </c>
      <c r="CZ81" s="22">
        <v>3.492</v>
      </c>
      <c r="DA81" s="22">
        <v>3.492</v>
      </c>
      <c r="DB81" s="22">
        <v>3.492</v>
      </c>
      <c r="DC81" s="22">
        <v>3.492</v>
      </c>
      <c r="DD81" s="22">
        <v>3.492</v>
      </c>
      <c r="DE81" s="22">
        <v>3.492</v>
      </c>
      <c r="DF81" s="22">
        <v>3.492</v>
      </c>
      <c r="DG81" s="22">
        <v>3.492</v>
      </c>
      <c r="DH81" s="22">
        <v>3.492</v>
      </c>
      <c r="DI81" s="22">
        <v>3.492</v>
      </c>
      <c r="DJ81" s="22">
        <v>3.492</v>
      </c>
      <c r="DK81" s="22">
        <v>3.492</v>
      </c>
      <c r="DL81" s="22">
        <v>3.492</v>
      </c>
      <c r="DM81" s="22">
        <v>3.492</v>
      </c>
      <c r="DO81" s="5" t="s">
        <v>41</v>
      </c>
      <c r="DP81" s="23">
        <v>0</v>
      </c>
      <c r="DQ81" s="23">
        <v>0</v>
      </c>
      <c r="DR81" s="23">
        <v>0</v>
      </c>
      <c r="DS81" s="23">
        <v>0</v>
      </c>
      <c r="DT81" s="23">
        <v>0.6</v>
      </c>
      <c r="DU81" s="23">
        <v>0.6</v>
      </c>
      <c r="DV81" s="23">
        <v>0.6</v>
      </c>
      <c r="DW81" s="23">
        <v>0.6</v>
      </c>
      <c r="DX81" s="23">
        <v>0.6</v>
      </c>
      <c r="DY81" s="23">
        <v>0.6</v>
      </c>
      <c r="DZ81" s="23">
        <v>0.6</v>
      </c>
      <c r="EA81" s="23">
        <v>0.6</v>
      </c>
      <c r="EB81" s="23">
        <v>0.6</v>
      </c>
      <c r="EC81" s="23">
        <v>0.6</v>
      </c>
      <c r="ED81" s="23">
        <v>0.6</v>
      </c>
      <c r="EE81" s="23">
        <v>0.6</v>
      </c>
      <c r="EF81" s="23">
        <v>0.6</v>
      </c>
      <c r="EG81" s="23">
        <v>0.6</v>
      </c>
      <c r="EH81" s="23">
        <v>0.6</v>
      </c>
      <c r="EI81" s="23">
        <v>0.6</v>
      </c>
      <c r="EJ81" s="23">
        <v>0.6</v>
      </c>
      <c r="EK81" s="23">
        <v>0.6</v>
      </c>
      <c r="EL81" s="23">
        <v>0.6</v>
      </c>
      <c r="EM81" s="23">
        <v>0.6</v>
      </c>
      <c r="EN81" s="23">
        <v>0.6</v>
      </c>
      <c r="EO81" s="23">
        <v>0.6</v>
      </c>
      <c r="EP81" s="24">
        <f>IFERROR(INDEX('[1]GenX Resources'!$AP$10:$AP$46,MATCH(DO81,'[1]GenX Resources'!$B$10:$B$46,0)),0)</f>
        <v>0.35</v>
      </c>
      <c r="EQ81" s="2" t="b">
        <f t="shared" si="35"/>
        <v>0</v>
      </c>
      <c r="ES81" s="25">
        <f ca="1">IFERROR(INDEX('[1]GenX Resources'!$AD:$AD,MATCH($G81,'[1]GenX Resources'!$B:$B,0)) - IF(OR(INDEX('[1]GenX Resources'!$L:$L,MATCH($G81,'[1]GenX Resources'!$B:$B,0)),ISNUMBER(SEARCH("New Generic",$G81))),0,INDEX('[1]GenX Resources'!$M:$M,MATCH($G81,'[1]GenX Resources'!$B:$B,0))),0)</f>
        <v>0</v>
      </c>
      <c r="EU81" s="5" t="s">
        <v>42</v>
      </c>
      <c r="EV81" s="20">
        <v>0</v>
      </c>
      <c r="EW81" s="20">
        <v>0</v>
      </c>
      <c r="EX81" s="20">
        <v>0</v>
      </c>
      <c r="EY81" s="20">
        <v>0</v>
      </c>
      <c r="EZ81" s="20">
        <v>0</v>
      </c>
      <c r="FA81" s="20">
        <v>0</v>
      </c>
      <c r="FB81" s="20">
        <v>0</v>
      </c>
      <c r="FC81" s="20">
        <v>0</v>
      </c>
      <c r="FD81" s="20">
        <v>0</v>
      </c>
      <c r="FE81" s="20">
        <v>0</v>
      </c>
      <c r="FF81" s="20">
        <v>0</v>
      </c>
      <c r="FG81" s="20">
        <v>0</v>
      </c>
      <c r="FH81" s="20">
        <v>0</v>
      </c>
      <c r="FI81" s="20">
        <v>0</v>
      </c>
      <c r="FJ81" s="20">
        <v>0</v>
      </c>
      <c r="FK81" s="20">
        <v>0</v>
      </c>
      <c r="FL81" s="20">
        <v>0</v>
      </c>
      <c r="FM81" s="20">
        <v>0</v>
      </c>
      <c r="FN81" s="20">
        <v>0</v>
      </c>
      <c r="FO81" s="20">
        <v>0</v>
      </c>
      <c r="FP81" s="20">
        <v>0</v>
      </c>
      <c r="FQ81" s="20">
        <v>0</v>
      </c>
      <c r="FR81" s="20">
        <v>0</v>
      </c>
      <c r="FS81" s="20">
        <v>0</v>
      </c>
      <c r="FT81" s="20">
        <v>0</v>
      </c>
      <c r="FU81" s="20">
        <v>0</v>
      </c>
    </row>
    <row r="82" spans="6:177" ht="16" x14ac:dyDescent="0.2">
      <c r="F82" s="19" t="str">
        <f>IFERROR(INDEX('[1]GenX Resources'!$A$10:$A$76,MATCH(G82,'[1]GenX Resources'!$B$10:$B$76,0)),"")</f>
        <v>Gas CT</v>
      </c>
      <c r="G82" s="5" t="s">
        <v>43</v>
      </c>
      <c r="H82" s="6">
        <v>0</v>
      </c>
      <c r="I82" s="6">
        <v>0</v>
      </c>
      <c r="J82" s="6">
        <v>0</v>
      </c>
      <c r="K82" s="6">
        <v>214</v>
      </c>
      <c r="L82" s="6">
        <v>694</v>
      </c>
      <c r="M82" s="6">
        <v>694</v>
      </c>
      <c r="N82" s="6">
        <v>694</v>
      </c>
      <c r="O82" s="6">
        <v>694</v>
      </c>
      <c r="P82" s="6">
        <v>694</v>
      </c>
      <c r="Q82" s="6">
        <v>694</v>
      </c>
      <c r="R82" s="6">
        <v>694</v>
      </c>
      <c r="S82" s="6">
        <v>694</v>
      </c>
      <c r="T82" s="6">
        <v>694</v>
      </c>
      <c r="U82" s="6">
        <v>694</v>
      </c>
      <c r="V82" s="6">
        <v>694</v>
      </c>
      <c r="W82" s="6">
        <v>694</v>
      </c>
      <c r="X82" s="6">
        <v>694</v>
      </c>
      <c r="Y82" s="6">
        <v>694</v>
      </c>
      <c r="Z82" s="6">
        <v>694</v>
      </c>
      <c r="AA82" s="6">
        <v>694</v>
      </c>
      <c r="AB82" s="6">
        <v>694</v>
      </c>
      <c r="AC82" s="6">
        <v>694</v>
      </c>
      <c r="AD82" s="6">
        <v>694</v>
      </c>
      <c r="AE82" s="6">
        <v>694</v>
      </c>
      <c r="AF82" s="6">
        <v>694</v>
      </c>
      <c r="AG82" s="6">
        <v>694</v>
      </c>
      <c r="AI82" s="5" t="s">
        <v>43</v>
      </c>
      <c r="AJ82" s="6">
        <f>SUMIFS([1]!Resources[Summer Rating],[1]!Resources[COD],"&lt;="&amp;AJ$77,[1]!Resources[Retirement Date],"&gt;="&amp;AJ$77,[1]!Resources[Unique Key],$AI82,[1]!Resources[Availability '#],"&gt;="&amp;2)</f>
        <v>0</v>
      </c>
      <c r="AK82" s="6">
        <f>SUMIFS([1]!Resources[Summer Rating],[1]!Resources[COD],"&lt;="&amp;AK$77,[1]!Resources[Retirement Date],"&gt;="&amp;AK$77,[1]!Resources[Unique Key],$AI82,[1]!Resources[Availability '#],"&gt;="&amp;2)</f>
        <v>0</v>
      </c>
      <c r="AL82" s="6">
        <f>SUMIFS([1]!Resources[Summer Rating],[1]!Resources[COD],"&lt;="&amp;AL$77,[1]!Resources[Retirement Date],"&gt;="&amp;AL$77,[1]!Resources[Unique Key],$AI82,[1]!Resources[Availability '#],"&gt;="&amp;2)</f>
        <v>0</v>
      </c>
      <c r="AM82" s="6">
        <f>SUMIFS([1]!Resources[Summer Rating],[1]!Resources[COD],"&lt;="&amp;AM$77,[1]!Resources[Retirement Date],"&gt;="&amp;AM$77,[1]!Resources[Unique Key],$AI82,[1]!Resources[Availability '#],"&gt;="&amp;2)</f>
        <v>214</v>
      </c>
      <c r="AN82" s="6">
        <f>SUMIFS([1]!Resources[Summer Rating],[1]!Resources[COD],"&lt;="&amp;AN$77,[1]!Resources[Retirement Date],"&gt;="&amp;AN$77,[1]!Resources[Unique Key],$AI82,[1]!Resources[Availability '#],"&gt;="&amp;2)</f>
        <v>694</v>
      </c>
      <c r="AO82" s="6">
        <f>SUMIFS([1]!Resources[Summer Rating],[1]!Resources[COD],"&lt;="&amp;AO$77,[1]!Resources[Retirement Date],"&gt;="&amp;AO$77,[1]!Resources[Unique Key],$AI82,[1]!Resources[Availability '#],"&gt;="&amp;2)</f>
        <v>694</v>
      </c>
      <c r="AP82" s="6">
        <f>SUMIFS([1]!Resources[Summer Rating],[1]!Resources[COD],"&lt;="&amp;AP$77,[1]!Resources[Retirement Date],"&gt;="&amp;AP$77,[1]!Resources[Unique Key],$AI82,[1]!Resources[Availability '#],"&gt;="&amp;2)</f>
        <v>694</v>
      </c>
      <c r="AQ82" s="6">
        <f>SUMIFS([1]!Resources[Summer Rating],[1]!Resources[COD],"&lt;="&amp;AQ$77,[1]!Resources[Retirement Date],"&gt;="&amp;AQ$77,[1]!Resources[Unique Key],$AI82,[1]!Resources[Availability '#],"&gt;="&amp;2)</f>
        <v>694</v>
      </c>
      <c r="AR82" s="6">
        <f>SUMIFS([1]!Resources[Summer Rating],[1]!Resources[COD],"&lt;="&amp;AR$77,[1]!Resources[Retirement Date],"&gt;="&amp;AR$77,[1]!Resources[Unique Key],$AI82,[1]!Resources[Availability '#],"&gt;="&amp;2)</f>
        <v>694</v>
      </c>
      <c r="AS82" s="6">
        <f>SUMIFS([1]!Resources[Summer Rating],[1]!Resources[COD],"&lt;="&amp;AS$77,[1]!Resources[Retirement Date],"&gt;="&amp;AS$77,[1]!Resources[Unique Key],$AI82,[1]!Resources[Availability '#],"&gt;="&amp;2)</f>
        <v>694</v>
      </c>
      <c r="AT82" s="6">
        <f>SUMIFS([1]!Resources[Summer Rating],[1]!Resources[COD],"&lt;="&amp;AT$77,[1]!Resources[Retirement Date],"&gt;="&amp;AT$77,[1]!Resources[Unique Key],$AI82,[1]!Resources[Availability '#],"&gt;="&amp;2)</f>
        <v>694</v>
      </c>
      <c r="AU82" s="6">
        <f>SUMIFS([1]!Resources[Summer Rating],[1]!Resources[COD],"&lt;="&amp;AU$77,[1]!Resources[Retirement Date],"&gt;="&amp;AU$77,[1]!Resources[Unique Key],$AI82,[1]!Resources[Availability '#],"&gt;="&amp;2)</f>
        <v>694</v>
      </c>
      <c r="AV82" s="6">
        <f>SUMIFS([1]!Resources[Summer Rating],[1]!Resources[COD],"&lt;="&amp;AV$77,[1]!Resources[Retirement Date],"&gt;="&amp;AV$77,[1]!Resources[Unique Key],$AI82,[1]!Resources[Availability '#],"&gt;="&amp;2)</f>
        <v>694</v>
      </c>
      <c r="AW82" s="6">
        <f>SUMIFS([1]!Resources[Summer Rating],[1]!Resources[COD],"&lt;="&amp;AW$77,[1]!Resources[Retirement Date],"&gt;="&amp;AW$77,[1]!Resources[Unique Key],$AI82,[1]!Resources[Availability '#],"&gt;="&amp;2)</f>
        <v>694</v>
      </c>
      <c r="AX82" s="6">
        <f>SUMIFS([1]!Resources[Summer Rating],[1]!Resources[COD],"&lt;="&amp;AX$77,[1]!Resources[Retirement Date],"&gt;="&amp;AX$77,[1]!Resources[Unique Key],$AI82,[1]!Resources[Availability '#],"&gt;="&amp;2)</f>
        <v>694</v>
      </c>
      <c r="AY82" s="6">
        <f>SUMIFS([1]!Resources[Summer Rating],[1]!Resources[COD],"&lt;="&amp;AY$77,[1]!Resources[Retirement Date],"&gt;="&amp;AY$77,[1]!Resources[Unique Key],$AI82,[1]!Resources[Availability '#],"&gt;="&amp;2)</f>
        <v>694</v>
      </c>
      <c r="AZ82" s="6">
        <f>SUMIFS([1]!Resources[Summer Rating],[1]!Resources[COD],"&lt;="&amp;AZ$77,[1]!Resources[Retirement Date],"&gt;="&amp;AZ$77,[1]!Resources[Unique Key],$AI82,[1]!Resources[Availability '#],"&gt;="&amp;2)</f>
        <v>694</v>
      </c>
      <c r="BA82" s="6">
        <f>SUMIFS([1]!Resources[Summer Rating],[1]!Resources[COD],"&lt;="&amp;BA$77,[1]!Resources[Retirement Date],"&gt;="&amp;BA$77,[1]!Resources[Unique Key],$AI82,[1]!Resources[Availability '#],"&gt;="&amp;2)</f>
        <v>694</v>
      </c>
      <c r="BB82" s="6">
        <f>SUMIFS([1]!Resources[Summer Rating],[1]!Resources[COD],"&lt;="&amp;BB$77,[1]!Resources[Retirement Date],"&gt;="&amp;BB$77,[1]!Resources[Unique Key],$AI82,[1]!Resources[Availability '#],"&gt;="&amp;2)</f>
        <v>694</v>
      </c>
      <c r="BC82" s="6">
        <f>SUMIFS([1]!Resources[Summer Rating],[1]!Resources[COD],"&lt;="&amp;BC$77,[1]!Resources[Retirement Date],"&gt;="&amp;BC$77,[1]!Resources[Unique Key],$AI82,[1]!Resources[Availability '#],"&gt;="&amp;2)</f>
        <v>694</v>
      </c>
      <c r="BD82" s="6">
        <f>SUMIFS([1]!Resources[Summer Rating],[1]!Resources[COD],"&lt;="&amp;BD$77,[1]!Resources[Retirement Date],"&gt;="&amp;BD$77,[1]!Resources[Unique Key],$AI82,[1]!Resources[Availability '#],"&gt;="&amp;2)</f>
        <v>694</v>
      </c>
      <c r="BE82" s="6">
        <f>SUMIFS([1]!Resources[Summer Rating],[1]!Resources[COD],"&lt;="&amp;BE$77,[1]!Resources[Retirement Date],"&gt;="&amp;BE$77,[1]!Resources[Unique Key],$AI82,[1]!Resources[Availability '#],"&gt;="&amp;2)</f>
        <v>694</v>
      </c>
      <c r="BF82" s="6">
        <f>SUMIFS([1]!Resources[Summer Rating],[1]!Resources[COD],"&lt;="&amp;BF$77,[1]!Resources[Retirement Date],"&gt;="&amp;BF$77,[1]!Resources[Unique Key],$AI82,[1]!Resources[Availability '#],"&gt;="&amp;2)</f>
        <v>694</v>
      </c>
      <c r="BG82" s="6">
        <f>SUMIFS([1]!Resources[Summer Rating],[1]!Resources[COD],"&lt;="&amp;BG$77,[1]!Resources[Retirement Date],"&gt;="&amp;BG$77,[1]!Resources[Unique Key],$AI82,[1]!Resources[Availability '#],"&gt;="&amp;2)</f>
        <v>694</v>
      </c>
      <c r="BH82" s="6">
        <f>SUMIFS([1]!Resources[Summer Rating],[1]!Resources[COD],"&lt;="&amp;BH$77,[1]!Resources[Retirement Date],"&gt;="&amp;BH$77,[1]!Resources[Unique Key],$AI82,[1]!Resources[Availability '#],"&gt;="&amp;2)</f>
        <v>694</v>
      </c>
      <c r="BI82" s="6">
        <f>SUMIFS([1]!Resources[Summer Rating],[1]!Resources[COD],"&lt;="&amp;BI$77,[1]!Resources[Retirement Date],"&gt;="&amp;BI$77,[1]!Resources[Unique Key],$AI82,[1]!Resources[Availability '#],"&gt;="&amp;2)</f>
        <v>694</v>
      </c>
      <c r="BK82" s="5" t="s">
        <v>43</v>
      </c>
      <c r="BL82" s="20">
        <v>0</v>
      </c>
      <c r="BM82" s="20">
        <v>0</v>
      </c>
      <c r="BN82" s="20">
        <v>0</v>
      </c>
      <c r="BO82" s="20">
        <v>0.65600000000000003</v>
      </c>
      <c r="BP82" s="20">
        <v>2.1280000000000001</v>
      </c>
      <c r="BQ82" s="20">
        <v>2.1280000000000001</v>
      </c>
      <c r="BR82" s="20">
        <v>2.1280000000000001</v>
      </c>
      <c r="BS82" s="20">
        <v>2.1280000000000001</v>
      </c>
      <c r="BT82" s="20">
        <v>2.1280000000000001</v>
      </c>
      <c r="BU82" s="20">
        <v>2.1280000000000001</v>
      </c>
      <c r="BV82" s="20">
        <v>2.1280000000000001</v>
      </c>
      <c r="BW82" s="20">
        <v>2.1280000000000001</v>
      </c>
      <c r="BX82" s="20">
        <v>2.1280000000000001</v>
      </c>
      <c r="BY82" s="20">
        <v>2.1280000000000001</v>
      </c>
      <c r="BZ82" s="20">
        <v>2.1280000000000001</v>
      </c>
      <c r="CA82" s="20">
        <v>2.1280000000000001</v>
      </c>
      <c r="CB82" s="20">
        <v>2.1280000000000001</v>
      </c>
      <c r="CC82" s="20">
        <v>2.1280000000000001</v>
      </c>
      <c r="CD82" s="20">
        <v>2.1280000000000001</v>
      </c>
      <c r="CE82" s="20">
        <v>2.1280000000000001</v>
      </c>
      <c r="CF82" s="20">
        <v>2.1280000000000001</v>
      </c>
      <c r="CG82" s="20">
        <v>2.1280000000000001</v>
      </c>
      <c r="CH82" s="20">
        <v>2.1280000000000001</v>
      </c>
      <c r="CI82" s="20">
        <v>2.1280000000000001</v>
      </c>
      <c r="CJ82" s="20">
        <v>2.1280000000000001</v>
      </c>
      <c r="CK82" s="20">
        <v>2.1280000000000001</v>
      </c>
      <c r="CM82" s="5" t="s">
        <v>43</v>
      </c>
      <c r="CN82" s="21">
        <v>0</v>
      </c>
      <c r="CO82" s="22">
        <v>0</v>
      </c>
      <c r="CP82" s="22">
        <v>0</v>
      </c>
      <c r="CQ82" s="22">
        <v>0.33800000000000002</v>
      </c>
      <c r="CR82" s="22">
        <v>1.0960000000000001</v>
      </c>
      <c r="CS82" s="22">
        <v>1.0960000000000001</v>
      </c>
      <c r="CT82" s="22">
        <v>1.0960000000000001</v>
      </c>
      <c r="CU82" s="22">
        <v>1.0960000000000001</v>
      </c>
      <c r="CV82" s="22">
        <v>1.0960000000000001</v>
      </c>
      <c r="CW82" s="22">
        <v>1.0960000000000001</v>
      </c>
      <c r="CX82" s="22">
        <v>1.0960000000000001</v>
      </c>
      <c r="CY82" s="22">
        <v>1.0960000000000001</v>
      </c>
      <c r="CZ82" s="22">
        <v>1.0960000000000001</v>
      </c>
      <c r="DA82" s="22">
        <v>1.0960000000000001</v>
      </c>
      <c r="DB82" s="22">
        <v>1.0960000000000001</v>
      </c>
      <c r="DC82" s="22">
        <v>1.0960000000000001</v>
      </c>
      <c r="DD82" s="22">
        <v>1.0960000000000001</v>
      </c>
      <c r="DE82" s="22">
        <v>1.0960000000000001</v>
      </c>
      <c r="DF82" s="22">
        <v>1.0960000000000001</v>
      </c>
      <c r="DG82" s="22">
        <v>1.0960000000000001</v>
      </c>
      <c r="DH82" s="22">
        <v>1.0960000000000001</v>
      </c>
      <c r="DI82" s="22">
        <v>1.0960000000000001</v>
      </c>
      <c r="DJ82" s="22">
        <v>1.0960000000000001</v>
      </c>
      <c r="DK82" s="22">
        <v>1.0960000000000001</v>
      </c>
      <c r="DL82" s="22">
        <v>1.0960000000000001</v>
      </c>
      <c r="DM82" s="22">
        <v>1.0960000000000001</v>
      </c>
      <c r="DO82" s="5" t="s">
        <v>43</v>
      </c>
      <c r="DP82" s="23">
        <v>0</v>
      </c>
      <c r="DQ82" s="23">
        <v>0</v>
      </c>
      <c r="DR82" s="23">
        <v>0</v>
      </c>
      <c r="DS82" s="23">
        <v>0.35</v>
      </c>
      <c r="DT82" s="23">
        <v>0.35</v>
      </c>
      <c r="DU82" s="23">
        <v>0.35</v>
      </c>
      <c r="DV82" s="23">
        <v>0.35</v>
      </c>
      <c r="DW82" s="23">
        <v>0.35</v>
      </c>
      <c r="DX82" s="23">
        <v>0.35</v>
      </c>
      <c r="DY82" s="23">
        <v>0.35</v>
      </c>
      <c r="DZ82" s="23">
        <v>0.35</v>
      </c>
      <c r="EA82" s="23">
        <v>0.35</v>
      </c>
      <c r="EB82" s="23">
        <v>0.35</v>
      </c>
      <c r="EC82" s="23">
        <v>0.35</v>
      </c>
      <c r="ED82" s="23">
        <v>0.35</v>
      </c>
      <c r="EE82" s="23">
        <v>0.35</v>
      </c>
      <c r="EF82" s="23">
        <v>0.35</v>
      </c>
      <c r="EG82" s="23">
        <v>0.35</v>
      </c>
      <c r="EH82" s="23">
        <v>0.35</v>
      </c>
      <c r="EI82" s="23">
        <v>0.35</v>
      </c>
      <c r="EJ82" s="23">
        <v>0.35</v>
      </c>
      <c r="EK82" s="23">
        <v>0.35</v>
      </c>
      <c r="EL82" s="23">
        <v>0.35</v>
      </c>
      <c r="EM82" s="23">
        <v>0.35</v>
      </c>
      <c r="EN82" s="23">
        <v>0.35</v>
      </c>
      <c r="EO82" s="23">
        <v>0.35</v>
      </c>
      <c r="EP82" s="24">
        <f>IFERROR(INDEX('[1]GenX Resources'!$AP$10:$AP$46,MATCH(DO82,'[1]GenX Resources'!$B$10:$B$46,0)),0)</f>
        <v>0.1</v>
      </c>
      <c r="EQ82" s="2" t="b">
        <f t="shared" si="35"/>
        <v>0</v>
      </c>
      <c r="ES82" s="25">
        <f ca="1">IFERROR(INDEX('[1]GenX Resources'!$AD:$AD,MATCH($G82,'[1]GenX Resources'!$B:$B,0)) - IF(OR(INDEX('[1]GenX Resources'!$L:$L,MATCH($G82,'[1]GenX Resources'!$B:$B,0)),ISNUMBER(SEARCH("New Generic",$G82))),0,INDEX('[1]GenX Resources'!$M:$M,MATCH($G82,'[1]GenX Resources'!$B:$B,0))),0)</f>
        <v>0</v>
      </c>
      <c r="EU82" s="5" t="s">
        <v>44</v>
      </c>
      <c r="EV82" s="20">
        <v>0</v>
      </c>
      <c r="EW82" s="20">
        <v>0</v>
      </c>
      <c r="EX82" s="20">
        <v>0</v>
      </c>
      <c r="EY82" s="20">
        <v>0</v>
      </c>
      <c r="EZ82" s="20">
        <v>0</v>
      </c>
      <c r="FA82" s="20">
        <v>0</v>
      </c>
      <c r="FB82" s="20">
        <v>0</v>
      </c>
      <c r="FC82" s="20">
        <v>0</v>
      </c>
      <c r="FD82" s="20">
        <v>0</v>
      </c>
      <c r="FE82" s="20">
        <v>0</v>
      </c>
      <c r="FF82" s="20">
        <v>0</v>
      </c>
      <c r="FG82" s="20">
        <v>0</v>
      </c>
      <c r="FH82" s="20">
        <v>0</v>
      </c>
      <c r="FI82" s="20">
        <v>0</v>
      </c>
      <c r="FJ82" s="20">
        <v>0</v>
      </c>
      <c r="FK82" s="20">
        <v>0</v>
      </c>
      <c r="FL82" s="20">
        <v>0</v>
      </c>
      <c r="FM82" s="20">
        <v>0</v>
      </c>
      <c r="FN82" s="20">
        <v>0</v>
      </c>
      <c r="FO82" s="20">
        <v>0</v>
      </c>
      <c r="FP82" s="20">
        <v>0</v>
      </c>
      <c r="FQ82" s="20">
        <v>0</v>
      </c>
      <c r="FR82" s="20">
        <v>0</v>
      </c>
      <c r="FS82" s="20">
        <v>0</v>
      </c>
      <c r="FT82" s="20">
        <v>0</v>
      </c>
      <c r="FU82" s="20">
        <v>0</v>
      </c>
    </row>
    <row r="83" spans="6:177" ht="16" x14ac:dyDescent="0.2">
      <c r="F83" s="19" t="str">
        <f>IFERROR(INDEX('[1]GenX Resources'!$A$10:$A$76,MATCH(G83,'[1]GenX Resources'!$B$10:$B$76,0)),"")</f>
        <v>Gas Other</v>
      </c>
      <c r="G83" s="5" t="s">
        <v>45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600</v>
      </c>
      <c r="N83" s="6">
        <v>600</v>
      </c>
      <c r="O83" s="6">
        <v>600</v>
      </c>
      <c r="P83" s="6">
        <v>600</v>
      </c>
      <c r="Q83" s="6">
        <v>600</v>
      </c>
      <c r="R83" s="6">
        <v>600</v>
      </c>
      <c r="S83" s="6">
        <v>600</v>
      </c>
      <c r="T83" s="6">
        <v>600</v>
      </c>
      <c r="U83" s="6">
        <v>600</v>
      </c>
      <c r="V83" s="6">
        <v>1264</v>
      </c>
      <c r="W83" s="6">
        <v>1264</v>
      </c>
      <c r="X83" s="6">
        <v>1264</v>
      </c>
      <c r="Y83" s="6">
        <v>1264</v>
      </c>
      <c r="Z83" s="6">
        <v>1264</v>
      </c>
      <c r="AA83" s="6">
        <v>1264</v>
      </c>
      <c r="AB83" s="6">
        <v>1264</v>
      </c>
      <c r="AC83" s="6">
        <v>1264</v>
      </c>
      <c r="AD83" s="6">
        <v>1264</v>
      </c>
      <c r="AE83" s="6">
        <v>1264</v>
      </c>
      <c r="AF83" s="6">
        <v>1264</v>
      </c>
      <c r="AG83" s="6">
        <v>1264</v>
      </c>
      <c r="AI83" s="5" t="s">
        <v>45</v>
      </c>
      <c r="AJ83" s="6">
        <f>SUMIFS([1]!Resources[Summer Rating],[1]!Resources[COD],"&lt;="&amp;AJ$77,[1]!Resources[Retirement Date],"&gt;="&amp;AJ$77,[1]!Resources[Unique Key],$AI83,[1]!Resources[Availability '#],"&gt;="&amp;2)</f>
        <v>0</v>
      </c>
      <c r="AK83" s="6">
        <f>SUMIFS([1]!Resources[Summer Rating],[1]!Resources[COD],"&lt;="&amp;AK$77,[1]!Resources[Retirement Date],"&gt;="&amp;AK$77,[1]!Resources[Unique Key],$AI83,[1]!Resources[Availability '#],"&gt;="&amp;2)</f>
        <v>0</v>
      </c>
      <c r="AL83" s="6">
        <f>SUMIFS([1]!Resources[Summer Rating],[1]!Resources[COD],"&lt;="&amp;AL$77,[1]!Resources[Retirement Date],"&gt;="&amp;AL$77,[1]!Resources[Unique Key],$AI83,[1]!Resources[Availability '#],"&gt;="&amp;2)</f>
        <v>0</v>
      </c>
      <c r="AM83" s="6">
        <f>SUMIFS([1]!Resources[Summer Rating],[1]!Resources[COD],"&lt;="&amp;AM$77,[1]!Resources[Retirement Date],"&gt;="&amp;AM$77,[1]!Resources[Unique Key],$AI83,[1]!Resources[Availability '#],"&gt;="&amp;2)</f>
        <v>0</v>
      </c>
      <c r="AN83" s="6">
        <f>SUMIFS([1]!Resources[Summer Rating],[1]!Resources[COD],"&lt;="&amp;AN$77,[1]!Resources[Retirement Date],"&gt;="&amp;AN$77,[1]!Resources[Unique Key],$AI83,[1]!Resources[Availability '#],"&gt;="&amp;2)</f>
        <v>0</v>
      </c>
      <c r="AO83" s="6">
        <f>SUMIFS([1]!Resources[Summer Rating],[1]!Resources[COD],"&lt;="&amp;AO$77,[1]!Resources[Retirement Date],"&gt;="&amp;AO$77,[1]!Resources[Unique Key],$AI83,[1]!Resources[Availability '#],"&gt;="&amp;2)</f>
        <v>0</v>
      </c>
      <c r="AP83" s="6">
        <f>SUMIFS([1]!Resources[Summer Rating],[1]!Resources[COD],"&lt;="&amp;AP$77,[1]!Resources[Retirement Date],"&gt;="&amp;AP$77,[1]!Resources[Unique Key],$AI83,[1]!Resources[Availability '#],"&gt;="&amp;2)</f>
        <v>0</v>
      </c>
      <c r="AQ83" s="6">
        <f>SUMIFS([1]!Resources[Summer Rating],[1]!Resources[COD],"&lt;="&amp;AQ$77,[1]!Resources[Retirement Date],"&gt;="&amp;AQ$77,[1]!Resources[Unique Key],$AI83,[1]!Resources[Availability '#],"&gt;="&amp;2)</f>
        <v>0</v>
      </c>
      <c r="AR83" s="6">
        <f>SUMIFS([1]!Resources[Summer Rating],[1]!Resources[COD],"&lt;="&amp;AR$77,[1]!Resources[Retirement Date],"&gt;="&amp;AR$77,[1]!Resources[Unique Key],$AI83,[1]!Resources[Availability '#],"&gt;="&amp;2)</f>
        <v>0</v>
      </c>
      <c r="AS83" s="6">
        <f>SUMIFS([1]!Resources[Summer Rating],[1]!Resources[COD],"&lt;="&amp;AS$77,[1]!Resources[Retirement Date],"&gt;="&amp;AS$77,[1]!Resources[Unique Key],$AI83,[1]!Resources[Availability '#],"&gt;="&amp;2)</f>
        <v>0</v>
      </c>
      <c r="AT83" s="6">
        <f>SUMIFS([1]!Resources[Summer Rating],[1]!Resources[COD],"&lt;="&amp;AT$77,[1]!Resources[Retirement Date],"&gt;="&amp;AT$77,[1]!Resources[Unique Key],$AI83,[1]!Resources[Availability '#],"&gt;="&amp;2)</f>
        <v>0</v>
      </c>
      <c r="AU83" s="6">
        <f>SUMIFS([1]!Resources[Summer Rating],[1]!Resources[COD],"&lt;="&amp;AU$77,[1]!Resources[Retirement Date],"&gt;="&amp;AU$77,[1]!Resources[Unique Key],$AI83,[1]!Resources[Availability '#],"&gt;="&amp;2)</f>
        <v>0</v>
      </c>
      <c r="AV83" s="6">
        <f>SUMIFS([1]!Resources[Summer Rating],[1]!Resources[COD],"&lt;="&amp;AV$77,[1]!Resources[Retirement Date],"&gt;="&amp;AV$77,[1]!Resources[Unique Key],$AI83,[1]!Resources[Availability '#],"&gt;="&amp;2)</f>
        <v>0</v>
      </c>
      <c r="AW83" s="6">
        <f>SUMIFS([1]!Resources[Summer Rating],[1]!Resources[COD],"&lt;="&amp;AW$77,[1]!Resources[Retirement Date],"&gt;="&amp;AW$77,[1]!Resources[Unique Key],$AI83,[1]!Resources[Availability '#],"&gt;="&amp;2)</f>
        <v>0</v>
      </c>
      <c r="AX83" s="6">
        <f>SUMIFS([1]!Resources[Summer Rating],[1]!Resources[COD],"&lt;="&amp;AX$77,[1]!Resources[Retirement Date],"&gt;="&amp;AX$77,[1]!Resources[Unique Key],$AI83,[1]!Resources[Availability '#],"&gt;="&amp;2)</f>
        <v>664</v>
      </c>
      <c r="AY83" s="6">
        <f>SUMIFS([1]!Resources[Summer Rating],[1]!Resources[COD],"&lt;="&amp;AY$77,[1]!Resources[Retirement Date],"&gt;="&amp;AY$77,[1]!Resources[Unique Key],$AI83,[1]!Resources[Availability '#],"&gt;="&amp;2)</f>
        <v>664</v>
      </c>
      <c r="AZ83" s="6">
        <f>SUMIFS([1]!Resources[Summer Rating],[1]!Resources[COD],"&lt;="&amp;AZ$77,[1]!Resources[Retirement Date],"&gt;="&amp;AZ$77,[1]!Resources[Unique Key],$AI83,[1]!Resources[Availability '#],"&gt;="&amp;2)</f>
        <v>664</v>
      </c>
      <c r="BA83" s="6">
        <f>SUMIFS([1]!Resources[Summer Rating],[1]!Resources[COD],"&lt;="&amp;BA$77,[1]!Resources[Retirement Date],"&gt;="&amp;BA$77,[1]!Resources[Unique Key],$AI83,[1]!Resources[Availability '#],"&gt;="&amp;2)</f>
        <v>664</v>
      </c>
      <c r="BB83" s="6">
        <f>SUMIFS([1]!Resources[Summer Rating],[1]!Resources[COD],"&lt;="&amp;BB$77,[1]!Resources[Retirement Date],"&gt;="&amp;BB$77,[1]!Resources[Unique Key],$AI83,[1]!Resources[Availability '#],"&gt;="&amp;2)</f>
        <v>664</v>
      </c>
      <c r="BC83" s="6">
        <f>SUMIFS([1]!Resources[Summer Rating],[1]!Resources[COD],"&lt;="&amp;BC$77,[1]!Resources[Retirement Date],"&gt;="&amp;BC$77,[1]!Resources[Unique Key],$AI83,[1]!Resources[Availability '#],"&gt;="&amp;2)</f>
        <v>664</v>
      </c>
      <c r="BD83" s="6">
        <f>SUMIFS([1]!Resources[Summer Rating],[1]!Resources[COD],"&lt;="&amp;BD$77,[1]!Resources[Retirement Date],"&gt;="&amp;BD$77,[1]!Resources[Unique Key],$AI83,[1]!Resources[Availability '#],"&gt;="&amp;2)</f>
        <v>664</v>
      </c>
      <c r="BE83" s="6">
        <f>SUMIFS([1]!Resources[Summer Rating],[1]!Resources[COD],"&lt;="&amp;BE$77,[1]!Resources[Retirement Date],"&gt;="&amp;BE$77,[1]!Resources[Unique Key],$AI83,[1]!Resources[Availability '#],"&gt;="&amp;2)</f>
        <v>664</v>
      </c>
      <c r="BF83" s="6">
        <f>SUMIFS([1]!Resources[Summer Rating],[1]!Resources[COD],"&lt;="&amp;BF$77,[1]!Resources[Retirement Date],"&gt;="&amp;BF$77,[1]!Resources[Unique Key],$AI83,[1]!Resources[Availability '#],"&gt;="&amp;2)</f>
        <v>664</v>
      </c>
      <c r="BG83" s="6">
        <f>SUMIFS([1]!Resources[Summer Rating],[1]!Resources[COD],"&lt;="&amp;BG$77,[1]!Resources[Retirement Date],"&gt;="&amp;BG$77,[1]!Resources[Unique Key],$AI83,[1]!Resources[Availability '#],"&gt;="&amp;2)</f>
        <v>664</v>
      </c>
      <c r="BH83" s="6">
        <f>SUMIFS([1]!Resources[Summer Rating],[1]!Resources[COD],"&lt;="&amp;BH$77,[1]!Resources[Retirement Date],"&gt;="&amp;BH$77,[1]!Resources[Unique Key],$AI83,[1]!Resources[Availability '#],"&gt;="&amp;2)</f>
        <v>664</v>
      </c>
      <c r="BI83" s="6">
        <f>SUMIFS([1]!Resources[Summer Rating],[1]!Resources[COD],"&lt;="&amp;BI$77,[1]!Resources[Retirement Date],"&gt;="&amp;BI$77,[1]!Resources[Unique Key],$AI83,[1]!Resources[Availability '#],"&gt;="&amp;2)</f>
        <v>664</v>
      </c>
      <c r="BK83" s="5" t="s">
        <v>45</v>
      </c>
      <c r="BL83" s="20">
        <v>0</v>
      </c>
      <c r="BM83" s="20">
        <v>0</v>
      </c>
      <c r="BN83" s="20">
        <v>0</v>
      </c>
      <c r="BO83" s="20">
        <v>0</v>
      </c>
      <c r="BP83" s="20">
        <v>0</v>
      </c>
      <c r="BQ83" s="20">
        <v>1.84</v>
      </c>
      <c r="BR83" s="20">
        <v>1.84</v>
      </c>
      <c r="BS83" s="20">
        <v>1.84</v>
      </c>
      <c r="BT83" s="20">
        <v>1.84</v>
      </c>
      <c r="BU83" s="20">
        <v>1.84</v>
      </c>
      <c r="BV83" s="20">
        <v>1.84</v>
      </c>
      <c r="BW83" s="20">
        <v>3.1539999999999999</v>
      </c>
      <c r="BX83" s="20">
        <v>3.1539999999999999</v>
      </c>
      <c r="BY83" s="20">
        <v>3.1539999999999999</v>
      </c>
      <c r="BZ83" s="20">
        <v>6.6440000000000001</v>
      </c>
      <c r="CA83" s="20">
        <v>6.6440000000000001</v>
      </c>
      <c r="CB83" s="20">
        <v>6.6440000000000001</v>
      </c>
      <c r="CC83" s="20">
        <v>6.6440000000000001</v>
      </c>
      <c r="CD83" s="20">
        <v>6.6440000000000001</v>
      </c>
      <c r="CE83" s="20">
        <v>6.6440000000000001</v>
      </c>
      <c r="CF83" s="20">
        <v>6.6440000000000001</v>
      </c>
      <c r="CG83" s="20">
        <v>6.6440000000000001</v>
      </c>
      <c r="CH83" s="20">
        <v>6.6440000000000001</v>
      </c>
      <c r="CI83" s="20">
        <v>6.6440000000000001</v>
      </c>
      <c r="CJ83" s="20">
        <v>6.6440000000000001</v>
      </c>
      <c r="CK83" s="20">
        <v>6.6440000000000001</v>
      </c>
      <c r="CM83" s="5" t="s">
        <v>45</v>
      </c>
      <c r="CN83" s="21">
        <v>0</v>
      </c>
      <c r="CO83" s="22">
        <v>0</v>
      </c>
      <c r="CP83" s="22">
        <v>0</v>
      </c>
      <c r="CQ83" s="22">
        <v>0</v>
      </c>
      <c r="CR83" s="22">
        <v>0</v>
      </c>
      <c r="CS83" s="22">
        <v>1.0469999999999999</v>
      </c>
      <c r="CT83" s="22">
        <v>1.0469999999999999</v>
      </c>
      <c r="CU83" s="22">
        <v>1.0469999999999999</v>
      </c>
      <c r="CV83" s="22">
        <v>1.0469999999999999</v>
      </c>
      <c r="CW83" s="22">
        <v>1.0469999999999999</v>
      </c>
      <c r="CX83" s="22">
        <v>1.0469999999999999</v>
      </c>
      <c r="CY83" s="22">
        <v>1.7949999999999999</v>
      </c>
      <c r="CZ83" s="22">
        <v>1.7949999999999999</v>
      </c>
      <c r="DA83" s="22">
        <v>1.7949999999999999</v>
      </c>
      <c r="DB83" s="22">
        <v>3</v>
      </c>
      <c r="DC83" s="22">
        <v>3</v>
      </c>
      <c r="DD83" s="22">
        <v>3</v>
      </c>
      <c r="DE83" s="22">
        <v>3</v>
      </c>
      <c r="DF83" s="22">
        <v>3</v>
      </c>
      <c r="DG83" s="22">
        <v>3</v>
      </c>
      <c r="DH83" s="22">
        <v>3</v>
      </c>
      <c r="DI83" s="22">
        <v>3</v>
      </c>
      <c r="DJ83" s="22">
        <v>3</v>
      </c>
      <c r="DK83" s="22">
        <v>3</v>
      </c>
      <c r="DL83" s="22">
        <v>3</v>
      </c>
      <c r="DM83" s="22">
        <v>3</v>
      </c>
      <c r="DO83" s="5" t="s">
        <v>45</v>
      </c>
      <c r="DP83" s="23">
        <v>0</v>
      </c>
      <c r="DQ83" s="23">
        <v>0</v>
      </c>
      <c r="DR83" s="23">
        <v>0</v>
      </c>
      <c r="DS83" s="23">
        <v>0</v>
      </c>
      <c r="DT83" s="23">
        <v>0</v>
      </c>
      <c r="DU83" s="23">
        <v>0.35</v>
      </c>
      <c r="DV83" s="23">
        <v>0.35</v>
      </c>
      <c r="DW83" s="23">
        <v>0.35</v>
      </c>
      <c r="DX83" s="23">
        <v>0.35</v>
      </c>
      <c r="DY83" s="23">
        <v>0.35</v>
      </c>
      <c r="DZ83" s="23">
        <v>0.35</v>
      </c>
      <c r="EA83" s="23">
        <v>0.6</v>
      </c>
      <c r="EB83" s="23">
        <v>0.6</v>
      </c>
      <c r="EC83" s="23">
        <v>0.6</v>
      </c>
      <c r="ED83" s="23">
        <v>0.6</v>
      </c>
      <c r="EE83" s="23">
        <v>0.6</v>
      </c>
      <c r="EF83" s="23">
        <v>0.6</v>
      </c>
      <c r="EG83" s="23">
        <v>0.6</v>
      </c>
      <c r="EH83" s="23">
        <v>0.6</v>
      </c>
      <c r="EI83" s="23">
        <v>0.6</v>
      </c>
      <c r="EJ83" s="23">
        <v>0.6</v>
      </c>
      <c r="EK83" s="23">
        <v>0.6</v>
      </c>
      <c r="EL83" s="23">
        <v>0.6</v>
      </c>
      <c r="EM83" s="23">
        <v>0.6</v>
      </c>
      <c r="EN83" s="23">
        <v>0.6</v>
      </c>
      <c r="EO83" s="23">
        <v>0.6</v>
      </c>
      <c r="EP83" s="24">
        <f>IFERROR(INDEX('[1]GenX Resources'!$AP$10:$AP$46,MATCH(DO83,'[1]GenX Resources'!$B$10:$B$46,0)),0)</f>
        <v>0.35</v>
      </c>
      <c r="EQ83" s="2" t="b">
        <f t="shared" si="35"/>
        <v>0</v>
      </c>
      <c r="ES83" s="25">
        <f ca="1">IFERROR(INDEX('[1]GenX Resources'!$AD:$AD,MATCH($G83,'[1]GenX Resources'!$B:$B,0)) - IF(OR(INDEX('[1]GenX Resources'!$L:$L,MATCH($G83,'[1]GenX Resources'!$B:$B,0)),ISNUMBER(SEARCH("New Generic",$G83))),0,INDEX('[1]GenX Resources'!$M:$M,MATCH($G83,'[1]GenX Resources'!$B:$B,0))),0)</f>
        <v>0</v>
      </c>
      <c r="EU83" s="5" t="s">
        <v>46</v>
      </c>
      <c r="EV83" s="20">
        <v>0</v>
      </c>
      <c r="EW83" s="20">
        <v>0</v>
      </c>
      <c r="EX83" s="20">
        <v>0</v>
      </c>
      <c r="EY83" s="20">
        <v>0</v>
      </c>
      <c r="EZ83" s="20">
        <v>0</v>
      </c>
      <c r="FA83" s="20">
        <v>0</v>
      </c>
      <c r="FB83" s="20">
        <v>0</v>
      </c>
      <c r="FC83" s="20">
        <v>0</v>
      </c>
      <c r="FD83" s="20">
        <v>0</v>
      </c>
      <c r="FE83" s="20">
        <v>0</v>
      </c>
      <c r="FF83" s="20">
        <v>0</v>
      </c>
      <c r="FG83" s="20">
        <v>0</v>
      </c>
      <c r="FH83" s="20">
        <v>0</v>
      </c>
      <c r="FI83" s="20">
        <v>0</v>
      </c>
      <c r="FJ83" s="20">
        <v>0</v>
      </c>
      <c r="FK83" s="20">
        <v>0</v>
      </c>
      <c r="FL83" s="20">
        <v>0</v>
      </c>
      <c r="FM83" s="20">
        <v>0</v>
      </c>
      <c r="FN83" s="20">
        <v>0</v>
      </c>
      <c r="FO83" s="20">
        <v>0</v>
      </c>
      <c r="FP83" s="20">
        <v>0</v>
      </c>
      <c r="FQ83" s="20">
        <v>0</v>
      </c>
      <c r="FR83" s="20">
        <v>0</v>
      </c>
      <c r="FS83" s="20">
        <v>0</v>
      </c>
      <c r="FT83" s="20">
        <v>0</v>
      </c>
      <c r="FU83" s="20">
        <v>0</v>
      </c>
    </row>
    <row r="84" spans="6:177" ht="16" x14ac:dyDescent="0.2">
      <c r="F84" s="19" t="str">
        <f>IFERROR(INDEX('[1]GenX Resources'!$A$10:$A$76,MATCH(G84,'[1]GenX Resources'!$B$10:$B$76,0)),"")</f>
        <v>Coal</v>
      </c>
      <c r="G84" s="5" t="s">
        <v>47</v>
      </c>
      <c r="H84" s="6">
        <v>600</v>
      </c>
      <c r="I84" s="6">
        <v>600</v>
      </c>
      <c r="J84" s="6">
        <v>600</v>
      </c>
      <c r="K84" s="6">
        <v>600</v>
      </c>
      <c r="L84" s="6">
        <v>600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I84" s="5" t="s">
        <v>47</v>
      </c>
      <c r="AJ84" s="6">
        <f>SUMIFS([1]!Resources[Summer Rating],[1]!Resources[COD],"&lt;="&amp;AJ$77,[1]!Resources[Retirement Date],"&gt;="&amp;AJ$77,[1]!Resources[Unique Key],$AI84,[1]!Resources[Availability '#],"&gt;="&amp;2)</f>
        <v>0</v>
      </c>
      <c r="AK84" s="6">
        <f>SUMIFS([1]!Resources[Summer Rating],[1]!Resources[COD],"&lt;="&amp;AK$77,[1]!Resources[Retirement Date],"&gt;="&amp;AK$77,[1]!Resources[Unique Key],$AI84,[1]!Resources[Availability '#],"&gt;="&amp;2)</f>
        <v>0</v>
      </c>
      <c r="AL84" s="6">
        <f>SUMIFS([1]!Resources[Summer Rating],[1]!Resources[COD],"&lt;="&amp;AL$77,[1]!Resources[Retirement Date],"&gt;="&amp;AL$77,[1]!Resources[Unique Key],$AI84,[1]!Resources[Availability '#],"&gt;="&amp;2)</f>
        <v>0</v>
      </c>
      <c r="AM84" s="6">
        <f>SUMIFS([1]!Resources[Summer Rating],[1]!Resources[COD],"&lt;="&amp;AM$77,[1]!Resources[Retirement Date],"&gt;="&amp;AM$77,[1]!Resources[Unique Key],$AI84,[1]!Resources[Availability '#],"&gt;="&amp;2)</f>
        <v>0</v>
      </c>
      <c r="AN84" s="6">
        <f>SUMIFS([1]!Resources[Summer Rating],[1]!Resources[COD],"&lt;="&amp;AN$77,[1]!Resources[Retirement Date],"&gt;="&amp;AN$77,[1]!Resources[Unique Key],$AI84,[1]!Resources[Availability '#],"&gt;="&amp;2)</f>
        <v>0</v>
      </c>
      <c r="AO84" s="6">
        <f>SUMIFS([1]!Resources[Summer Rating],[1]!Resources[COD],"&lt;="&amp;AO$77,[1]!Resources[Retirement Date],"&gt;="&amp;AO$77,[1]!Resources[Unique Key],$AI84,[1]!Resources[Availability '#],"&gt;="&amp;2)</f>
        <v>0</v>
      </c>
      <c r="AP84" s="6">
        <f>SUMIFS([1]!Resources[Summer Rating],[1]!Resources[COD],"&lt;="&amp;AP$77,[1]!Resources[Retirement Date],"&gt;="&amp;AP$77,[1]!Resources[Unique Key],$AI84,[1]!Resources[Availability '#],"&gt;="&amp;2)</f>
        <v>0</v>
      </c>
      <c r="AQ84" s="6">
        <f>SUMIFS([1]!Resources[Summer Rating],[1]!Resources[COD],"&lt;="&amp;AQ$77,[1]!Resources[Retirement Date],"&gt;="&amp;AQ$77,[1]!Resources[Unique Key],$AI84,[1]!Resources[Availability '#],"&gt;="&amp;2)</f>
        <v>0</v>
      </c>
      <c r="AR84" s="6">
        <f>SUMIFS([1]!Resources[Summer Rating],[1]!Resources[COD],"&lt;="&amp;AR$77,[1]!Resources[Retirement Date],"&gt;="&amp;AR$77,[1]!Resources[Unique Key],$AI84,[1]!Resources[Availability '#],"&gt;="&amp;2)</f>
        <v>0</v>
      </c>
      <c r="AS84" s="6">
        <f>SUMIFS([1]!Resources[Summer Rating],[1]!Resources[COD],"&lt;="&amp;AS$77,[1]!Resources[Retirement Date],"&gt;="&amp;AS$77,[1]!Resources[Unique Key],$AI84,[1]!Resources[Availability '#],"&gt;="&amp;2)</f>
        <v>0</v>
      </c>
      <c r="AT84" s="6">
        <f>SUMIFS([1]!Resources[Summer Rating],[1]!Resources[COD],"&lt;="&amp;AT$77,[1]!Resources[Retirement Date],"&gt;="&amp;AT$77,[1]!Resources[Unique Key],$AI84,[1]!Resources[Availability '#],"&gt;="&amp;2)</f>
        <v>0</v>
      </c>
      <c r="AU84" s="6">
        <f>SUMIFS([1]!Resources[Summer Rating],[1]!Resources[COD],"&lt;="&amp;AU$77,[1]!Resources[Retirement Date],"&gt;="&amp;AU$77,[1]!Resources[Unique Key],$AI84,[1]!Resources[Availability '#],"&gt;="&amp;2)</f>
        <v>0</v>
      </c>
      <c r="AV84" s="6">
        <f>SUMIFS([1]!Resources[Summer Rating],[1]!Resources[COD],"&lt;="&amp;AV$77,[1]!Resources[Retirement Date],"&gt;="&amp;AV$77,[1]!Resources[Unique Key],$AI84,[1]!Resources[Availability '#],"&gt;="&amp;2)</f>
        <v>0</v>
      </c>
      <c r="AW84" s="6">
        <f>SUMIFS([1]!Resources[Summer Rating],[1]!Resources[COD],"&lt;="&amp;AW$77,[1]!Resources[Retirement Date],"&gt;="&amp;AW$77,[1]!Resources[Unique Key],$AI84,[1]!Resources[Availability '#],"&gt;="&amp;2)</f>
        <v>0</v>
      </c>
      <c r="AX84" s="6">
        <f>SUMIFS([1]!Resources[Summer Rating],[1]!Resources[COD],"&lt;="&amp;AX$77,[1]!Resources[Retirement Date],"&gt;="&amp;AX$77,[1]!Resources[Unique Key],$AI84,[1]!Resources[Availability '#],"&gt;="&amp;2)</f>
        <v>0</v>
      </c>
      <c r="AY84" s="6">
        <f>SUMIFS([1]!Resources[Summer Rating],[1]!Resources[COD],"&lt;="&amp;AY$77,[1]!Resources[Retirement Date],"&gt;="&amp;AY$77,[1]!Resources[Unique Key],$AI84,[1]!Resources[Availability '#],"&gt;="&amp;2)</f>
        <v>0</v>
      </c>
      <c r="AZ84" s="6">
        <f>SUMIFS([1]!Resources[Summer Rating],[1]!Resources[COD],"&lt;="&amp;AZ$77,[1]!Resources[Retirement Date],"&gt;="&amp;AZ$77,[1]!Resources[Unique Key],$AI84,[1]!Resources[Availability '#],"&gt;="&amp;2)</f>
        <v>0</v>
      </c>
      <c r="BA84" s="6">
        <f>SUMIFS([1]!Resources[Summer Rating],[1]!Resources[COD],"&lt;="&amp;BA$77,[1]!Resources[Retirement Date],"&gt;="&amp;BA$77,[1]!Resources[Unique Key],$AI84,[1]!Resources[Availability '#],"&gt;="&amp;2)</f>
        <v>0</v>
      </c>
      <c r="BB84" s="6">
        <f>SUMIFS([1]!Resources[Summer Rating],[1]!Resources[COD],"&lt;="&amp;BB$77,[1]!Resources[Retirement Date],"&gt;="&amp;BB$77,[1]!Resources[Unique Key],$AI84,[1]!Resources[Availability '#],"&gt;="&amp;2)</f>
        <v>0</v>
      </c>
      <c r="BC84" s="6">
        <f>SUMIFS([1]!Resources[Summer Rating],[1]!Resources[COD],"&lt;="&amp;BC$77,[1]!Resources[Retirement Date],"&gt;="&amp;BC$77,[1]!Resources[Unique Key],$AI84,[1]!Resources[Availability '#],"&gt;="&amp;2)</f>
        <v>0</v>
      </c>
      <c r="BD84" s="6">
        <f>SUMIFS([1]!Resources[Summer Rating],[1]!Resources[COD],"&lt;="&amp;BD$77,[1]!Resources[Retirement Date],"&gt;="&amp;BD$77,[1]!Resources[Unique Key],$AI84,[1]!Resources[Availability '#],"&gt;="&amp;2)</f>
        <v>0</v>
      </c>
      <c r="BE84" s="6">
        <f>SUMIFS([1]!Resources[Summer Rating],[1]!Resources[COD],"&lt;="&amp;BE$77,[1]!Resources[Retirement Date],"&gt;="&amp;BE$77,[1]!Resources[Unique Key],$AI84,[1]!Resources[Availability '#],"&gt;="&amp;2)</f>
        <v>0</v>
      </c>
      <c r="BF84" s="6">
        <f>SUMIFS([1]!Resources[Summer Rating],[1]!Resources[COD],"&lt;="&amp;BF$77,[1]!Resources[Retirement Date],"&gt;="&amp;BF$77,[1]!Resources[Unique Key],$AI84,[1]!Resources[Availability '#],"&gt;="&amp;2)</f>
        <v>0</v>
      </c>
      <c r="BG84" s="6">
        <f>SUMIFS([1]!Resources[Summer Rating],[1]!Resources[COD],"&lt;="&amp;BG$77,[1]!Resources[Retirement Date],"&gt;="&amp;BG$77,[1]!Resources[Unique Key],$AI84,[1]!Resources[Availability '#],"&gt;="&amp;2)</f>
        <v>0</v>
      </c>
      <c r="BH84" s="6">
        <f>SUMIFS([1]!Resources[Summer Rating],[1]!Resources[COD],"&lt;="&amp;BH$77,[1]!Resources[Retirement Date],"&gt;="&amp;BH$77,[1]!Resources[Unique Key],$AI84,[1]!Resources[Availability '#],"&gt;="&amp;2)</f>
        <v>0</v>
      </c>
      <c r="BI84" s="6">
        <f>SUMIFS([1]!Resources[Summer Rating],[1]!Resources[COD],"&lt;="&amp;BI$77,[1]!Resources[Retirement Date],"&gt;="&amp;BI$77,[1]!Resources[Unique Key],$AI84,[1]!Resources[Availability '#],"&gt;="&amp;2)</f>
        <v>0</v>
      </c>
      <c r="BK84" s="5" t="s">
        <v>47</v>
      </c>
      <c r="BL84" s="20">
        <v>2.6280000000000001</v>
      </c>
      <c r="BM84" s="20">
        <v>2.6280000000000001</v>
      </c>
      <c r="BN84" s="20">
        <v>2.6280000000000001</v>
      </c>
      <c r="BO84" s="20">
        <v>2.6280000000000001</v>
      </c>
      <c r="BP84" s="20">
        <v>2.6280000000000001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0">
        <v>0</v>
      </c>
      <c r="CA84" s="20">
        <v>0</v>
      </c>
      <c r="CB84" s="20">
        <v>0</v>
      </c>
      <c r="CC84" s="20">
        <v>0</v>
      </c>
      <c r="CD84" s="20">
        <v>0</v>
      </c>
      <c r="CE84" s="20">
        <v>0</v>
      </c>
      <c r="CF84" s="20">
        <v>0</v>
      </c>
      <c r="CG84" s="20">
        <v>0</v>
      </c>
      <c r="CH84" s="20">
        <v>0</v>
      </c>
      <c r="CI84" s="20">
        <v>0</v>
      </c>
      <c r="CJ84" s="20">
        <v>0</v>
      </c>
      <c r="CK84" s="20">
        <v>0</v>
      </c>
      <c r="CM84" s="5" t="s">
        <v>47</v>
      </c>
      <c r="CN84" s="21">
        <v>2.653</v>
      </c>
      <c r="CO84" s="22">
        <v>2.653</v>
      </c>
      <c r="CP84" s="22">
        <v>2.653</v>
      </c>
      <c r="CQ84" s="22">
        <v>2.653</v>
      </c>
      <c r="CR84" s="22">
        <v>2.653</v>
      </c>
      <c r="CS84" s="22">
        <v>0</v>
      </c>
      <c r="CT84" s="22">
        <v>0</v>
      </c>
      <c r="CU84" s="22">
        <v>0</v>
      </c>
      <c r="CV84" s="22">
        <v>0</v>
      </c>
      <c r="CW84" s="22">
        <v>0</v>
      </c>
      <c r="CX84" s="22">
        <v>0</v>
      </c>
      <c r="CY84" s="22">
        <v>0</v>
      </c>
      <c r="CZ84" s="22">
        <v>0</v>
      </c>
      <c r="DA84" s="22">
        <v>0</v>
      </c>
      <c r="DB84" s="22">
        <v>0</v>
      </c>
      <c r="DC84" s="22">
        <v>0</v>
      </c>
      <c r="DD84" s="22">
        <v>0</v>
      </c>
      <c r="DE84" s="22">
        <v>0</v>
      </c>
      <c r="DF84" s="22">
        <v>0</v>
      </c>
      <c r="DG84" s="22">
        <v>0</v>
      </c>
      <c r="DH84" s="22">
        <v>0</v>
      </c>
      <c r="DI84" s="22">
        <v>0</v>
      </c>
      <c r="DJ84" s="22">
        <v>0</v>
      </c>
      <c r="DK84" s="22">
        <v>0</v>
      </c>
      <c r="DL84" s="22">
        <v>0</v>
      </c>
      <c r="DM84" s="22">
        <v>0</v>
      </c>
      <c r="DO84" s="5" t="s">
        <v>47</v>
      </c>
      <c r="DP84" s="23">
        <v>0.5</v>
      </c>
      <c r="DQ84" s="23">
        <v>0.5</v>
      </c>
      <c r="DR84" s="23">
        <v>0.5</v>
      </c>
      <c r="DS84" s="23">
        <v>0.5</v>
      </c>
      <c r="DT84" s="23">
        <v>0.5</v>
      </c>
      <c r="DU84" s="23">
        <v>0</v>
      </c>
      <c r="DV84" s="23">
        <v>0</v>
      </c>
      <c r="DW84" s="23">
        <v>0</v>
      </c>
      <c r="DX84" s="23">
        <v>0</v>
      </c>
      <c r="DY84" s="23">
        <v>0</v>
      </c>
      <c r="DZ84" s="23">
        <v>0</v>
      </c>
      <c r="EA84" s="23">
        <v>0</v>
      </c>
      <c r="EB84" s="23">
        <v>0</v>
      </c>
      <c r="EC84" s="23">
        <v>0</v>
      </c>
      <c r="ED84" s="23">
        <v>0</v>
      </c>
      <c r="EE84" s="23">
        <v>0</v>
      </c>
      <c r="EF84" s="23">
        <v>0</v>
      </c>
      <c r="EG84" s="23">
        <v>0</v>
      </c>
      <c r="EH84" s="23">
        <v>0</v>
      </c>
      <c r="EI84" s="23">
        <v>0</v>
      </c>
      <c r="EJ84" s="23">
        <v>0</v>
      </c>
      <c r="EK84" s="23">
        <v>0</v>
      </c>
      <c r="EL84" s="23">
        <v>0</v>
      </c>
      <c r="EM84" s="23">
        <v>0</v>
      </c>
      <c r="EN84" s="23">
        <v>0</v>
      </c>
      <c r="EO84" s="23">
        <v>0</v>
      </c>
      <c r="EP84" s="24">
        <f>IFERROR(INDEX('[1]GenX Resources'!$AP$10:$AP$46,MATCH(DO84,'[1]GenX Resources'!$B$10:$B$46,0)),0)</f>
        <v>0.5</v>
      </c>
      <c r="EQ84" s="2" t="b">
        <f t="shared" si="35"/>
        <v>1</v>
      </c>
      <c r="ES84" s="25">
        <f ca="1">IFERROR(INDEX('[1]GenX Resources'!$AD:$AD,MATCH($G84,'[1]GenX Resources'!$B:$B,0)) - IF(OR(INDEX('[1]GenX Resources'!$L:$L,MATCH($G84,'[1]GenX Resources'!$B:$B,0)),ISNUMBER(SEARCH("New Generic",$G84))),0,INDEX('[1]GenX Resources'!$M:$M,MATCH($G84,'[1]GenX Resources'!$B:$B,0))),0)</f>
        <v>70000</v>
      </c>
      <c r="EU84" s="5" t="s">
        <v>48</v>
      </c>
      <c r="EV84" s="20">
        <v>0</v>
      </c>
      <c r="EW84" s="20">
        <v>0</v>
      </c>
      <c r="EX84" s="20">
        <v>0</v>
      </c>
      <c r="EY84" s="20">
        <v>0</v>
      </c>
      <c r="EZ84" s="20">
        <v>0</v>
      </c>
      <c r="FA84" s="20">
        <v>0</v>
      </c>
      <c r="FB84" s="20">
        <v>0</v>
      </c>
      <c r="FC84" s="20">
        <v>0</v>
      </c>
      <c r="FD84" s="20">
        <v>0</v>
      </c>
      <c r="FE84" s="20">
        <v>0</v>
      </c>
      <c r="FF84" s="20">
        <v>0</v>
      </c>
      <c r="FG84" s="20">
        <v>0</v>
      </c>
      <c r="FH84" s="20">
        <v>0</v>
      </c>
      <c r="FI84" s="20">
        <v>0</v>
      </c>
      <c r="FJ84" s="20">
        <v>0</v>
      </c>
      <c r="FK84" s="20">
        <v>0</v>
      </c>
      <c r="FL84" s="20">
        <v>0</v>
      </c>
      <c r="FM84" s="20">
        <v>0</v>
      </c>
      <c r="FN84" s="20">
        <v>0</v>
      </c>
      <c r="FO84" s="20">
        <v>0</v>
      </c>
      <c r="FP84" s="20">
        <v>0</v>
      </c>
      <c r="FQ84" s="20">
        <v>0</v>
      </c>
      <c r="FR84" s="20">
        <v>0</v>
      </c>
      <c r="FS84" s="20">
        <v>0</v>
      </c>
      <c r="FT84" s="20">
        <v>0</v>
      </c>
      <c r="FU84" s="20">
        <v>0</v>
      </c>
    </row>
    <row r="85" spans="6:177" ht="16" x14ac:dyDescent="0.2">
      <c r="F85" s="19" t="str">
        <f>IFERROR(INDEX('[1]GenX Resources'!$A$10:$A$76,MATCH(G85,'[1]GenX Resources'!$B$10:$B$76,0)),"")</f>
        <v>Gas CT</v>
      </c>
      <c r="G85" s="5" t="s">
        <v>49</v>
      </c>
      <c r="H85" s="6">
        <v>564</v>
      </c>
      <c r="I85" s="6">
        <v>564</v>
      </c>
      <c r="J85" s="6">
        <v>564</v>
      </c>
      <c r="K85" s="6">
        <v>564</v>
      </c>
      <c r="L85" s="6">
        <v>564</v>
      </c>
      <c r="M85" s="6">
        <v>564</v>
      </c>
      <c r="N85" s="6">
        <v>564</v>
      </c>
      <c r="O85" s="6">
        <v>564</v>
      </c>
      <c r="P85" s="6">
        <v>564</v>
      </c>
      <c r="Q85" s="6">
        <v>564</v>
      </c>
      <c r="R85" s="6">
        <v>564</v>
      </c>
      <c r="S85" s="6">
        <v>564</v>
      </c>
      <c r="T85" s="6">
        <v>564</v>
      </c>
      <c r="U85" s="6">
        <v>564</v>
      </c>
      <c r="V85" s="6">
        <v>564</v>
      </c>
      <c r="W85" s="6">
        <v>564</v>
      </c>
      <c r="X85" s="6">
        <v>564</v>
      </c>
      <c r="Y85" s="6">
        <v>564</v>
      </c>
      <c r="Z85" s="6">
        <v>564</v>
      </c>
      <c r="AA85" s="6">
        <v>564</v>
      </c>
      <c r="AB85" s="6">
        <v>564</v>
      </c>
      <c r="AC85" s="6">
        <v>564</v>
      </c>
      <c r="AD85" s="6">
        <v>564</v>
      </c>
      <c r="AE85" s="6">
        <v>564</v>
      </c>
      <c r="AF85" s="6">
        <v>564</v>
      </c>
      <c r="AG85" s="6">
        <v>564</v>
      </c>
      <c r="AI85" s="5" t="s">
        <v>49</v>
      </c>
      <c r="AJ85" s="6">
        <f>SUMIFS([1]!Resources[Summer Rating],[1]!Resources[COD],"&lt;="&amp;AJ$77,[1]!Resources[Retirement Date],"&gt;="&amp;AJ$77,[1]!Resources[Unique Key],$AI85,[1]!Resources[Availability '#],"&gt;="&amp;2)</f>
        <v>0</v>
      </c>
      <c r="AK85" s="6">
        <f>SUMIFS([1]!Resources[Summer Rating],[1]!Resources[COD],"&lt;="&amp;AK$77,[1]!Resources[Retirement Date],"&gt;="&amp;AK$77,[1]!Resources[Unique Key],$AI85,[1]!Resources[Availability '#],"&gt;="&amp;2)</f>
        <v>0</v>
      </c>
      <c r="AL85" s="6">
        <f>SUMIFS([1]!Resources[Summer Rating],[1]!Resources[COD],"&lt;="&amp;AL$77,[1]!Resources[Retirement Date],"&gt;="&amp;AL$77,[1]!Resources[Unique Key],$AI85,[1]!Resources[Availability '#],"&gt;="&amp;2)</f>
        <v>0</v>
      </c>
      <c r="AM85" s="6">
        <f>SUMIFS([1]!Resources[Summer Rating],[1]!Resources[COD],"&lt;="&amp;AM$77,[1]!Resources[Retirement Date],"&gt;="&amp;AM$77,[1]!Resources[Unique Key],$AI85,[1]!Resources[Availability '#],"&gt;="&amp;2)</f>
        <v>0</v>
      </c>
      <c r="AN85" s="6">
        <f>SUMIFS([1]!Resources[Summer Rating],[1]!Resources[COD],"&lt;="&amp;AN$77,[1]!Resources[Retirement Date],"&gt;="&amp;AN$77,[1]!Resources[Unique Key],$AI85,[1]!Resources[Availability '#],"&gt;="&amp;2)</f>
        <v>0</v>
      </c>
      <c r="AO85" s="6">
        <f>SUMIFS([1]!Resources[Summer Rating],[1]!Resources[COD],"&lt;="&amp;AO$77,[1]!Resources[Retirement Date],"&gt;="&amp;AO$77,[1]!Resources[Unique Key],$AI85,[1]!Resources[Availability '#],"&gt;="&amp;2)</f>
        <v>0</v>
      </c>
      <c r="AP85" s="6">
        <f>SUMIFS([1]!Resources[Summer Rating],[1]!Resources[COD],"&lt;="&amp;AP$77,[1]!Resources[Retirement Date],"&gt;="&amp;AP$77,[1]!Resources[Unique Key],$AI85,[1]!Resources[Availability '#],"&gt;="&amp;2)</f>
        <v>0</v>
      </c>
      <c r="AQ85" s="6">
        <f>SUMIFS([1]!Resources[Summer Rating],[1]!Resources[COD],"&lt;="&amp;AQ$77,[1]!Resources[Retirement Date],"&gt;="&amp;AQ$77,[1]!Resources[Unique Key],$AI85,[1]!Resources[Availability '#],"&gt;="&amp;2)</f>
        <v>0</v>
      </c>
      <c r="AR85" s="6">
        <f>SUMIFS([1]!Resources[Summer Rating],[1]!Resources[COD],"&lt;="&amp;AR$77,[1]!Resources[Retirement Date],"&gt;="&amp;AR$77,[1]!Resources[Unique Key],$AI85,[1]!Resources[Availability '#],"&gt;="&amp;2)</f>
        <v>0</v>
      </c>
      <c r="AS85" s="6">
        <f>SUMIFS([1]!Resources[Summer Rating],[1]!Resources[COD],"&lt;="&amp;AS$77,[1]!Resources[Retirement Date],"&gt;="&amp;AS$77,[1]!Resources[Unique Key],$AI85,[1]!Resources[Availability '#],"&gt;="&amp;2)</f>
        <v>0</v>
      </c>
      <c r="AT85" s="6">
        <f>SUMIFS([1]!Resources[Summer Rating],[1]!Resources[COD],"&lt;="&amp;AT$77,[1]!Resources[Retirement Date],"&gt;="&amp;AT$77,[1]!Resources[Unique Key],$AI85,[1]!Resources[Availability '#],"&gt;="&amp;2)</f>
        <v>0</v>
      </c>
      <c r="AU85" s="6">
        <f>SUMIFS([1]!Resources[Summer Rating],[1]!Resources[COD],"&lt;="&amp;AU$77,[1]!Resources[Retirement Date],"&gt;="&amp;AU$77,[1]!Resources[Unique Key],$AI85,[1]!Resources[Availability '#],"&gt;="&amp;2)</f>
        <v>0</v>
      </c>
      <c r="AV85" s="6">
        <f>SUMIFS([1]!Resources[Summer Rating],[1]!Resources[COD],"&lt;="&amp;AV$77,[1]!Resources[Retirement Date],"&gt;="&amp;AV$77,[1]!Resources[Unique Key],$AI85,[1]!Resources[Availability '#],"&gt;="&amp;2)</f>
        <v>0</v>
      </c>
      <c r="AW85" s="6">
        <f>SUMIFS([1]!Resources[Summer Rating],[1]!Resources[COD],"&lt;="&amp;AW$77,[1]!Resources[Retirement Date],"&gt;="&amp;AW$77,[1]!Resources[Unique Key],$AI85,[1]!Resources[Availability '#],"&gt;="&amp;2)</f>
        <v>0</v>
      </c>
      <c r="AX85" s="6">
        <f>SUMIFS([1]!Resources[Summer Rating],[1]!Resources[COD],"&lt;="&amp;AX$77,[1]!Resources[Retirement Date],"&gt;="&amp;AX$77,[1]!Resources[Unique Key],$AI85,[1]!Resources[Availability '#],"&gt;="&amp;2)</f>
        <v>0</v>
      </c>
      <c r="AY85" s="6">
        <f>SUMIFS([1]!Resources[Summer Rating],[1]!Resources[COD],"&lt;="&amp;AY$77,[1]!Resources[Retirement Date],"&gt;="&amp;AY$77,[1]!Resources[Unique Key],$AI85,[1]!Resources[Availability '#],"&gt;="&amp;2)</f>
        <v>0</v>
      </c>
      <c r="AZ85" s="6">
        <f>SUMIFS([1]!Resources[Summer Rating],[1]!Resources[COD],"&lt;="&amp;AZ$77,[1]!Resources[Retirement Date],"&gt;="&amp;AZ$77,[1]!Resources[Unique Key],$AI85,[1]!Resources[Availability '#],"&gt;="&amp;2)</f>
        <v>0</v>
      </c>
      <c r="BA85" s="6">
        <f>SUMIFS([1]!Resources[Summer Rating],[1]!Resources[COD],"&lt;="&amp;BA$77,[1]!Resources[Retirement Date],"&gt;="&amp;BA$77,[1]!Resources[Unique Key],$AI85,[1]!Resources[Availability '#],"&gt;="&amp;2)</f>
        <v>0</v>
      </c>
      <c r="BB85" s="6">
        <f>SUMIFS([1]!Resources[Summer Rating],[1]!Resources[COD],"&lt;="&amp;BB$77,[1]!Resources[Retirement Date],"&gt;="&amp;BB$77,[1]!Resources[Unique Key],$AI85,[1]!Resources[Availability '#],"&gt;="&amp;2)</f>
        <v>0</v>
      </c>
      <c r="BC85" s="6">
        <f>SUMIFS([1]!Resources[Summer Rating],[1]!Resources[COD],"&lt;="&amp;BC$77,[1]!Resources[Retirement Date],"&gt;="&amp;BC$77,[1]!Resources[Unique Key],$AI85,[1]!Resources[Availability '#],"&gt;="&amp;2)</f>
        <v>0</v>
      </c>
      <c r="BD85" s="6">
        <f>SUMIFS([1]!Resources[Summer Rating],[1]!Resources[COD],"&lt;="&amp;BD$77,[1]!Resources[Retirement Date],"&gt;="&amp;BD$77,[1]!Resources[Unique Key],$AI85,[1]!Resources[Availability '#],"&gt;="&amp;2)</f>
        <v>0</v>
      </c>
      <c r="BE85" s="6">
        <f>SUMIFS([1]!Resources[Summer Rating],[1]!Resources[COD],"&lt;="&amp;BE$77,[1]!Resources[Retirement Date],"&gt;="&amp;BE$77,[1]!Resources[Unique Key],$AI85,[1]!Resources[Availability '#],"&gt;="&amp;2)</f>
        <v>0</v>
      </c>
      <c r="BF85" s="6">
        <f>SUMIFS([1]!Resources[Summer Rating],[1]!Resources[COD],"&lt;="&amp;BF$77,[1]!Resources[Retirement Date],"&gt;="&amp;BF$77,[1]!Resources[Unique Key],$AI85,[1]!Resources[Availability '#],"&gt;="&amp;2)</f>
        <v>0</v>
      </c>
      <c r="BG85" s="6">
        <f>SUMIFS([1]!Resources[Summer Rating],[1]!Resources[COD],"&lt;="&amp;BG$77,[1]!Resources[Retirement Date],"&gt;="&amp;BG$77,[1]!Resources[Unique Key],$AI85,[1]!Resources[Availability '#],"&gt;="&amp;2)</f>
        <v>0</v>
      </c>
      <c r="BH85" s="6">
        <f>SUMIFS([1]!Resources[Summer Rating],[1]!Resources[COD],"&lt;="&amp;BH$77,[1]!Resources[Retirement Date],"&gt;="&amp;BH$77,[1]!Resources[Unique Key],$AI85,[1]!Resources[Availability '#],"&gt;="&amp;2)</f>
        <v>0</v>
      </c>
      <c r="BI85" s="6">
        <f>SUMIFS([1]!Resources[Summer Rating],[1]!Resources[COD],"&lt;="&amp;BI$77,[1]!Resources[Retirement Date],"&gt;="&amp;BI$77,[1]!Resources[Unique Key],$AI85,[1]!Resources[Availability '#],"&gt;="&amp;2)</f>
        <v>0</v>
      </c>
      <c r="BK85" s="5" t="s">
        <v>49</v>
      </c>
      <c r="BL85" s="20">
        <v>1.2849999999999999</v>
      </c>
      <c r="BM85" s="20">
        <v>1.2849999999999999</v>
      </c>
      <c r="BN85" s="20">
        <v>1.2849999999999999</v>
      </c>
      <c r="BO85" s="20">
        <v>1.2849999999999999</v>
      </c>
      <c r="BP85" s="20">
        <v>1.002</v>
      </c>
      <c r="BQ85" s="20">
        <v>4.9000000000000002E-2</v>
      </c>
      <c r="BR85" s="20">
        <v>4.9000000000000002E-2</v>
      </c>
      <c r="BS85" s="20">
        <v>4.9000000000000002E-2</v>
      </c>
      <c r="BT85" s="20">
        <v>4.9000000000000002E-2</v>
      </c>
      <c r="BU85" s="20">
        <v>4.9000000000000002E-2</v>
      </c>
      <c r="BV85" s="20">
        <v>4.9000000000000002E-2</v>
      </c>
      <c r="BW85" s="20">
        <v>4.9000000000000002E-2</v>
      </c>
      <c r="BX85" s="20">
        <v>4.9000000000000002E-2</v>
      </c>
      <c r="BY85" s="20">
        <v>4.9000000000000002E-2</v>
      </c>
      <c r="BZ85" s="20">
        <v>4.9000000000000002E-2</v>
      </c>
      <c r="CA85" s="20">
        <v>4.9000000000000002E-2</v>
      </c>
      <c r="CB85" s="20">
        <v>4.9000000000000002E-2</v>
      </c>
      <c r="CC85" s="20">
        <v>4.9000000000000002E-2</v>
      </c>
      <c r="CD85" s="20">
        <v>4.9000000000000002E-2</v>
      </c>
      <c r="CE85" s="20">
        <v>4.9000000000000002E-2</v>
      </c>
      <c r="CF85" s="20">
        <v>4.9000000000000002E-2</v>
      </c>
      <c r="CG85" s="20">
        <v>4.9000000000000002E-2</v>
      </c>
      <c r="CH85" s="20">
        <v>4.9000000000000002E-2</v>
      </c>
      <c r="CI85" s="20">
        <v>4.9000000000000002E-2</v>
      </c>
      <c r="CJ85" s="20">
        <v>4.9000000000000002E-2</v>
      </c>
      <c r="CK85" s="20">
        <v>4.9000000000000002E-2</v>
      </c>
      <c r="CM85" s="5" t="s">
        <v>49</v>
      </c>
      <c r="CN85" s="21">
        <v>1.018</v>
      </c>
      <c r="CO85" s="22">
        <v>1.018</v>
      </c>
      <c r="CP85" s="22">
        <v>1.018</v>
      </c>
      <c r="CQ85" s="22">
        <v>1.018</v>
      </c>
      <c r="CR85" s="22">
        <v>0.79400000000000004</v>
      </c>
      <c r="CS85" s="22">
        <v>3.9E-2</v>
      </c>
      <c r="CT85" s="22">
        <v>3.9E-2</v>
      </c>
      <c r="CU85" s="22">
        <v>3.9E-2</v>
      </c>
      <c r="CV85" s="22">
        <v>3.9E-2</v>
      </c>
      <c r="CW85" s="22">
        <v>3.9E-2</v>
      </c>
      <c r="CX85" s="22">
        <v>3.9E-2</v>
      </c>
      <c r="CY85" s="22">
        <v>3.9E-2</v>
      </c>
      <c r="CZ85" s="22">
        <v>3.9E-2</v>
      </c>
      <c r="DA85" s="22">
        <v>3.9E-2</v>
      </c>
      <c r="DB85" s="22">
        <v>3.9E-2</v>
      </c>
      <c r="DC85" s="22">
        <v>3.9E-2</v>
      </c>
      <c r="DD85" s="22">
        <v>3.9E-2</v>
      </c>
      <c r="DE85" s="22">
        <v>3.9E-2</v>
      </c>
      <c r="DF85" s="22">
        <v>3.9E-2</v>
      </c>
      <c r="DG85" s="22">
        <v>3.9E-2</v>
      </c>
      <c r="DH85" s="22">
        <v>3.9E-2</v>
      </c>
      <c r="DI85" s="22">
        <v>3.9E-2</v>
      </c>
      <c r="DJ85" s="22">
        <v>3.9E-2</v>
      </c>
      <c r="DK85" s="22">
        <v>3.9E-2</v>
      </c>
      <c r="DL85" s="22">
        <v>3.9E-2</v>
      </c>
      <c r="DM85" s="22">
        <v>3.9E-2</v>
      </c>
      <c r="DO85" s="5" t="s">
        <v>49</v>
      </c>
      <c r="DP85" s="23">
        <v>0.26</v>
      </c>
      <c r="DQ85" s="23">
        <v>0.26</v>
      </c>
      <c r="DR85" s="23">
        <v>0.26</v>
      </c>
      <c r="DS85" s="23">
        <v>0.26</v>
      </c>
      <c r="DT85" s="23">
        <v>0.20300000000000001</v>
      </c>
      <c r="DU85" s="23">
        <v>0.01</v>
      </c>
      <c r="DV85" s="23">
        <v>0.01</v>
      </c>
      <c r="DW85" s="23">
        <v>0.01</v>
      </c>
      <c r="DX85" s="23">
        <v>0.01</v>
      </c>
      <c r="DY85" s="23">
        <v>0.01</v>
      </c>
      <c r="DZ85" s="23">
        <v>0.01</v>
      </c>
      <c r="EA85" s="23">
        <v>0.01</v>
      </c>
      <c r="EB85" s="23">
        <v>0.01</v>
      </c>
      <c r="EC85" s="23">
        <v>0.01</v>
      </c>
      <c r="ED85" s="23">
        <v>0.01</v>
      </c>
      <c r="EE85" s="23">
        <v>0.01</v>
      </c>
      <c r="EF85" s="23">
        <v>0.01</v>
      </c>
      <c r="EG85" s="23">
        <v>0.01</v>
      </c>
      <c r="EH85" s="23">
        <v>0.01</v>
      </c>
      <c r="EI85" s="23">
        <v>0.01</v>
      </c>
      <c r="EJ85" s="23">
        <v>0.01</v>
      </c>
      <c r="EK85" s="23">
        <v>0.01</v>
      </c>
      <c r="EL85" s="23">
        <v>0.01</v>
      </c>
      <c r="EM85" s="23">
        <v>0.01</v>
      </c>
      <c r="EN85" s="23">
        <v>0.01</v>
      </c>
      <c r="EO85" s="23">
        <v>0.01</v>
      </c>
      <c r="EP85" s="24">
        <f ca="1">IFERROR(INDEX('[1]GenX Resources'!$AP$10:$AP$46,MATCH(DO85,'[1]GenX Resources'!$B$10:$B$46,0)),0)</f>
        <v>0.01</v>
      </c>
      <c r="EQ85" s="2" t="b">
        <f t="shared" ca="1" si="35"/>
        <v>1</v>
      </c>
      <c r="ES85" s="25">
        <f ca="1">IFERROR(INDEX('[1]GenX Resources'!$AD:$AD,MATCH($G85,'[1]GenX Resources'!$B:$B,0)) - IF(OR(INDEX('[1]GenX Resources'!$L:$L,MATCH($G85,'[1]GenX Resources'!$B:$B,0)),ISNUMBER(SEARCH("New Generic",$G85))),0,INDEX('[1]GenX Resources'!$M:$M,MATCH($G85,'[1]GenX Resources'!$B:$B,0))),0)</f>
        <v>25700</v>
      </c>
      <c r="EU85" s="5" t="s">
        <v>50</v>
      </c>
      <c r="EV85" s="20">
        <v>0</v>
      </c>
      <c r="EW85" s="20">
        <v>0</v>
      </c>
      <c r="EX85" s="20">
        <v>0</v>
      </c>
      <c r="EY85" s="20">
        <v>830</v>
      </c>
      <c r="EZ85" s="20">
        <v>0</v>
      </c>
      <c r="FA85" s="20">
        <v>10570</v>
      </c>
      <c r="FB85" s="20">
        <v>4120</v>
      </c>
      <c r="FC85" s="20">
        <v>4120</v>
      </c>
      <c r="FD85" s="20">
        <v>4120</v>
      </c>
      <c r="FE85" s="20">
        <v>4120</v>
      </c>
      <c r="FF85" s="20">
        <v>4120</v>
      </c>
      <c r="FG85" s="20">
        <v>16920</v>
      </c>
      <c r="FH85" s="20">
        <v>16920</v>
      </c>
      <c r="FI85" s="20">
        <v>16920</v>
      </c>
      <c r="FJ85" s="20">
        <v>16920</v>
      </c>
      <c r="FK85" s="20">
        <v>16920</v>
      </c>
      <c r="FL85" s="20">
        <v>16920</v>
      </c>
      <c r="FM85" s="20">
        <v>16920</v>
      </c>
      <c r="FN85" s="20">
        <v>16920</v>
      </c>
      <c r="FO85" s="20">
        <v>16920</v>
      </c>
      <c r="FP85" s="20">
        <v>16920</v>
      </c>
      <c r="FQ85" s="20">
        <v>16920</v>
      </c>
      <c r="FR85" s="20">
        <v>16920</v>
      </c>
      <c r="FS85" s="20">
        <v>16920</v>
      </c>
      <c r="FT85" s="20">
        <v>16920</v>
      </c>
      <c r="FU85" s="20">
        <v>16920</v>
      </c>
    </row>
    <row r="86" spans="6:177" ht="16" x14ac:dyDescent="0.2">
      <c r="F86" s="19" t="str">
        <f>IFERROR(INDEX('[1]GenX Resources'!$A$10:$A$76,MATCH(G86,'[1]GenX Resources'!$B$10:$B$76,0)),"")</f>
        <v>Gas CT</v>
      </c>
      <c r="G86" s="5" t="s">
        <v>51</v>
      </c>
      <c r="H86" s="6">
        <v>501</v>
      </c>
      <c r="I86" s="6">
        <v>501</v>
      </c>
      <c r="J86" s="6">
        <v>501</v>
      </c>
      <c r="K86" s="6">
        <v>501</v>
      </c>
      <c r="L86" s="6">
        <v>501</v>
      </c>
      <c r="M86" s="6">
        <v>501</v>
      </c>
      <c r="N86" s="6">
        <v>501</v>
      </c>
      <c r="O86" s="6">
        <v>501</v>
      </c>
      <c r="P86" s="6">
        <v>501</v>
      </c>
      <c r="Q86" s="6">
        <v>501</v>
      </c>
      <c r="R86" s="6">
        <v>501</v>
      </c>
      <c r="S86" s="6">
        <v>501</v>
      </c>
      <c r="T86" s="6">
        <v>501</v>
      </c>
      <c r="U86" s="6">
        <v>501</v>
      </c>
      <c r="V86" s="6">
        <v>501</v>
      </c>
      <c r="W86" s="6">
        <v>501</v>
      </c>
      <c r="X86" s="6">
        <v>501</v>
      </c>
      <c r="Y86" s="6">
        <v>501</v>
      </c>
      <c r="Z86" s="6">
        <v>501</v>
      </c>
      <c r="AA86" s="6">
        <v>501</v>
      </c>
      <c r="AB86" s="6">
        <v>501</v>
      </c>
      <c r="AC86" s="6">
        <v>501</v>
      </c>
      <c r="AD86" s="6">
        <v>501</v>
      </c>
      <c r="AE86" s="6">
        <v>501</v>
      </c>
      <c r="AF86" s="6">
        <v>501</v>
      </c>
      <c r="AG86" s="6">
        <v>501</v>
      </c>
      <c r="AI86" s="5" t="s">
        <v>51</v>
      </c>
      <c r="AJ86" s="6">
        <f>SUMIFS([1]!Resources[Summer Rating],[1]!Resources[COD],"&lt;="&amp;AJ$77,[1]!Resources[Retirement Date],"&gt;="&amp;AJ$77,[1]!Resources[Unique Key],$AI86,[1]!Resources[Availability '#],"&gt;="&amp;2)</f>
        <v>0</v>
      </c>
      <c r="AK86" s="6">
        <f>SUMIFS([1]!Resources[Summer Rating],[1]!Resources[COD],"&lt;="&amp;AK$77,[1]!Resources[Retirement Date],"&gt;="&amp;AK$77,[1]!Resources[Unique Key],$AI86,[1]!Resources[Availability '#],"&gt;="&amp;2)</f>
        <v>0</v>
      </c>
      <c r="AL86" s="6">
        <f>SUMIFS([1]!Resources[Summer Rating],[1]!Resources[COD],"&lt;="&amp;AL$77,[1]!Resources[Retirement Date],"&gt;="&amp;AL$77,[1]!Resources[Unique Key],$AI86,[1]!Resources[Availability '#],"&gt;="&amp;2)</f>
        <v>0</v>
      </c>
      <c r="AM86" s="6">
        <f>SUMIFS([1]!Resources[Summer Rating],[1]!Resources[COD],"&lt;="&amp;AM$77,[1]!Resources[Retirement Date],"&gt;="&amp;AM$77,[1]!Resources[Unique Key],$AI86,[1]!Resources[Availability '#],"&gt;="&amp;2)</f>
        <v>0</v>
      </c>
      <c r="AN86" s="6">
        <f>SUMIFS([1]!Resources[Summer Rating],[1]!Resources[COD],"&lt;="&amp;AN$77,[1]!Resources[Retirement Date],"&gt;="&amp;AN$77,[1]!Resources[Unique Key],$AI86,[1]!Resources[Availability '#],"&gt;="&amp;2)</f>
        <v>0</v>
      </c>
      <c r="AO86" s="6">
        <f>SUMIFS([1]!Resources[Summer Rating],[1]!Resources[COD],"&lt;="&amp;AO$77,[1]!Resources[Retirement Date],"&gt;="&amp;AO$77,[1]!Resources[Unique Key],$AI86,[1]!Resources[Availability '#],"&gt;="&amp;2)</f>
        <v>0</v>
      </c>
      <c r="AP86" s="6">
        <f>SUMIFS([1]!Resources[Summer Rating],[1]!Resources[COD],"&lt;="&amp;AP$77,[1]!Resources[Retirement Date],"&gt;="&amp;AP$77,[1]!Resources[Unique Key],$AI86,[1]!Resources[Availability '#],"&gt;="&amp;2)</f>
        <v>0</v>
      </c>
      <c r="AQ86" s="6">
        <f>SUMIFS([1]!Resources[Summer Rating],[1]!Resources[COD],"&lt;="&amp;AQ$77,[1]!Resources[Retirement Date],"&gt;="&amp;AQ$77,[1]!Resources[Unique Key],$AI86,[1]!Resources[Availability '#],"&gt;="&amp;2)</f>
        <v>0</v>
      </c>
      <c r="AR86" s="6">
        <f>SUMIFS([1]!Resources[Summer Rating],[1]!Resources[COD],"&lt;="&amp;AR$77,[1]!Resources[Retirement Date],"&gt;="&amp;AR$77,[1]!Resources[Unique Key],$AI86,[1]!Resources[Availability '#],"&gt;="&amp;2)</f>
        <v>0</v>
      </c>
      <c r="AS86" s="6">
        <f>SUMIFS([1]!Resources[Summer Rating],[1]!Resources[COD],"&lt;="&amp;AS$77,[1]!Resources[Retirement Date],"&gt;="&amp;AS$77,[1]!Resources[Unique Key],$AI86,[1]!Resources[Availability '#],"&gt;="&amp;2)</f>
        <v>0</v>
      </c>
      <c r="AT86" s="6">
        <f>SUMIFS([1]!Resources[Summer Rating],[1]!Resources[COD],"&lt;="&amp;AT$77,[1]!Resources[Retirement Date],"&gt;="&amp;AT$77,[1]!Resources[Unique Key],$AI86,[1]!Resources[Availability '#],"&gt;="&amp;2)</f>
        <v>0</v>
      </c>
      <c r="AU86" s="6">
        <f>SUMIFS([1]!Resources[Summer Rating],[1]!Resources[COD],"&lt;="&amp;AU$77,[1]!Resources[Retirement Date],"&gt;="&amp;AU$77,[1]!Resources[Unique Key],$AI86,[1]!Resources[Availability '#],"&gt;="&amp;2)</f>
        <v>0</v>
      </c>
      <c r="AV86" s="6">
        <f>SUMIFS([1]!Resources[Summer Rating],[1]!Resources[COD],"&lt;="&amp;AV$77,[1]!Resources[Retirement Date],"&gt;="&amp;AV$77,[1]!Resources[Unique Key],$AI86,[1]!Resources[Availability '#],"&gt;="&amp;2)</f>
        <v>0</v>
      </c>
      <c r="AW86" s="6">
        <f>SUMIFS([1]!Resources[Summer Rating],[1]!Resources[COD],"&lt;="&amp;AW$77,[1]!Resources[Retirement Date],"&gt;="&amp;AW$77,[1]!Resources[Unique Key],$AI86,[1]!Resources[Availability '#],"&gt;="&amp;2)</f>
        <v>0</v>
      </c>
      <c r="AX86" s="6">
        <f>SUMIFS([1]!Resources[Summer Rating],[1]!Resources[COD],"&lt;="&amp;AX$77,[1]!Resources[Retirement Date],"&gt;="&amp;AX$77,[1]!Resources[Unique Key],$AI86,[1]!Resources[Availability '#],"&gt;="&amp;2)</f>
        <v>0</v>
      </c>
      <c r="AY86" s="6">
        <f>SUMIFS([1]!Resources[Summer Rating],[1]!Resources[COD],"&lt;="&amp;AY$77,[1]!Resources[Retirement Date],"&gt;="&amp;AY$77,[1]!Resources[Unique Key],$AI86,[1]!Resources[Availability '#],"&gt;="&amp;2)</f>
        <v>0</v>
      </c>
      <c r="AZ86" s="6">
        <f>SUMIFS([1]!Resources[Summer Rating],[1]!Resources[COD],"&lt;="&amp;AZ$77,[1]!Resources[Retirement Date],"&gt;="&amp;AZ$77,[1]!Resources[Unique Key],$AI86,[1]!Resources[Availability '#],"&gt;="&amp;2)</f>
        <v>0</v>
      </c>
      <c r="BA86" s="6">
        <f>SUMIFS([1]!Resources[Summer Rating],[1]!Resources[COD],"&lt;="&amp;BA$77,[1]!Resources[Retirement Date],"&gt;="&amp;BA$77,[1]!Resources[Unique Key],$AI86,[1]!Resources[Availability '#],"&gt;="&amp;2)</f>
        <v>0</v>
      </c>
      <c r="BB86" s="6">
        <f>SUMIFS([1]!Resources[Summer Rating],[1]!Resources[COD],"&lt;="&amp;BB$77,[1]!Resources[Retirement Date],"&gt;="&amp;BB$77,[1]!Resources[Unique Key],$AI86,[1]!Resources[Availability '#],"&gt;="&amp;2)</f>
        <v>0</v>
      </c>
      <c r="BC86" s="6">
        <f>SUMIFS([1]!Resources[Summer Rating],[1]!Resources[COD],"&lt;="&amp;BC$77,[1]!Resources[Retirement Date],"&gt;="&amp;BC$77,[1]!Resources[Unique Key],$AI86,[1]!Resources[Availability '#],"&gt;="&amp;2)</f>
        <v>0</v>
      </c>
      <c r="BD86" s="6">
        <f>SUMIFS([1]!Resources[Summer Rating],[1]!Resources[COD],"&lt;="&amp;BD$77,[1]!Resources[Retirement Date],"&gt;="&amp;BD$77,[1]!Resources[Unique Key],$AI86,[1]!Resources[Availability '#],"&gt;="&amp;2)</f>
        <v>0</v>
      </c>
      <c r="BE86" s="6">
        <f>SUMIFS([1]!Resources[Summer Rating],[1]!Resources[COD],"&lt;="&amp;BE$77,[1]!Resources[Retirement Date],"&gt;="&amp;BE$77,[1]!Resources[Unique Key],$AI86,[1]!Resources[Availability '#],"&gt;="&amp;2)</f>
        <v>0</v>
      </c>
      <c r="BF86" s="6">
        <f>SUMIFS([1]!Resources[Summer Rating],[1]!Resources[COD],"&lt;="&amp;BF$77,[1]!Resources[Retirement Date],"&gt;="&amp;BF$77,[1]!Resources[Unique Key],$AI86,[1]!Resources[Availability '#],"&gt;="&amp;2)</f>
        <v>0</v>
      </c>
      <c r="BG86" s="6">
        <f>SUMIFS([1]!Resources[Summer Rating],[1]!Resources[COD],"&lt;="&amp;BG$77,[1]!Resources[Retirement Date],"&gt;="&amp;BG$77,[1]!Resources[Unique Key],$AI86,[1]!Resources[Availability '#],"&gt;="&amp;2)</f>
        <v>0</v>
      </c>
      <c r="BH86" s="6">
        <f>SUMIFS([1]!Resources[Summer Rating],[1]!Resources[COD],"&lt;="&amp;BH$77,[1]!Resources[Retirement Date],"&gt;="&amp;BH$77,[1]!Resources[Unique Key],$AI86,[1]!Resources[Availability '#],"&gt;="&amp;2)</f>
        <v>0</v>
      </c>
      <c r="BI86" s="6">
        <f>SUMIFS([1]!Resources[Summer Rating],[1]!Resources[COD],"&lt;="&amp;BI$77,[1]!Resources[Retirement Date],"&gt;="&amp;BI$77,[1]!Resources[Unique Key],$AI86,[1]!Resources[Availability '#],"&gt;="&amp;2)</f>
        <v>0</v>
      </c>
      <c r="BK86" s="5" t="s">
        <v>51</v>
      </c>
      <c r="BL86" s="20">
        <v>1.1850000000000001</v>
      </c>
      <c r="BM86" s="20">
        <v>1.1850000000000001</v>
      </c>
      <c r="BN86" s="20">
        <v>1.1850000000000001</v>
      </c>
      <c r="BO86" s="20">
        <v>1.1850000000000001</v>
      </c>
      <c r="BP86" s="20">
        <v>1.1850000000000001</v>
      </c>
      <c r="BQ86" s="20">
        <v>1.1850000000000001</v>
      </c>
      <c r="BR86" s="20">
        <v>1.1850000000000001</v>
      </c>
      <c r="BS86" s="20">
        <v>1.1850000000000001</v>
      </c>
      <c r="BT86" s="20">
        <v>1.1850000000000001</v>
      </c>
      <c r="BU86" s="20">
        <v>1.1850000000000001</v>
      </c>
      <c r="BV86" s="20">
        <v>1.1850000000000001</v>
      </c>
      <c r="BW86" s="20">
        <v>1.1850000000000001</v>
      </c>
      <c r="BX86" s="20">
        <v>1.1850000000000001</v>
      </c>
      <c r="BY86" s="20">
        <v>1.1850000000000001</v>
      </c>
      <c r="BZ86" s="20">
        <v>1.1850000000000001</v>
      </c>
      <c r="CA86" s="20">
        <v>1.1850000000000001</v>
      </c>
      <c r="CB86" s="20">
        <v>1.1850000000000001</v>
      </c>
      <c r="CC86" s="20">
        <v>1.1850000000000001</v>
      </c>
      <c r="CD86" s="20">
        <v>1.1850000000000001</v>
      </c>
      <c r="CE86" s="20">
        <v>1.1850000000000001</v>
      </c>
      <c r="CF86" s="20">
        <v>1.1850000000000001</v>
      </c>
      <c r="CG86" s="20">
        <v>1.1850000000000001</v>
      </c>
      <c r="CH86" s="20">
        <v>1.1850000000000001</v>
      </c>
      <c r="CI86" s="20">
        <v>1.1850000000000001</v>
      </c>
      <c r="CJ86" s="20">
        <v>1.1850000000000001</v>
      </c>
      <c r="CK86" s="20">
        <v>1.1850000000000001</v>
      </c>
      <c r="CM86" s="5" t="s">
        <v>51</v>
      </c>
      <c r="CN86" s="21">
        <v>0.69499999999999995</v>
      </c>
      <c r="CO86" s="22">
        <v>0.69499999999999995</v>
      </c>
      <c r="CP86" s="22">
        <v>0.69499999999999995</v>
      </c>
      <c r="CQ86" s="22">
        <v>0.69499999999999995</v>
      </c>
      <c r="CR86" s="22">
        <v>0.69499999999999995</v>
      </c>
      <c r="CS86" s="22">
        <v>0.69499999999999995</v>
      </c>
      <c r="CT86" s="22">
        <v>0.69499999999999995</v>
      </c>
      <c r="CU86" s="22">
        <v>0.69499999999999995</v>
      </c>
      <c r="CV86" s="22">
        <v>0.69499999999999995</v>
      </c>
      <c r="CW86" s="22">
        <v>0.69499999999999995</v>
      </c>
      <c r="CX86" s="22">
        <v>0.69499999999999995</v>
      </c>
      <c r="CY86" s="22">
        <v>0.69499999999999995</v>
      </c>
      <c r="CZ86" s="22">
        <v>0.69499999999999995</v>
      </c>
      <c r="DA86" s="22">
        <v>0.69499999999999995</v>
      </c>
      <c r="DB86" s="22">
        <v>0.69499999999999995</v>
      </c>
      <c r="DC86" s="22">
        <v>0.69499999999999995</v>
      </c>
      <c r="DD86" s="22">
        <v>0.69499999999999995</v>
      </c>
      <c r="DE86" s="22">
        <v>0.69499999999999995</v>
      </c>
      <c r="DF86" s="22">
        <v>0.69499999999999995</v>
      </c>
      <c r="DG86" s="22">
        <v>0.69499999999999995</v>
      </c>
      <c r="DH86" s="22">
        <v>0.69499999999999995</v>
      </c>
      <c r="DI86" s="22">
        <v>0.69499999999999995</v>
      </c>
      <c r="DJ86" s="22">
        <v>0.69499999999999995</v>
      </c>
      <c r="DK86" s="22">
        <v>0.69499999999999995</v>
      </c>
      <c r="DL86" s="22">
        <v>0.69499999999999995</v>
      </c>
      <c r="DM86" s="22">
        <v>0.69499999999999995</v>
      </c>
      <c r="DO86" s="5" t="s">
        <v>51</v>
      </c>
      <c r="DP86" s="23">
        <v>0.27</v>
      </c>
      <c r="DQ86" s="23">
        <v>0.27</v>
      </c>
      <c r="DR86" s="23">
        <v>0.27</v>
      </c>
      <c r="DS86" s="23">
        <v>0.27</v>
      </c>
      <c r="DT86" s="23">
        <v>0.27</v>
      </c>
      <c r="DU86" s="23">
        <v>0.27</v>
      </c>
      <c r="DV86" s="23">
        <v>0.27</v>
      </c>
      <c r="DW86" s="23">
        <v>0.27</v>
      </c>
      <c r="DX86" s="23">
        <v>0.27</v>
      </c>
      <c r="DY86" s="23">
        <v>0.27</v>
      </c>
      <c r="DZ86" s="23">
        <v>0.27</v>
      </c>
      <c r="EA86" s="23">
        <v>0.27</v>
      </c>
      <c r="EB86" s="23">
        <v>0.27</v>
      </c>
      <c r="EC86" s="23">
        <v>0.27</v>
      </c>
      <c r="ED86" s="23">
        <v>0.27</v>
      </c>
      <c r="EE86" s="23">
        <v>0.27</v>
      </c>
      <c r="EF86" s="23">
        <v>0.27</v>
      </c>
      <c r="EG86" s="23">
        <v>0.27</v>
      </c>
      <c r="EH86" s="23">
        <v>0.27</v>
      </c>
      <c r="EI86" s="23">
        <v>0.27</v>
      </c>
      <c r="EJ86" s="23">
        <v>0.27</v>
      </c>
      <c r="EK86" s="23">
        <v>0.27</v>
      </c>
      <c r="EL86" s="23">
        <v>0.27</v>
      </c>
      <c r="EM86" s="23">
        <v>0.27</v>
      </c>
      <c r="EN86" s="23">
        <v>0.27</v>
      </c>
      <c r="EO86" s="23">
        <v>0.27</v>
      </c>
      <c r="EP86" s="24">
        <f ca="1">IFERROR(INDEX('[1]GenX Resources'!$AP$10:$AP$46,MATCH(DO86,'[1]GenX Resources'!$B$10:$B$46,0)),0)</f>
        <v>0.02</v>
      </c>
      <c r="EQ86" s="2" t="b">
        <f t="shared" ca="1" si="35"/>
        <v>1</v>
      </c>
      <c r="ES86" s="25">
        <f ca="1">IFERROR(INDEX('[1]GenX Resources'!$AD:$AD,MATCH($G86,'[1]GenX Resources'!$B:$B,0)) - IF(OR(INDEX('[1]GenX Resources'!$L:$L,MATCH($G86,'[1]GenX Resources'!$B:$B,0)),ISNUMBER(SEARCH("New Generic",$G86))),0,INDEX('[1]GenX Resources'!$M:$M,MATCH($G86,'[1]GenX Resources'!$B:$B,0))),0)</f>
        <v>25700</v>
      </c>
      <c r="EU86" s="5" t="s">
        <v>52</v>
      </c>
      <c r="EV86" s="20">
        <v>0</v>
      </c>
      <c r="EW86" s="20">
        <v>0</v>
      </c>
      <c r="EX86" s="20">
        <v>0</v>
      </c>
      <c r="EY86" s="20">
        <v>0</v>
      </c>
      <c r="EZ86" s="20">
        <v>0</v>
      </c>
      <c r="FA86" s="20">
        <v>0</v>
      </c>
      <c r="FB86" s="20">
        <v>0</v>
      </c>
      <c r="FC86" s="20">
        <v>0</v>
      </c>
      <c r="FD86" s="20">
        <v>0</v>
      </c>
      <c r="FE86" s="20">
        <v>0</v>
      </c>
      <c r="FF86" s="20">
        <v>0</v>
      </c>
      <c r="FG86" s="20">
        <v>0</v>
      </c>
      <c r="FH86" s="20">
        <v>0</v>
      </c>
      <c r="FI86" s="20">
        <v>0</v>
      </c>
      <c r="FJ86" s="20">
        <v>0</v>
      </c>
      <c r="FK86" s="20">
        <v>0</v>
      </c>
      <c r="FL86" s="20">
        <v>0</v>
      </c>
      <c r="FM86" s="20">
        <v>0</v>
      </c>
      <c r="FN86" s="20">
        <v>0</v>
      </c>
      <c r="FO86" s="20">
        <v>0</v>
      </c>
      <c r="FP86" s="20">
        <v>0</v>
      </c>
      <c r="FQ86" s="20">
        <v>0</v>
      </c>
      <c r="FR86" s="20">
        <v>0</v>
      </c>
      <c r="FS86" s="20">
        <v>0</v>
      </c>
      <c r="FT86" s="20">
        <v>0</v>
      </c>
      <c r="FU86" s="20">
        <v>0</v>
      </c>
    </row>
    <row r="87" spans="6:177" ht="16" x14ac:dyDescent="0.2">
      <c r="F87" s="19" t="str">
        <f>IFERROR(INDEX('[1]GenX Resources'!$A$10:$A$76,MATCH(G87,'[1]GenX Resources'!$B$10:$B$76,0)),"")</f>
        <v>Gas Other</v>
      </c>
      <c r="G87" s="5" t="s">
        <v>53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341</v>
      </c>
      <c r="N87" s="6">
        <v>341</v>
      </c>
      <c r="O87" s="6">
        <v>341</v>
      </c>
      <c r="P87" s="6">
        <v>341</v>
      </c>
      <c r="Q87" s="6">
        <v>341</v>
      </c>
      <c r="R87" s="6">
        <v>341</v>
      </c>
      <c r="S87" s="6">
        <v>341</v>
      </c>
      <c r="T87" s="6">
        <v>341</v>
      </c>
      <c r="U87" s="6">
        <v>341</v>
      </c>
      <c r="V87" s="6">
        <v>341</v>
      </c>
      <c r="W87" s="6">
        <v>341</v>
      </c>
      <c r="X87" s="6">
        <v>341</v>
      </c>
      <c r="Y87" s="6">
        <v>341</v>
      </c>
      <c r="Z87" s="6">
        <v>341</v>
      </c>
      <c r="AA87" s="6">
        <v>341</v>
      </c>
      <c r="AB87" s="6">
        <v>341</v>
      </c>
      <c r="AC87" s="6">
        <v>341</v>
      </c>
      <c r="AD87" s="6">
        <v>341</v>
      </c>
      <c r="AE87" s="6">
        <v>341</v>
      </c>
      <c r="AF87" s="6">
        <v>341</v>
      </c>
      <c r="AG87" s="6">
        <v>341</v>
      </c>
      <c r="AI87" s="5" t="s">
        <v>53</v>
      </c>
      <c r="AJ87" s="6">
        <f>SUMIFS([1]!Resources[Summer Rating],[1]!Resources[COD],"&lt;="&amp;AJ$77,[1]!Resources[Retirement Date],"&gt;="&amp;AJ$77,[1]!Resources[Unique Key],$AI87,[1]!Resources[Availability '#],"&gt;="&amp;2)</f>
        <v>0</v>
      </c>
      <c r="AK87" s="6">
        <f>SUMIFS([1]!Resources[Summer Rating],[1]!Resources[COD],"&lt;="&amp;AK$77,[1]!Resources[Retirement Date],"&gt;="&amp;AK$77,[1]!Resources[Unique Key],$AI87,[1]!Resources[Availability '#],"&gt;="&amp;2)</f>
        <v>0</v>
      </c>
      <c r="AL87" s="6">
        <f>SUMIFS([1]!Resources[Summer Rating],[1]!Resources[COD],"&lt;="&amp;AL$77,[1]!Resources[Retirement Date],"&gt;="&amp;AL$77,[1]!Resources[Unique Key],$AI87,[1]!Resources[Availability '#],"&gt;="&amp;2)</f>
        <v>0</v>
      </c>
      <c r="AM87" s="6">
        <f>SUMIFS([1]!Resources[Summer Rating],[1]!Resources[COD],"&lt;="&amp;AM$77,[1]!Resources[Retirement Date],"&gt;="&amp;AM$77,[1]!Resources[Unique Key],$AI87,[1]!Resources[Availability '#],"&gt;="&amp;2)</f>
        <v>0</v>
      </c>
      <c r="AN87" s="6">
        <f>SUMIFS([1]!Resources[Summer Rating],[1]!Resources[COD],"&lt;="&amp;AN$77,[1]!Resources[Retirement Date],"&gt;="&amp;AN$77,[1]!Resources[Unique Key],$AI87,[1]!Resources[Availability '#],"&gt;="&amp;2)</f>
        <v>0</v>
      </c>
      <c r="AO87" s="6">
        <f>SUMIFS([1]!Resources[Summer Rating],[1]!Resources[COD],"&lt;="&amp;AO$77,[1]!Resources[Retirement Date],"&gt;="&amp;AO$77,[1]!Resources[Unique Key],$AI87,[1]!Resources[Availability '#],"&gt;="&amp;2)</f>
        <v>0</v>
      </c>
      <c r="AP87" s="6">
        <f>SUMIFS([1]!Resources[Summer Rating],[1]!Resources[COD],"&lt;="&amp;AP$77,[1]!Resources[Retirement Date],"&gt;="&amp;AP$77,[1]!Resources[Unique Key],$AI87,[1]!Resources[Availability '#],"&gt;="&amp;2)</f>
        <v>0</v>
      </c>
      <c r="AQ87" s="6">
        <f>SUMIFS([1]!Resources[Summer Rating],[1]!Resources[COD],"&lt;="&amp;AQ$77,[1]!Resources[Retirement Date],"&gt;="&amp;AQ$77,[1]!Resources[Unique Key],$AI87,[1]!Resources[Availability '#],"&gt;="&amp;2)</f>
        <v>0</v>
      </c>
      <c r="AR87" s="6">
        <f>SUMIFS([1]!Resources[Summer Rating],[1]!Resources[COD],"&lt;="&amp;AR$77,[1]!Resources[Retirement Date],"&gt;="&amp;AR$77,[1]!Resources[Unique Key],$AI87,[1]!Resources[Availability '#],"&gt;="&amp;2)</f>
        <v>0</v>
      </c>
      <c r="AS87" s="6">
        <f>SUMIFS([1]!Resources[Summer Rating],[1]!Resources[COD],"&lt;="&amp;AS$77,[1]!Resources[Retirement Date],"&gt;="&amp;AS$77,[1]!Resources[Unique Key],$AI87,[1]!Resources[Availability '#],"&gt;="&amp;2)</f>
        <v>0</v>
      </c>
      <c r="AT87" s="6">
        <f>SUMIFS([1]!Resources[Summer Rating],[1]!Resources[COD],"&lt;="&amp;AT$77,[1]!Resources[Retirement Date],"&gt;="&amp;AT$77,[1]!Resources[Unique Key],$AI87,[1]!Resources[Availability '#],"&gt;="&amp;2)</f>
        <v>0</v>
      </c>
      <c r="AU87" s="6">
        <f>SUMIFS([1]!Resources[Summer Rating],[1]!Resources[COD],"&lt;="&amp;AU$77,[1]!Resources[Retirement Date],"&gt;="&amp;AU$77,[1]!Resources[Unique Key],$AI87,[1]!Resources[Availability '#],"&gt;="&amp;2)</f>
        <v>0</v>
      </c>
      <c r="AV87" s="6">
        <f>SUMIFS([1]!Resources[Summer Rating],[1]!Resources[COD],"&lt;="&amp;AV$77,[1]!Resources[Retirement Date],"&gt;="&amp;AV$77,[1]!Resources[Unique Key],$AI87,[1]!Resources[Availability '#],"&gt;="&amp;2)</f>
        <v>0</v>
      </c>
      <c r="AW87" s="6">
        <f>SUMIFS([1]!Resources[Summer Rating],[1]!Resources[COD],"&lt;="&amp;AW$77,[1]!Resources[Retirement Date],"&gt;="&amp;AW$77,[1]!Resources[Unique Key],$AI87,[1]!Resources[Availability '#],"&gt;="&amp;2)</f>
        <v>0</v>
      </c>
      <c r="AX87" s="6">
        <f>SUMIFS([1]!Resources[Summer Rating],[1]!Resources[COD],"&lt;="&amp;AX$77,[1]!Resources[Retirement Date],"&gt;="&amp;AX$77,[1]!Resources[Unique Key],$AI87,[1]!Resources[Availability '#],"&gt;="&amp;2)</f>
        <v>0</v>
      </c>
      <c r="AY87" s="6">
        <f>SUMIFS([1]!Resources[Summer Rating],[1]!Resources[COD],"&lt;="&amp;AY$77,[1]!Resources[Retirement Date],"&gt;="&amp;AY$77,[1]!Resources[Unique Key],$AI87,[1]!Resources[Availability '#],"&gt;="&amp;2)</f>
        <v>0</v>
      </c>
      <c r="AZ87" s="6">
        <f>SUMIFS([1]!Resources[Summer Rating],[1]!Resources[COD],"&lt;="&amp;AZ$77,[1]!Resources[Retirement Date],"&gt;="&amp;AZ$77,[1]!Resources[Unique Key],$AI87,[1]!Resources[Availability '#],"&gt;="&amp;2)</f>
        <v>0</v>
      </c>
      <c r="BA87" s="6">
        <f>SUMIFS([1]!Resources[Summer Rating],[1]!Resources[COD],"&lt;="&amp;BA$77,[1]!Resources[Retirement Date],"&gt;="&amp;BA$77,[1]!Resources[Unique Key],$AI87,[1]!Resources[Availability '#],"&gt;="&amp;2)</f>
        <v>0</v>
      </c>
      <c r="BB87" s="6">
        <f>SUMIFS([1]!Resources[Summer Rating],[1]!Resources[COD],"&lt;="&amp;BB$77,[1]!Resources[Retirement Date],"&gt;="&amp;BB$77,[1]!Resources[Unique Key],$AI87,[1]!Resources[Availability '#],"&gt;="&amp;2)</f>
        <v>0</v>
      </c>
      <c r="BC87" s="6">
        <f>SUMIFS([1]!Resources[Summer Rating],[1]!Resources[COD],"&lt;="&amp;BC$77,[1]!Resources[Retirement Date],"&gt;="&amp;BC$77,[1]!Resources[Unique Key],$AI87,[1]!Resources[Availability '#],"&gt;="&amp;2)</f>
        <v>0</v>
      </c>
      <c r="BD87" s="6">
        <f>SUMIFS([1]!Resources[Summer Rating],[1]!Resources[COD],"&lt;="&amp;BD$77,[1]!Resources[Retirement Date],"&gt;="&amp;BD$77,[1]!Resources[Unique Key],$AI87,[1]!Resources[Availability '#],"&gt;="&amp;2)</f>
        <v>0</v>
      </c>
      <c r="BE87" s="6">
        <f>SUMIFS([1]!Resources[Summer Rating],[1]!Resources[COD],"&lt;="&amp;BE$77,[1]!Resources[Retirement Date],"&gt;="&amp;BE$77,[1]!Resources[Unique Key],$AI87,[1]!Resources[Availability '#],"&gt;="&amp;2)</f>
        <v>0</v>
      </c>
      <c r="BF87" s="6">
        <f>SUMIFS([1]!Resources[Summer Rating],[1]!Resources[COD],"&lt;="&amp;BF$77,[1]!Resources[Retirement Date],"&gt;="&amp;BF$77,[1]!Resources[Unique Key],$AI87,[1]!Resources[Availability '#],"&gt;="&amp;2)</f>
        <v>0</v>
      </c>
      <c r="BG87" s="6">
        <f>SUMIFS([1]!Resources[Summer Rating],[1]!Resources[COD],"&lt;="&amp;BG$77,[1]!Resources[Retirement Date],"&gt;="&amp;BG$77,[1]!Resources[Unique Key],$AI87,[1]!Resources[Availability '#],"&gt;="&amp;2)</f>
        <v>0</v>
      </c>
      <c r="BH87" s="6">
        <f>SUMIFS([1]!Resources[Summer Rating],[1]!Resources[COD],"&lt;="&amp;BH$77,[1]!Resources[Retirement Date],"&gt;="&amp;BH$77,[1]!Resources[Unique Key],$AI87,[1]!Resources[Availability '#],"&gt;="&amp;2)</f>
        <v>0</v>
      </c>
      <c r="BI87" s="6">
        <f>SUMIFS([1]!Resources[Summer Rating],[1]!Resources[COD],"&lt;="&amp;BI$77,[1]!Resources[Retirement Date],"&gt;="&amp;BI$77,[1]!Resources[Unique Key],$AI87,[1]!Resources[Availability '#],"&gt;="&amp;2)</f>
        <v>0</v>
      </c>
      <c r="BK87" s="5" t="s">
        <v>53</v>
      </c>
      <c r="BL87" s="20">
        <v>0</v>
      </c>
      <c r="BM87" s="20">
        <v>0</v>
      </c>
      <c r="BN87" s="20">
        <v>0</v>
      </c>
      <c r="BO87" s="20">
        <v>0</v>
      </c>
      <c r="BP87" s="20">
        <v>0</v>
      </c>
      <c r="BQ87" s="20">
        <v>1.284</v>
      </c>
      <c r="BR87" s="20">
        <v>1.284</v>
      </c>
      <c r="BS87" s="20">
        <v>1.284</v>
      </c>
      <c r="BT87" s="20">
        <v>1.284</v>
      </c>
      <c r="BU87" s="20">
        <v>1.284</v>
      </c>
      <c r="BV87" s="20">
        <v>1.284</v>
      </c>
      <c r="BW87" s="20">
        <v>2.0310000000000001</v>
      </c>
      <c r="BX87" s="20">
        <v>2.0310000000000001</v>
      </c>
      <c r="BY87" s="20">
        <v>2.0310000000000001</v>
      </c>
      <c r="BZ87" s="20">
        <v>1.7250000000000001</v>
      </c>
      <c r="CA87" s="20">
        <v>2.0310000000000001</v>
      </c>
      <c r="CB87" s="20">
        <v>2.0310000000000001</v>
      </c>
      <c r="CC87" s="20">
        <v>2.0310000000000001</v>
      </c>
      <c r="CD87" s="20">
        <v>2.0310000000000001</v>
      </c>
      <c r="CE87" s="20">
        <v>2.0310000000000001</v>
      </c>
      <c r="CF87" s="20">
        <v>2.0310000000000001</v>
      </c>
      <c r="CG87" s="20">
        <v>2.0310000000000001</v>
      </c>
      <c r="CH87" s="20">
        <v>2.0310000000000001</v>
      </c>
      <c r="CI87" s="20">
        <v>2.0310000000000001</v>
      </c>
      <c r="CJ87" s="20">
        <v>2.0310000000000001</v>
      </c>
      <c r="CK87" s="20">
        <v>2.0310000000000001</v>
      </c>
      <c r="CM87" s="5" t="s">
        <v>53</v>
      </c>
      <c r="CN87" s="21">
        <v>0</v>
      </c>
      <c r="CO87" s="22">
        <v>0</v>
      </c>
      <c r="CP87" s="22">
        <v>0</v>
      </c>
      <c r="CQ87" s="22">
        <v>0</v>
      </c>
      <c r="CR87" s="22">
        <v>0</v>
      </c>
      <c r="CS87" s="22">
        <v>0.67700000000000005</v>
      </c>
      <c r="CT87" s="22">
        <v>0.67700000000000005</v>
      </c>
      <c r="CU87" s="22">
        <v>0.67700000000000005</v>
      </c>
      <c r="CV87" s="22">
        <v>0.67700000000000005</v>
      </c>
      <c r="CW87" s="22">
        <v>0.67700000000000005</v>
      </c>
      <c r="CX87" s="22">
        <v>0.67700000000000005</v>
      </c>
      <c r="CY87" s="22">
        <v>1.071</v>
      </c>
      <c r="CZ87" s="22">
        <v>1.071</v>
      </c>
      <c r="DA87" s="22">
        <v>1.071</v>
      </c>
      <c r="DB87" s="22">
        <v>0.90900000000000003</v>
      </c>
      <c r="DC87" s="22">
        <v>1.071</v>
      </c>
      <c r="DD87" s="22">
        <v>1.071</v>
      </c>
      <c r="DE87" s="22">
        <v>1.071</v>
      </c>
      <c r="DF87" s="22">
        <v>1.071</v>
      </c>
      <c r="DG87" s="22">
        <v>1.071</v>
      </c>
      <c r="DH87" s="22">
        <v>1.071</v>
      </c>
      <c r="DI87" s="22">
        <v>1.071</v>
      </c>
      <c r="DJ87" s="22">
        <v>1.071</v>
      </c>
      <c r="DK87" s="22">
        <v>1.071</v>
      </c>
      <c r="DL87" s="22">
        <v>1.071</v>
      </c>
      <c r="DM87" s="22">
        <v>1.071</v>
      </c>
      <c r="DO87" s="5" t="s">
        <v>53</v>
      </c>
      <c r="DP87" s="23">
        <v>0</v>
      </c>
      <c r="DQ87" s="23">
        <v>0</v>
      </c>
      <c r="DR87" s="23">
        <v>0</v>
      </c>
      <c r="DS87" s="23">
        <v>0</v>
      </c>
      <c r="DT87" s="23">
        <v>0</v>
      </c>
      <c r="DU87" s="23">
        <v>0.43</v>
      </c>
      <c r="DV87" s="23">
        <v>0.43</v>
      </c>
      <c r="DW87" s="23">
        <v>0.43</v>
      </c>
      <c r="DX87" s="23">
        <v>0.43</v>
      </c>
      <c r="DY87" s="23">
        <v>0.43</v>
      </c>
      <c r="DZ87" s="23">
        <v>0.43</v>
      </c>
      <c r="EA87" s="23">
        <v>0.68</v>
      </c>
      <c r="EB87" s="23">
        <v>0.68</v>
      </c>
      <c r="EC87" s="23">
        <v>0.68</v>
      </c>
      <c r="ED87" s="23">
        <v>0.57699999999999996</v>
      </c>
      <c r="EE87" s="23">
        <v>0.68</v>
      </c>
      <c r="EF87" s="23">
        <v>0.68</v>
      </c>
      <c r="EG87" s="23">
        <v>0.68</v>
      </c>
      <c r="EH87" s="23">
        <v>0.68</v>
      </c>
      <c r="EI87" s="23">
        <v>0.68</v>
      </c>
      <c r="EJ87" s="23">
        <v>0.68</v>
      </c>
      <c r="EK87" s="23">
        <v>0.68</v>
      </c>
      <c r="EL87" s="23">
        <v>0.68</v>
      </c>
      <c r="EM87" s="23">
        <v>0.68</v>
      </c>
      <c r="EN87" s="23">
        <v>0.68</v>
      </c>
      <c r="EO87" s="23">
        <v>0.68</v>
      </c>
      <c r="EP87" s="24">
        <f ca="1">IFERROR(INDEX('[1]GenX Resources'!$AP$10:$AP$46,MATCH(DO87,'[1]GenX Resources'!$B$10:$B$46,0)),0)</f>
        <v>0</v>
      </c>
      <c r="EQ87" s="2" t="b">
        <f t="shared" ca="1" si="35"/>
        <v>1</v>
      </c>
      <c r="ES87" s="25">
        <f ca="1">IFERROR(INDEX('[1]GenX Resources'!$AD:$AD,MATCH($G87,'[1]GenX Resources'!$B:$B,0)) - IF(OR(INDEX('[1]GenX Resources'!$L:$L,MATCH($G87,'[1]GenX Resources'!$B:$B,0)),ISNUMBER(SEARCH("New Generic",$G87))),0,INDEX('[1]GenX Resources'!$M:$M,MATCH($G87,'[1]GenX Resources'!$B:$B,0))),0)</f>
        <v>0</v>
      </c>
      <c r="EU87" s="5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</row>
    <row r="88" spans="6:177" ht="16" x14ac:dyDescent="0.2">
      <c r="F88" s="19" t="str">
        <f>IFERROR(INDEX('[1]GenX Resources'!$A$10:$A$76,MATCH(G88,'[1]GenX Resources'!$B$10:$B$76,0)),"")</f>
        <v>Coal</v>
      </c>
      <c r="G88" s="5" t="s">
        <v>54</v>
      </c>
      <c r="H88" s="6">
        <v>341</v>
      </c>
      <c r="I88" s="6">
        <v>341</v>
      </c>
      <c r="J88" s="6">
        <v>341</v>
      </c>
      <c r="K88" s="6">
        <v>341</v>
      </c>
      <c r="L88" s="6">
        <v>341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I88" s="5" t="s">
        <v>54</v>
      </c>
      <c r="AJ88" s="6">
        <f>SUMIFS([1]!Resources[Summer Rating],[1]!Resources[COD],"&lt;="&amp;AJ$77,[1]!Resources[Retirement Date],"&gt;="&amp;AJ$77,[1]!Resources[Unique Key],$AI88,[1]!Resources[Availability '#],"&gt;="&amp;2)</f>
        <v>0</v>
      </c>
      <c r="AK88" s="6">
        <f>SUMIFS([1]!Resources[Summer Rating],[1]!Resources[COD],"&lt;="&amp;AK$77,[1]!Resources[Retirement Date],"&gt;="&amp;AK$77,[1]!Resources[Unique Key],$AI88,[1]!Resources[Availability '#],"&gt;="&amp;2)</f>
        <v>0</v>
      </c>
      <c r="AL88" s="6">
        <f>SUMIFS([1]!Resources[Summer Rating],[1]!Resources[COD],"&lt;="&amp;AL$77,[1]!Resources[Retirement Date],"&gt;="&amp;AL$77,[1]!Resources[Unique Key],$AI88,[1]!Resources[Availability '#],"&gt;="&amp;2)</f>
        <v>0</v>
      </c>
      <c r="AM88" s="6">
        <f>SUMIFS([1]!Resources[Summer Rating],[1]!Resources[COD],"&lt;="&amp;AM$77,[1]!Resources[Retirement Date],"&gt;="&amp;AM$77,[1]!Resources[Unique Key],$AI88,[1]!Resources[Availability '#],"&gt;="&amp;2)</f>
        <v>0</v>
      </c>
      <c r="AN88" s="6">
        <f>SUMIFS([1]!Resources[Summer Rating],[1]!Resources[COD],"&lt;="&amp;AN$77,[1]!Resources[Retirement Date],"&gt;="&amp;AN$77,[1]!Resources[Unique Key],$AI88,[1]!Resources[Availability '#],"&gt;="&amp;2)</f>
        <v>0</v>
      </c>
      <c r="AO88" s="6">
        <f>SUMIFS([1]!Resources[Summer Rating],[1]!Resources[COD],"&lt;="&amp;AO$77,[1]!Resources[Retirement Date],"&gt;="&amp;AO$77,[1]!Resources[Unique Key],$AI88,[1]!Resources[Availability '#],"&gt;="&amp;2)</f>
        <v>0</v>
      </c>
      <c r="AP88" s="6">
        <f>SUMIFS([1]!Resources[Summer Rating],[1]!Resources[COD],"&lt;="&amp;AP$77,[1]!Resources[Retirement Date],"&gt;="&amp;AP$77,[1]!Resources[Unique Key],$AI88,[1]!Resources[Availability '#],"&gt;="&amp;2)</f>
        <v>0</v>
      </c>
      <c r="AQ88" s="6">
        <f>SUMIFS([1]!Resources[Summer Rating],[1]!Resources[COD],"&lt;="&amp;AQ$77,[1]!Resources[Retirement Date],"&gt;="&amp;AQ$77,[1]!Resources[Unique Key],$AI88,[1]!Resources[Availability '#],"&gt;="&amp;2)</f>
        <v>0</v>
      </c>
      <c r="AR88" s="6">
        <f>SUMIFS([1]!Resources[Summer Rating],[1]!Resources[COD],"&lt;="&amp;AR$77,[1]!Resources[Retirement Date],"&gt;="&amp;AR$77,[1]!Resources[Unique Key],$AI88,[1]!Resources[Availability '#],"&gt;="&amp;2)</f>
        <v>0</v>
      </c>
      <c r="AS88" s="6">
        <f>SUMIFS([1]!Resources[Summer Rating],[1]!Resources[COD],"&lt;="&amp;AS$77,[1]!Resources[Retirement Date],"&gt;="&amp;AS$77,[1]!Resources[Unique Key],$AI88,[1]!Resources[Availability '#],"&gt;="&amp;2)</f>
        <v>0</v>
      </c>
      <c r="AT88" s="6">
        <f>SUMIFS([1]!Resources[Summer Rating],[1]!Resources[COD],"&lt;="&amp;AT$77,[1]!Resources[Retirement Date],"&gt;="&amp;AT$77,[1]!Resources[Unique Key],$AI88,[1]!Resources[Availability '#],"&gt;="&amp;2)</f>
        <v>0</v>
      </c>
      <c r="AU88" s="6">
        <f>SUMIFS([1]!Resources[Summer Rating],[1]!Resources[COD],"&lt;="&amp;AU$77,[1]!Resources[Retirement Date],"&gt;="&amp;AU$77,[1]!Resources[Unique Key],$AI88,[1]!Resources[Availability '#],"&gt;="&amp;2)</f>
        <v>0</v>
      </c>
      <c r="AV88" s="6">
        <f>SUMIFS([1]!Resources[Summer Rating],[1]!Resources[COD],"&lt;="&amp;AV$77,[1]!Resources[Retirement Date],"&gt;="&amp;AV$77,[1]!Resources[Unique Key],$AI88,[1]!Resources[Availability '#],"&gt;="&amp;2)</f>
        <v>0</v>
      </c>
      <c r="AW88" s="6">
        <f>SUMIFS([1]!Resources[Summer Rating],[1]!Resources[COD],"&lt;="&amp;AW$77,[1]!Resources[Retirement Date],"&gt;="&amp;AW$77,[1]!Resources[Unique Key],$AI88,[1]!Resources[Availability '#],"&gt;="&amp;2)</f>
        <v>0</v>
      </c>
      <c r="AX88" s="6">
        <f>SUMIFS([1]!Resources[Summer Rating],[1]!Resources[COD],"&lt;="&amp;AX$77,[1]!Resources[Retirement Date],"&gt;="&amp;AX$77,[1]!Resources[Unique Key],$AI88,[1]!Resources[Availability '#],"&gt;="&amp;2)</f>
        <v>0</v>
      </c>
      <c r="AY88" s="6">
        <f>SUMIFS([1]!Resources[Summer Rating],[1]!Resources[COD],"&lt;="&amp;AY$77,[1]!Resources[Retirement Date],"&gt;="&amp;AY$77,[1]!Resources[Unique Key],$AI88,[1]!Resources[Availability '#],"&gt;="&amp;2)</f>
        <v>0</v>
      </c>
      <c r="AZ88" s="6">
        <f>SUMIFS([1]!Resources[Summer Rating],[1]!Resources[COD],"&lt;="&amp;AZ$77,[1]!Resources[Retirement Date],"&gt;="&amp;AZ$77,[1]!Resources[Unique Key],$AI88,[1]!Resources[Availability '#],"&gt;="&amp;2)</f>
        <v>0</v>
      </c>
      <c r="BA88" s="6">
        <f>SUMIFS([1]!Resources[Summer Rating],[1]!Resources[COD],"&lt;="&amp;BA$77,[1]!Resources[Retirement Date],"&gt;="&amp;BA$77,[1]!Resources[Unique Key],$AI88,[1]!Resources[Availability '#],"&gt;="&amp;2)</f>
        <v>0</v>
      </c>
      <c r="BB88" s="6">
        <f>SUMIFS([1]!Resources[Summer Rating],[1]!Resources[COD],"&lt;="&amp;BB$77,[1]!Resources[Retirement Date],"&gt;="&amp;BB$77,[1]!Resources[Unique Key],$AI88,[1]!Resources[Availability '#],"&gt;="&amp;2)</f>
        <v>0</v>
      </c>
      <c r="BC88" s="6">
        <f>SUMIFS([1]!Resources[Summer Rating],[1]!Resources[COD],"&lt;="&amp;BC$77,[1]!Resources[Retirement Date],"&gt;="&amp;BC$77,[1]!Resources[Unique Key],$AI88,[1]!Resources[Availability '#],"&gt;="&amp;2)</f>
        <v>0</v>
      </c>
      <c r="BD88" s="6">
        <f>SUMIFS([1]!Resources[Summer Rating],[1]!Resources[COD],"&lt;="&amp;BD$77,[1]!Resources[Retirement Date],"&gt;="&amp;BD$77,[1]!Resources[Unique Key],$AI88,[1]!Resources[Availability '#],"&gt;="&amp;2)</f>
        <v>0</v>
      </c>
      <c r="BE88" s="6">
        <f>SUMIFS([1]!Resources[Summer Rating],[1]!Resources[COD],"&lt;="&amp;BE$77,[1]!Resources[Retirement Date],"&gt;="&amp;BE$77,[1]!Resources[Unique Key],$AI88,[1]!Resources[Availability '#],"&gt;="&amp;2)</f>
        <v>0</v>
      </c>
      <c r="BF88" s="6">
        <f>SUMIFS([1]!Resources[Summer Rating],[1]!Resources[COD],"&lt;="&amp;BF$77,[1]!Resources[Retirement Date],"&gt;="&amp;BF$77,[1]!Resources[Unique Key],$AI88,[1]!Resources[Availability '#],"&gt;="&amp;2)</f>
        <v>0</v>
      </c>
      <c r="BG88" s="6">
        <f>SUMIFS([1]!Resources[Summer Rating],[1]!Resources[COD],"&lt;="&amp;BG$77,[1]!Resources[Retirement Date],"&gt;="&amp;BG$77,[1]!Resources[Unique Key],$AI88,[1]!Resources[Availability '#],"&gt;="&amp;2)</f>
        <v>0</v>
      </c>
      <c r="BH88" s="6">
        <f>SUMIFS([1]!Resources[Summer Rating],[1]!Resources[COD],"&lt;="&amp;BH$77,[1]!Resources[Retirement Date],"&gt;="&amp;BH$77,[1]!Resources[Unique Key],$AI88,[1]!Resources[Availability '#],"&gt;="&amp;2)</f>
        <v>0</v>
      </c>
      <c r="BI88" s="6">
        <f>SUMIFS([1]!Resources[Summer Rating],[1]!Resources[COD],"&lt;="&amp;BI$77,[1]!Resources[Retirement Date],"&gt;="&amp;BI$77,[1]!Resources[Unique Key],$AI88,[1]!Resources[Availability '#],"&gt;="&amp;2)</f>
        <v>0</v>
      </c>
      <c r="BK88" s="5" t="s">
        <v>54</v>
      </c>
      <c r="BL88" s="20">
        <v>1.284</v>
      </c>
      <c r="BM88" s="20">
        <v>1.284</v>
      </c>
      <c r="BN88" s="20">
        <v>1.284</v>
      </c>
      <c r="BO88" s="20">
        <v>1.284</v>
      </c>
      <c r="BP88" s="20">
        <v>1.284</v>
      </c>
      <c r="BQ88" s="20">
        <v>0</v>
      </c>
      <c r="BR88" s="20">
        <v>0</v>
      </c>
      <c r="BS88" s="20">
        <v>0</v>
      </c>
      <c r="BT88" s="20">
        <v>0</v>
      </c>
      <c r="BU88" s="20">
        <v>0</v>
      </c>
      <c r="BV88" s="20">
        <v>0</v>
      </c>
      <c r="BW88" s="20">
        <v>0</v>
      </c>
      <c r="BX88" s="20">
        <v>0</v>
      </c>
      <c r="BY88" s="20">
        <v>0</v>
      </c>
      <c r="BZ88" s="20">
        <v>0</v>
      </c>
      <c r="CA88" s="20">
        <v>0</v>
      </c>
      <c r="CB88" s="20">
        <v>0</v>
      </c>
      <c r="CC88" s="20">
        <v>0</v>
      </c>
      <c r="CD88" s="20">
        <v>0</v>
      </c>
      <c r="CE88" s="20">
        <v>0</v>
      </c>
      <c r="CF88" s="20">
        <v>0</v>
      </c>
      <c r="CG88" s="20">
        <v>0</v>
      </c>
      <c r="CH88" s="20">
        <v>0</v>
      </c>
      <c r="CI88" s="20">
        <v>0</v>
      </c>
      <c r="CJ88" s="20">
        <v>0</v>
      </c>
      <c r="CK88" s="20">
        <v>0</v>
      </c>
      <c r="CM88" s="5" t="s">
        <v>54</v>
      </c>
      <c r="CN88" s="21">
        <v>1.2010000000000001</v>
      </c>
      <c r="CO88" s="22">
        <v>1.2010000000000001</v>
      </c>
      <c r="CP88" s="22">
        <v>1.2010000000000001</v>
      </c>
      <c r="CQ88" s="22">
        <v>1.2010000000000001</v>
      </c>
      <c r="CR88" s="22">
        <v>1.2010000000000001</v>
      </c>
      <c r="CS88" s="22">
        <v>0</v>
      </c>
      <c r="CT88" s="22">
        <v>0</v>
      </c>
      <c r="CU88" s="22">
        <v>0</v>
      </c>
      <c r="CV88" s="22">
        <v>0</v>
      </c>
      <c r="CW88" s="22">
        <v>0</v>
      </c>
      <c r="CX88" s="22">
        <v>0</v>
      </c>
      <c r="CY88" s="22">
        <v>0</v>
      </c>
      <c r="CZ88" s="22">
        <v>0</v>
      </c>
      <c r="DA88" s="22">
        <v>0</v>
      </c>
      <c r="DB88" s="22">
        <v>0</v>
      </c>
      <c r="DC88" s="22">
        <v>0</v>
      </c>
      <c r="DD88" s="22">
        <v>0</v>
      </c>
      <c r="DE88" s="22">
        <v>0</v>
      </c>
      <c r="DF88" s="22">
        <v>0</v>
      </c>
      <c r="DG88" s="22">
        <v>0</v>
      </c>
      <c r="DH88" s="22">
        <v>0</v>
      </c>
      <c r="DI88" s="22">
        <v>0</v>
      </c>
      <c r="DJ88" s="22">
        <v>0</v>
      </c>
      <c r="DK88" s="22">
        <v>0</v>
      </c>
      <c r="DL88" s="22">
        <v>0</v>
      </c>
      <c r="DM88" s="22">
        <v>0</v>
      </c>
      <c r="DO88" s="5" t="s">
        <v>54</v>
      </c>
      <c r="DP88" s="23">
        <v>0.43</v>
      </c>
      <c r="DQ88" s="23">
        <v>0.43</v>
      </c>
      <c r="DR88" s="23">
        <v>0.43</v>
      </c>
      <c r="DS88" s="23">
        <v>0.43</v>
      </c>
      <c r="DT88" s="23">
        <v>0.43</v>
      </c>
      <c r="DU88" s="23">
        <v>0</v>
      </c>
      <c r="DV88" s="23">
        <v>0</v>
      </c>
      <c r="DW88" s="23">
        <v>0</v>
      </c>
      <c r="DX88" s="23">
        <v>0</v>
      </c>
      <c r="DY88" s="23">
        <v>0</v>
      </c>
      <c r="DZ88" s="23">
        <v>0</v>
      </c>
      <c r="EA88" s="23">
        <v>0</v>
      </c>
      <c r="EB88" s="23">
        <v>0</v>
      </c>
      <c r="EC88" s="23">
        <v>0</v>
      </c>
      <c r="ED88" s="23">
        <v>0</v>
      </c>
      <c r="EE88" s="23">
        <v>0</v>
      </c>
      <c r="EF88" s="23">
        <v>0</v>
      </c>
      <c r="EG88" s="23">
        <v>0</v>
      </c>
      <c r="EH88" s="23">
        <v>0</v>
      </c>
      <c r="EI88" s="23">
        <v>0</v>
      </c>
      <c r="EJ88" s="23">
        <v>0</v>
      </c>
      <c r="EK88" s="23">
        <v>0</v>
      </c>
      <c r="EL88" s="23">
        <v>0</v>
      </c>
      <c r="EM88" s="23">
        <v>0</v>
      </c>
      <c r="EN88" s="23">
        <v>0</v>
      </c>
      <c r="EO88" s="23">
        <v>0</v>
      </c>
      <c r="EP88" s="24">
        <f ca="1">IFERROR(INDEX('[1]GenX Resources'!$AP$10:$AP$46,MATCH(DO88,'[1]GenX Resources'!$B$10:$B$46,0)),0)</f>
        <v>0.43</v>
      </c>
      <c r="EQ88" s="2" t="b">
        <f t="shared" ca="1" si="35"/>
        <v>1</v>
      </c>
      <c r="ES88" s="25">
        <f ca="1">IFERROR(INDEX('[1]GenX Resources'!$AD:$AD,MATCH($G88,'[1]GenX Resources'!$B:$B,0)) - IF(OR(INDEX('[1]GenX Resources'!$L:$L,MATCH($G88,'[1]GenX Resources'!$B:$B,0)),ISNUMBER(SEARCH("New Generic",$G88))),0,INDEX('[1]GenX Resources'!$M:$M,MATCH($G88,'[1]GenX Resources'!$B:$B,0))),0)</f>
        <v>70000</v>
      </c>
      <c r="EU88" s="5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</row>
    <row r="89" spans="6:177" ht="16" x14ac:dyDescent="0.2">
      <c r="F89" s="19" t="str">
        <f>IFERROR(INDEX('[1]GenX Resources'!$A$10:$A$76,MATCH(G89,'[1]GenX Resources'!$B$10:$B$76,0)),"")</f>
        <v>Gas CT</v>
      </c>
      <c r="G89" s="5" t="s">
        <v>55</v>
      </c>
      <c r="H89" s="6">
        <v>604</v>
      </c>
      <c r="I89" s="6">
        <v>604</v>
      </c>
      <c r="J89" s="6">
        <v>604</v>
      </c>
      <c r="K89" s="6">
        <v>604</v>
      </c>
      <c r="L89" s="6">
        <v>604</v>
      </c>
      <c r="M89" s="6">
        <v>604</v>
      </c>
      <c r="N89" s="6">
        <v>604</v>
      </c>
      <c r="O89" s="6">
        <v>604</v>
      </c>
      <c r="P89" s="6">
        <v>604</v>
      </c>
      <c r="Q89" s="6">
        <v>604</v>
      </c>
      <c r="R89" s="6">
        <v>604</v>
      </c>
      <c r="S89" s="6">
        <v>604</v>
      </c>
      <c r="T89" s="6">
        <v>604</v>
      </c>
      <c r="U89" s="6">
        <v>604</v>
      </c>
      <c r="V89" s="6">
        <v>604</v>
      </c>
      <c r="W89" s="6">
        <v>604</v>
      </c>
      <c r="X89" s="6">
        <v>604</v>
      </c>
      <c r="Y89" s="6">
        <v>604</v>
      </c>
      <c r="Z89" s="6">
        <v>604</v>
      </c>
      <c r="AA89" s="6">
        <v>604</v>
      </c>
      <c r="AB89" s="6">
        <v>604</v>
      </c>
      <c r="AC89" s="6">
        <v>604</v>
      </c>
      <c r="AD89" s="6">
        <v>604</v>
      </c>
      <c r="AE89" s="6">
        <v>604</v>
      </c>
      <c r="AF89" s="6">
        <v>604</v>
      </c>
      <c r="AG89" s="6">
        <v>604</v>
      </c>
      <c r="AI89" s="5" t="s">
        <v>55</v>
      </c>
      <c r="AJ89" s="6">
        <f>SUMIFS([1]!Resources[Summer Rating],[1]!Resources[COD],"&lt;="&amp;AJ$77,[1]!Resources[Retirement Date],"&gt;="&amp;AJ$77,[1]!Resources[Unique Key],$AI89,[1]!Resources[Availability '#],"&gt;="&amp;2)</f>
        <v>0</v>
      </c>
      <c r="AK89" s="6">
        <f>SUMIFS([1]!Resources[Summer Rating],[1]!Resources[COD],"&lt;="&amp;AK$77,[1]!Resources[Retirement Date],"&gt;="&amp;AK$77,[1]!Resources[Unique Key],$AI89,[1]!Resources[Availability '#],"&gt;="&amp;2)</f>
        <v>0</v>
      </c>
      <c r="AL89" s="6">
        <f>SUMIFS([1]!Resources[Summer Rating],[1]!Resources[COD],"&lt;="&amp;AL$77,[1]!Resources[Retirement Date],"&gt;="&amp;AL$77,[1]!Resources[Unique Key],$AI89,[1]!Resources[Availability '#],"&gt;="&amp;2)</f>
        <v>0</v>
      </c>
      <c r="AM89" s="6">
        <f>SUMIFS([1]!Resources[Summer Rating],[1]!Resources[COD],"&lt;="&amp;AM$77,[1]!Resources[Retirement Date],"&gt;="&amp;AM$77,[1]!Resources[Unique Key],$AI89,[1]!Resources[Availability '#],"&gt;="&amp;2)</f>
        <v>0</v>
      </c>
      <c r="AN89" s="6">
        <f>SUMIFS([1]!Resources[Summer Rating],[1]!Resources[COD],"&lt;="&amp;AN$77,[1]!Resources[Retirement Date],"&gt;="&amp;AN$77,[1]!Resources[Unique Key],$AI89,[1]!Resources[Availability '#],"&gt;="&amp;2)</f>
        <v>0</v>
      </c>
      <c r="AO89" s="6">
        <f>SUMIFS([1]!Resources[Summer Rating],[1]!Resources[COD],"&lt;="&amp;AO$77,[1]!Resources[Retirement Date],"&gt;="&amp;AO$77,[1]!Resources[Unique Key],$AI89,[1]!Resources[Availability '#],"&gt;="&amp;2)</f>
        <v>0</v>
      </c>
      <c r="AP89" s="6">
        <f>SUMIFS([1]!Resources[Summer Rating],[1]!Resources[COD],"&lt;="&amp;AP$77,[1]!Resources[Retirement Date],"&gt;="&amp;AP$77,[1]!Resources[Unique Key],$AI89,[1]!Resources[Availability '#],"&gt;="&amp;2)</f>
        <v>0</v>
      </c>
      <c r="AQ89" s="6">
        <f>SUMIFS([1]!Resources[Summer Rating],[1]!Resources[COD],"&lt;="&amp;AQ$77,[1]!Resources[Retirement Date],"&gt;="&amp;AQ$77,[1]!Resources[Unique Key],$AI89,[1]!Resources[Availability '#],"&gt;="&amp;2)</f>
        <v>0</v>
      </c>
      <c r="AR89" s="6">
        <f>SUMIFS([1]!Resources[Summer Rating],[1]!Resources[COD],"&lt;="&amp;AR$77,[1]!Resources[Retirement Date],"&gt;="&amp;AR$77,[1]!Resources[Unique Key],$AI89,[1]!Resources[Availability '#],"&gt;="&amp;2)</f>
        <v>0</v>
      </c>
      <c r="AS89" s="6">
        <f>SUMIFS([1]!Resources[Summer Rating],[1]!Resources[COD],"&lt;="&amp;AS$77,[1]!Resources[Retirement Date],"&gt;="&amp;AS$77,[1]!Resources[Unique Key],$AI89,[1]!Resources[Availability '#],"&gt;="&amp;2)</f>
        <v>0</v>
      </c>
      <c r="AT89" s="6">
        <f>SUMIFS([1]!Resources[Summer Rating],[1]!Resources[COD],"&lt;="&amp;AT$77,[1]!Resources[Retirement Date],"&gt;="&amp;AT$77,[1]!Resources[Unique Key],$AI89,[1]!Resources[Availability '#],"&gt;="&amp;2)</f>
        <v>0</v>
      </c>
      <c r="AU89" s="6">
        <f>SUMIFS([1]!Resources[Summer Rating],[1]!Resources[COD],"&lt;="&amp;AU$77,[1]!Resources[Retirement Date],"&gt;="&amp;AU$77,[1]!Resources[Unique Key],$AI89,[1]!Resources[Availability '#],"&gt;="&amp;2)</f>
        <v>0</v>
      </c>
      <c r="AV89" s="6">
        <f>SUMIFS([1]!Resources[Summer Rating],[1]!Resources[COD],"&lt;="&amp;AV$77,[1]!Resources[Retirement Date],"&gt;="&amp;AV$77,[1]!Resources[Unique Key],$AI89,[1]!Resources[Availability '#],"&gt;="&amp;2)</f>
        <v>0</v>
      </c>
      <c r="AW89" s="6">
        <f>SUMIFS([1]!Resources[Summer Rating],[1]!Resources[COD],"&lt;="&amp;AW$77,[1]!Resources[Retirement Date],"&gt;="&amp;AW$77,[1]!Resources[Unique Key],$AI89,[1]!Resources[Availability '#],"&gt;="&amp;2)</f>
        <v>0</v>
      </c>
      <c r="AX89" s="6">
        <f>SUMIFS([1]!Resources[Summer Rating],[1]!Resources[COD],"&lt;="&amp;AX$77,[1]!Resources[Retirement Date],"&gt;="&amp;AX$77,[1]!Resources[Unique Key],$AI89,[1]!Resources[Availability '#],"&gt;="&amp;2)</f>
        <v>0</v>
      </c>
      <c r="AY89" s="6">
        <f>SUMIFS([1]!Resources[Summer Rating],[1]!Resources[COD],"&lt;="&amp;AY$77,[1]!Resources[Retirement Date],"&gt;="&amp;AY$77,[1]!Resources[Unique Key],$AI89,[1]!Resources[Availability '#],"&gt;="&amp;2)</f>
        <v>0</v>
      </c>
      <c r="AZ89" s="6">
        <f>SUMIFS([1]!Resources[Summer Rating],[1]!Resources[COD],"&lt;="&amp;AZ$77,[1]!Resources[Retirement Date],"&gt;="&amp;AZ$77,[1]!Resources[Unique Key],$AI89,[1]!Resources[Availability '#],"&gt;="&amp;2)</f>
        <v>0</v>
      </c>
      <c r="BA89" s="6">
        <f>SUMIFS([1]!Resources[Summer Rating],[1]!Resources[COD],"&lt;="&amp;BA$77,[1]!Resources[Retirement Date],"&gt;="&amp;BA$77,[1]!Resources[Unique Key],$AI89,[1]!Resources[Availability '#],"&gt;="&amp;2)</f>
        <v>0</v>
      </c>
      <c r="BB89" s="6">
        <f>SUMIFS([1]!Resources[Summer Rating],[1]!Resources[COD],"&lt;="&amp;BB$77,[1]!Resources[Retirement Date],"&gt;="&amp;BB$77,[1]!Resources[Unique Key],$AI89,[1]!Resources[Availability '#],"&gt;="&amp;2)</f>
        <v>0</v>
      </c>
      <c r="BC89" s="6">
        <f>SUMIFS([1]!Resources[Summer Rating],[1]!Resources[COD],"&lt;="&amp;BC$77,[1]!Resources[Retirement Date],"&gt;="&amp;BC$77,[1]!Resources[Unique Key],$AI89,[1]!Resources[Availability '#],"&gt;="&amp;2)</f>
        <v>0</v>
      </c>
      <c r="BD89" s="6">
        <f>SUMIFS([1]!Resources[Summer Rating],[1]!Resources[COD],"&lt;="&amp;BD$77,[1]!Resources[Retirement Date],"&gt;="&amp;BD$77,[1]!Resources[Unique Key],$AI89,[1]!Resources[Availability '#],"&gt;="&amp;2)</f>
        <v>0</v>
      </c>
      <c r="BE89" s="6">
        <f>SUMIFS([1]!Resources[Summer Rating],[1]!Resources[COD],"&lt;="&amp;BE$77,[1]!Resources[Retirement Date],"&gt;="&amp;BE$77,[1]!Resources[Unique Key],$AI89,[1]!Resources[Availability '#],"&gt;="&amp;2)</f>
        <v>0</v>
      </c>
      <c r="BF89" s="6">
        <f>SUMIFS([1]!Resources[Summer Rating],[1]!Resources[COD],"&lt;="&amp;BF$77,[1]!Resources[Retirement Date],"&gt;="&amp;BF$77,[1]!Resources[Unique Key],$AI89,[1]!Resources[Availability '#],"&gt;="&amp;2)</f>
        <v>0</v>
      </c>
      <c r="BG89" s="6">
        <f>SUMIFS([1]!Resources[Summer Rating],[1]!Resources[COD],"&lt;="&amp;BG$77,[1]!Resources[Retirement Date],"&gt;="&amp;BG$77,[1]!Resources[Unique Key],$AI89,[1]!Resources[Availability '#],"&gt;="&amp;2)</f>
        <v>0</v>
      </c>
      <c r="BH89" s="6">
        <f>SUMIFS([1]!Resources[Summer Rating],[1]!Resources[COD],"&lt;="&amp;BH$77,[1]!Resources[Retirement Date],"&gt;="&amp;BH$77,[1]!Resources[Unique Key],$AI89,[1]!Resources[Availability '#],"&gt;="&amp;2)</f>
        <v>0</v>
      </c>
      <c r="BI89" s="6">
        <f>SUMIFS([1]!Resources[Summer Rating],[1]!Resources[COD],"&lt;="&amp;BI$77,[1]!Resources[Retirement Date],"&gt;="&amp;BI$77,[1]!Resources[Unique Key],$AI89,[1]!Resources[Availability '#],"&gt;="&amp;2)</f>
        <v>0</v>
      </c>
      <c r="BK89" s="5" t="s">
        <v>55</v>
      </c>
      <c r="BL89" s="20">
        <v>1.534</v>
      </c>
      <c r="BM89" s="20">
        <v>1.534</v>
      </c>
      <c r="BN89" s="20">
        <v>1.534</v>
      </c>
      <c r="BO89" s="20">
        <v>1.534</v>
      </c>
      <c r="BP89" s="20">
        <v>1.534</v>
      </c>
      <c r="BQ89" s="20">
        <v>0.21199999999999999</v>
      </c>
      <c r="BR89" s="20">
        <v>0.21199999999999999</v>
      </c>
      <c r="BS89" s="20">
        <v>0.21199999999999999</v>
      </c>
      <c r="BT89" s="20">
        <v>0.21199999999999999</v>
      </c>
      <c r="BU89" s="20">
        <v>0.21199999999999999</v>
      </c>
      <c r="BV89" s="20">
        <v>0.21199999999999999</v>
      </c>
      <c r="BW89" s="20">
        <v>1.534</v>
      </c>
      <c r="BX89" s="20">
        <v>1.534</v>
      </c>
      <c r="BY89" s="20">
        <v>1.534</v>
      </c>
      <c r="BZ89" s="20">
        <v>0.21199999999999999</v>
      </c>
      <c r="CA89" s="20">
        <v>0.21199999999999999</v>
      </c>
      <c r="CB89" s="20">
        <v>0.21199999999999999</v>
      </c>
      <c r="CC89" s="20">
        <v>0.78500000000000003</v>
      </c>
      <c r="CD89" s="20">
        <v>0.27800000000000002</v>
      </c>
      <c r="CE89" s="20">
        <v>0.76500000000000001</v>
      </c>
      <c r="CF89" s="20">
        <v>0.875</v>
      </c>
      <c r="CG89" s="20">
        <v>1.5289999999999999</v>
      </c>
      <c r="CH89" s="20">
        <v>0.72599999999999998</v>
      </c>
      <c r="CI89" s="20">
        <v>1.534</v>
      </c>
      <c r="CJ89" s="20">
        <v>1.534</v>
      </c>
      <c r="CK89" s="20">
        <v>1.534</v>
      </c>
      <c r="CM89" s="5" t="s">
        <v>55</v>
      </c>
      <c r="CN89" s="21">
        <v>1.0629999999999999</v>
      </c>
      <c r="CO89" s="22">
        <v>1.0629999999999999</v>
      </c>
      <c r="CP89" s="22">
        <v>1.0629999999999999</v>
      </c>
      <c r="CQ89" s="22">
        <v>1.0629999999999999</v>
      </c>
      <c r="CR89" s="22">
        <v>1.0629999999999999</v>
      </c>
      <c r="CS89" s="22">
        <v>0.14699999999999999</v>
      </c>
      <c r="CT89" s="22">
        <v>0.14699999999999999</v>
      </c>
      <c r="CU89" s="22">
        <v>0.14699999999999999</v>
      </c>
      <c r="CV89" s="22">
        <v>0.14699999999999999</v>
      </c>
      <c r="CW89" s="22">
        <v>0.14699999999999999</v>
      </c>
      <c r="CX89" s="22">
        <v>0.14699999999999999</v>
      </c>
      <c r="CY89" s="22">
        <v>1.0629999999999999</v>
      </c>
      <c r="CZ89" s="22">
        <v>1.0629999999999999</v>
      </c>
      <c r="DA89" s="22">
        <v>1.0629999999999999</v>
      </c>
      <c r="DB89" s="22">
        <v>0.14699999999999999</v>
      </c>
      <c r="DC89" s="22">
        <v>0.14699999999999999</v>
      </c>
      <c r="DD89" s="22">
        <v>0.14699999999999999</v>
      </c>
      <c r="DE89" s="22">
        <v>0.54400000000000004</v>
      </c>
      <c r="DF89" s="22">
        <v>0.193</v>
      </c>
      <c r="DG89" s="22">
        <v>0.53</v>
      </c>
      <c r="DH89" s="22">
        <v>0.60599999999999998</v>
      </c>
      <c r="DI89" s="22">
        <v>1.0589999999999999</v>
      </c>
      <c r="DJ89" s="22">
        <v>0.503</v>
      </c>
      <c r="DK89" s="22">
        <v>1.0629999999999999</v>
      </c>
      <c r="DL89" s="22">
        <v>1.0629999999999999</v>
      </c>
      <c r="DM89" s="22">
        <v>1.0629999999999999</v>
      </c>
      <c r="DO89" s="5" t="s">
        <v>55</v>
      </c>
      <c r="DP89" s="23">
        <v>0.28999999999999998</v>
      </c>
      <c r="DQ89" s="23">
        <v>0.28999999999999998</v>
      </c>
      <c r="DR89" s="23">
        <v>0.28999999999999998</v>
      </c>
      <c r="DS89" s="23">
        <v>0.28999999999999998</v>
      </c>
      <c r="DT89" s="23">
        <v>0.28999999999999998</v>
      </c>
      <c r="DU89" s="23">
        <v>0.04</v>
      </c>
      <c r="DV89" s="23">
        <v>0.04</v>
      </c>
      <c r="DW89" s="23">
        <v>0.04</v>
      </c>
      <c r="DX89" s="23">
        <v>0.04</v>
      </c>
      <c r="DY89" s="23">
        <v>0.04</v>
      </c>
      <c r="DZ89" s="23">
        <v>0.04</v>
      </c>
      <c r="EA89" s="23">
        <v>0.28999999999999998</v>
      </c>
      <c r="EB89" s="23">
        <v>0.28999999999999998</v>
      </c>
      <c r="EC89" s="23">
        <v>0.28999999999999998</v>
      </c>
      <c r="ED89" s="23">
        <v>0.04</v>
      </c>
      <c r="EE89" s="23">
        <v>0.04</v>
      </c>
      <c r="EF89" s="23">
        <v>0.04</v>
      </c>
      <c r="EG89" s="23">
        <v>0.14799999999999999</v>
      </c>
      <c r="EH89" s="23">
        <v>5.2999999999999999E-2</v>
      </c>
      <c r="EI89" s="23">
        <v>0.14499999999999999</v>
      </c>
      <c r="EJ89" s="23">
        <v>0.16500000000000001</v>
      </c>
      <c r="EK89" s="23">
        <v>0.28899999999999998</v>
      </c>
      <c r="EL89" s="23">
        <v>0.13700000000000001</v>
      </c>
      <c r="EM89" s="23">
        <v>0.28999999999999998</v>
      </c>
      <c r="EN89" s="23">
        <v>0.28999999999999998</v>
      </c>
      <c r="EO89" s="23">
        <v>0.28999999999999998</v>
      </c>
      <c r="EP89" s="24">
        <f ca="1">IFERROR(INDEX('[1]GenX Resources'!$AP$10:$AP$46,MATCH(DO89,'[1]GenX Resources'!$B$10:$B$46,0)),0)</f>
        <v>0.04</v>
      </c>
      <c r="EQ89" s="2" t="b">
        <f t="shared" ca="1" si="35"/>
        <v>1</v>
      </c>
      <c r="ES89" s="25">
        <f ca="1">IFERROR(INDEX('[1]GenX Resources'!$AD:$AD,MATCH($G89,'[1]GenX Resources'!$B:$B,0)) - IF(OR(INDEX('[1]GenX Resources'!$L:$L,MATCH($G89,'[1]GenX Resources'!$B:$B,0)),ISNUMBER(SEARCH("New Generic",$G89))),0,INDEX('[1]GenX Resources'!$M:$M,MATCH($G89,'[1]GenX Resources'!$B:$B,0))),0)</f>
        <v>25700</v>
      </c>
      <c r="EU89" s="5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</row>
    <row r="90" spans="6:177" ht="16" x14ac:dyDescent="0.2">
      <c r="F90" s="19" t="str">
        <f>IFERROR(INDEX('[1]GenX Resources'!$A$10:$A$76,MATCH(G90,'[1]GenX Resources'!$B$10:$B$76,0)),"")</f>
        <v>Gas CT</v>
      </c>
      <c r="G90" s="5" t="s">
        <v>56</v>
      </c>
      <c r="H90" s="6">
        <v>150</v>
      </c>
      <c r="I90" s="6">
        <v>150</v>
      </c>
      <c r="J90" s="6">
        <v>150</v>
      </c>
      <c r="K90" s="6">
        <v>150</v>
      </c>
      <c r="L90" s="6">
        <v>150</v>
      </c>
      <c r="M90" s="6">
        <v>150</v>
      </c>
      <c r="N90" s="6">
        <v>150</v>
      </c>
      <c r="O90" s="6">
        <v>150</v>
      </c>
      <c r="P90" s="6">
        <v>150</v>
      </c>
      <c r="Q90" s="6">
        <v>150</v>
      </c>
      <c r="R90" s="6">
        <v>150</v>
      </c>
      <c r="S90" s="6">
        <v>150</v>
      </c>
      <c r="T90" s="6">
        <v>150</v>
      </c>
      <c r="U90" s="6">
        <v>150</v>
      </c>
      <c r="V90" s="6">
        <v>150</v>
      </c>
      <c r="W90" s="6">
        <v>150</v>
      </c>
      <c r="X90" s="6">
        <v>150</v>
      </c>
      <c r="Y90" s="6">
        <v>150</v>
      </c>
      <c r="Z90" s="6">
        <v>150</v>
      </c>
      <c r="AA90" s="6">
        <v>150</v>
      </c>
      <c r="AB90" s="6">
        <v>150</v>
      </c>
      <c r="AC90" s="6">
        <v>150</v>
      </c>
      <c r="AD90" s="6">
        <v>150</v>
      </c>
      <c r="AE90" s="6">
        <v>150</v>
      </c>
      <c r="AF90" s="6">
        <v>150</v>
      </c>
      <c r="AG90" s="6">
        <v>150</v>
      </c>
      <c r="AI90" s="5" t="s">
        <v>56</v>
      </c>
      <c r="AJ90" s="6">
        <f>SUMIFS([1]!Resources[Summer Rating],[1]!Resources[COD],"&lt;="&amp;AJ$77,[1]!Resources[Retirement Date],"&gt;="&amp;AJ$77,[1]!Resources[Unique Key],$AI90,[1]!Resources[Availability '#],"&gt;="&amp;2)</f>
        <v>0</v>
      </c>
      <c r="AK90" s="6">
        <f>SUMIFS([1]!Resources[Summer Rating],[1]!Resources[COD],"&lt;="&amp;AK$77,[1]!Resources[Retirement Date],"&gt;="&amp;AK$77,[1]!Resources[Unique Key],$AI90,[1]!Resources[Availability '#],"&gt;="&amp;2)</f>
        <v>0</v>
      </c>
      <c r="AL90" s="6">
        <f>SUMIFS([1]!Resources[Summer Rating],[1]!Resources[COD],"&lt;="&amp;AL$77,[1]!Resources[Retirement Date],"&gt;="&amp;AL$77,[1]!Resources[Unique Key],$AI90,[1]!Resources[Availability '#],"&gt;="&amp;2)</f>
        <v>0</v>
      </c>
      <c r="AM90" s="6">
        <f>SUMIFS([1]!Resources[Summer Rating],[1]!Resources[COD],"&lt;="&amp;AM$77,[1]!Resources[Retirement Date],"&gt;="&amp;AM$77,[1]!Resources[Unique Key],$AI90,[1]!Resources[Availability '#],"&gt;="&amp;2)</f>
        <v>0</v>
      </c>
      <c r="AN90" s="6">
        <f>SUMIFS([1]!Resources[Summer Rating],[1]!Resources[COD],"&lt;="&amp;AN$77,[1]!Resources[Retirement Date],"&gt;="&amp;AN$77,[1]!Resources[Unique Key],$AI90,[1]!Resources[Availability '#],"&gt;="&amp;2)</f>
        <v>0</v>
      </c>
      <c r="AO90" s="6">
        <f>SUMIFS([1]!Resources[Summer Rating],[1]!Resources[COD],"&lt;="&amp;AO$77,[1]!Resources[Retirement Date],"&gt;="&amp;AO$77,[1]!Resources[Unique Key],$AI90,[1]!Resources[Availability '#],"&gt;="&amp;2)</f>
        <v>0</v>
      </c>
      <c r="AP90" s="6">
        <f>SUMIFS([1]!Resources[Summer Rating],[1]!Resources[COD],"&lt;="&amp;AP$77,[1]!Resources[Retirement Date],"&gt;="&amp;AP$77,[1]!Resources[Unique Key],$AI90,[1]!Resources[Availability '#],"&gt;="&amp;2)</f>
        <v>0</v>
      </c>
      <c r="AQ90" s="6">
        <f>SUMIFS([1]!Resources[Summer Rating],[1]!Resources[COD],"&lt;="&amp;AQ$77,[1]!Resources[Retirement Date],"&gt;="&amp;AQ$77,[1]!Resources[Unique Key],$AI90,[1]!Resources[Availability '#],"&gt;="&amp;2)</f>
        <v>0</v>
      </c>
      <c r="AR90" s="6">
        <f>SUMIFS([1]!Resources[Summer Rating],[1]!Resources[COD],"&lt;="&amp;AR$77,[1]!Resources[Retirement Date],"&gt;="&amp;AR$77,[1]!Resources[Unique Key],$AI90,[1]!Resources[Availability '#],"&gt;="&amp;2)</f>
        <v>0</v>
      </c>
      <c r="AS90" s="6">
        <f>SUMIFS([1]!Resources[Summer Rating],[1]!Resources[COD],"&lt;="&amp;AS$77,[1]!Resources[Retirement Date],"&gt;="&amp;AS$77,[1]!Resources[Unique Key],$AI90,[1]!Resources[Availability '#],"&gt;="&amp;2)</f>
        <v>0</v>
      </c>
      <c r="AT90" s="6">
        <f>SUMIFS([1]!Resources[Summer Rating],[1]!Resources[COD],"&lt;="&amp;AT$77,[1]!Resources[Retirement Date],"&gt;="&amp;AT$77,[1]!Resources[Unique Key],$AI90,[1]!Resources[Availability '#],"&gt;="&amp;2)</f>
        <v>0</v>
      </c>
      <c r="AU90" s="6">
        <f>SUMIFS([1]!Resources[Summer Rating],[1]!Resources[COD],"&lt;="&amp;AU$77,[1]!Resources[Retirement Date],"&gt;="&amp;AU$77,[1]!Resources[Unique Key],$AI90,[1]!Resources[Availability '#],"&gt;="&amp;2)</f>
        <v>0</v>
      </c>
      <c r="AV90" s="6">
        <f>SUMIFS([1]!Resources[Summer Rating],[1]!Resources[COD],"&lt;="&amp;AV$77,[1]!Resources[Retirement Date],"&gt;="&amp;AV$77,[1]!Resources[Unique Key],$AI90,[1]!Resources[Availability '#],"&gt;="&amp;2)</f>
        <v>0</v>
      </c>
      <c r="AW90" s="6">
        <f>SUMIFS([1]!Resources[Summer Rating],[1]!Resources[COD],"&lt;="&amp;AW$77,[1]!Resources[Retirement Date],"&gt;="&amp;AW$77,[1]!Resources[Unique Key],$AI90,[1]!Resources[Availability '#],"&gt;="&amp;2)</f>
        <v>0</v>
      </c>
      <c r="AX90" s="6">
        <f>SUMIFS([1]!Resources[Summer Rating],[1]!Resources[COD],"&lt;="&amp;AX$77,[1]!Resources[Retirement Date],"&gt;="&amp;AX$77,[1]!Resources[Unique Key],$AI90,[1]!Resources[Availability '#],"&gt;="&amp;2)</f>
        <v>0</v>
      </c>
      <c r="AY90" s="6">
        <f>SUMIFS([1]!Resources[Summer Rating],[1]!Resources[COD],"&lt;="&amp;AY$77,[1]!Resources[Retirement Date],"&gt;="&amp;AY$77,[1]!Resources[Unique Key],$AI90,[1]!Resources[Availability '#],"&gt;="&amp;2)</f>
        <v>0</v>
      </c>
      <c r="AZ90" s="6">
        <f>SUMIFS([1]!Resources[Summer Rating],[1]!Resources[COD],"&lt;="&amp;AZ$77,[1]!Resources[Retirement Date],"&gt;="&amp;AZ$77,[1]!Resources[Unique Key],$AI90,[1]!Resources[Availability '#],"&gt;="&amp;2)</f>
        <v>0</v>
      </c>
      <c r="BA90" s="6">
        <f>SUMIFS([1]!Resources[Summer Rating],[1]!Resources[COD],"&lt;="&amp;BA$77,[1]!Resources[Retirement Date],"&gt;="&amp;BA$77,[1]!Resources[Unique Key],$AI90,[1]!Resources[Availability '#],"&gt;="&amp;2)</f>
        <v>0</v>
      </c>
      <c r="BB90" s="6">
        <f>SUMIFS([1]!Resources[Summer Rating],[1]!Resources[COD],"&lt;="&amp;BB$77,[1]!Resources[Retirement Date],"&gt;="&amp;BB$77,[1]!Resources[Unique Key],$AI90,[1]!Resources[Availability '#],"&gt;="&amp;2)</f>
        <v>0</v>
      </c>
      <c r="BC90" s="6">
        <f>SUMIFS([1]!Resources[Summer Rating],[1]!Resources[COD],"&lt;="&amp;BC$77,[1]!Resources[Retirement Date],"&gt;="&amp;BC$77,[1]!Resources[Unique Key],$AI90,[1]!Resources[Availability '#],"&gt;="&amp;2)</f>
        <v>0</v>
      </c>
      <c r="BD90" s="6">
        <f>SUMIFS([1]!Resources[Summer Rating],[1]!Resources[COD],"&lt;="&amp;BD$77,[1]!Resources[Retirement Date],"&gt;="&amp;BD$77,[1]!Resources[Unique Key],$AI90,[1]!Resources[Availability '#],"&gt;="&amp;2)</f>
        <v>0</v>
      </c>
      <c r="BE90" s="6">
        <f>SUMIFS([1]!Resources[Summer Rating],[1]!Resources[COD],"&lt;="&amp;BE$77,[1]!Resources[Retirement Date],"&gt;="&amp;BE$77,[1]!Resources[Unique Key],$AI90,[1]!Resources[Availability '#],"&gt;="&amp;2)</f>
        <v>0</v>
      </c>
      <c r="BF90" s="6">
        <f>SUMIFS([1]!Resources[Summer Rating],[1]!Resources[COD],"&lt;="&amp;BF$77,[1]!Resources[Retirement Date],"&gt;="&amp;BF$77,[1]!Resources[Unique Key],$AI90,[1]!Resources[Availability '#],"&gt;="&amp;2)</f>
        <v>0</v>
      </c>
      <c r="BG90" s="6">
        <f>SUMIFS([1]!Resources[Summer Rating],[1]!Resources[COD],"&lt;="&amp;BG$77,[1]!Resources[Retirement Date],"&gt;="&amp;BG$77,[1]!Resources[Unique Key],$AI90,[1]!Resources[Availability '#],"&gt;="&amp;2)</f>
        <v>0</v>
      </c>
      <c r="BH90" s="6">
        <f>SUMIFS([1]!Resources[Summer Rating],[1]!Resources[COD],"&lt;="&amp;BH$77,[1]!Resources[Retirement Date],"&gt;="&amp;BH$77,[1]!Resources[Unique Key],$AI90,[1]!Resources[Availability '#],"&gt;="&amp;2)</f>
        <v>0</v>
      </c>
      <c r="BI90" s="6">
        <f>SUMIFS([1]!Resources[Summer Rating],[1]!Resources[COD],"&lt;="&amp;BI$77,[1]!Resources[Retirement Date],"&gt;="&amp;BI$77,[1]!Resources[Unique Key],$AI90,[1]!Resources[Availability '#],"&gt;="&amp;2)</f>
        <v>0</v>
      </c>
      <c r="BK90" s="5" t="s">
        <v>56</v>
      </c>
      <c r="BL90" s="20">
        <v>0.38100000000000001</v>
      </c>
      <c r="BM90" s="20">
        <v>0.38100000000000001</v>
      </c>
      <c r="BN90" s="20">
        <v>0.38100000000000001</v>
      </c>
      <c r="BO90" s="20">
        <v>0.38100000000000001</v>
      </c>
      <c r="BP90" s="20">
        <v>0.38100000000000001</v>
      </c>
      <c r="BQ90" s="20">
        <v>0.38100000000000001</v>
      </c>
      <c r="BR90" s="20">
        <v>0.38100000000000001</v>
      </c>
      <c r="BS90" s="20">
        <v>0.38100000000000001</v>
      </c>
      <c r="BT90" s="20">
        <v>0.38100000000000001</v>
      </c>
      <c r="BU90" s="20">
        <v>0.38100000000000001</v>
      </c>
      <c r="BV90" s="20">
        <v>0.38100000000000001</v>
      </c>
      <c r="BW90" s="20">
        <v>0.38100000000000001</v>
      </c>
      <c r="BX90" s="20">
        <v>0.38100000000000001</v>
      </c>
      <c r="BY90" s="20">
        <v>0.38100000000000001</v>
      </c>
      <c r="BZ90" s="20">
        <v>0.38100000000000001</v>
      </c>
      <c r="CA90" s="20">
        <v>0.38100000000000001</v>
      </c>
      <c r="CB90" s="20">
        <v>0.38100000000000001</v>
      </c>
      <c r="CC90" s="20">
        <v>0.38100000000000001</v>
      </c>
      <c r="CD90" s="20">
        <v>0.38100000000000001</v>
      </c>
      <c r="CE90" s="20">
        <v>0.38100000000000001</v>
      </c>
      <c r="CF90" s="20">
        <v>0.38100000000000001</v>
      </c>
      <c r="CG90" s="20">
        <v>0.38100000000000001</v>
      </c>
      <c r="CH90" s="20">
        <v>0.38100000000000001</v>
      </c>
      <c r="CI90" s="20">
        <v>0.38100000000000001</v>
      </c>
      <c r="CJ90" s="20">
        <v>0.38100000000000001</v>
      </c>
      <c r="CK90" s="20">
        <v>0.38100000000000001</v>
      </c>
      <c r="CM90" s="5" t="s">
        <v>56</v>
      </c>
      <c r="CN90" s="21">
        <v>0.18</v>
      </c>
      <c r="CO90" s="22">
        <v>0.18</v>
      </c>
      <c r="CP90" s="22">
        <v>0.18</v>
      </c>
      <c r="CQ90" s="22">
        <v>0.18</v>
      </c>
      <c r="CR90" s="22">
        <v>0.18</v>
      </c>
      <c r="CS90" s="22">
        <v>0.18</v>
      </c>
      <c r="CT90" s="22">
        <v>0.18</v>
      </c>
      <c r="CU90" s="22">
        <v>0.18</v>
      </c>
      <c r="CV90" s="22">
        <v>0.18</v>
      </c>
      <c r="CW90" s="22">
        <v>0.18</v>
      </c>
      <c r="CX90" s="22">
        <v>0.18</v>
      </c>
      <c r="CY90" s="22">
        <v>0.18</v>
      </c>
      <c r="CZ90" s="22">
        <v>0.18</v>
      </c>
      <c r="DA90" s="22">
        <v>0.18</v>
      </c>
      <c r="DB90" s="22">
        <v>0.18</v>
      </c>
      <c r="DC90" s="22">
        <v>0.18</v>
      </c>
      <c r="DD90" s="22">
        <v>0.18</v>
      </c>
      <c r="DE90" s="22">
        <v>0.18</v>
      </c>
      <c r="DF90" s="22">
        <v>0.18</v>
      </c>
      <c r="DG90" s="22">
        <v>0.18</v>
      </c>
      <c r="DH90" s="22">
        <v>0.18</v>
      </c>
      <c r="DI90" s="22">
        <v>0.18</v>
      </c>
      <c r="DJ90" s="22">
        <v>0.18</v>
      </c>
      <c r="DK90" s="22">
        <v>0.18</v>
      </c>
      <c r="DL90" s="22">
        <v>0.18</v>
      </c>
      <c r="DM90" s="22">
        <v>0.18</v>
      </c>
      <c r="DO90" s="5" t="s">
        <v>56</v>
      </c>
      <c r="DP90" s="23">
        <v>0.28999999999999998</v>
      </c>
      <c r="DQ90" s="23">
        <v>0.28999999999999998</v>
      </c>
      <c r="DR90" s="23">
        <v>0.28999999999999998</v>
      </c>
      <c r="DS90" s="23">
        <v>0.28999999999999998</v>
      </c>
      <c r="DT90" s="23">
        <v>0.28999999999999998</v>
      </c>
      <c r="DU90" s="23">
        <v>0.28999999999999998</v>
      </c>
      <c r="DV90" s="23">
        <v>0.28999999999999998</v>
      </c>
      <c r="DW90" s="23">
        <v>0.28999999999999998</v>
      </c>
      <c r="DX90" s="23">
        <v>0.28999999999999998</v>
      </c>
      <c r="DY90" s="23">
        <v>0.28999999999999998</v>
      </c>
      <c r="DZ90" s="23">
        <v>0.28999999999999998</v>
      </c>
      <c r="EA90" s="23">
        <v>0.28999999999999998</v>
      </c>
      <c r="EB90" s="23">
        <v>0.28999999999999998</v>
      </c>
      <c r="EC90" s="23">
        <v>0.28999999999999998</v>
      </c>
      <c r="ED90" s="23">
        <v>0.28999999999999998</v>
      </c>
      <c r="EE90" s="23">
        <v>0.28999999999999998</v>
      </c>
      <c r="EF90" s="23">
        <v>0.28999999999999998</v>
      </c>
      <c r="EG90" s="23">
        <v>0.28999999999999998</v>
      </c>
      <c r="EH90" s="23">
        <v>0.28999999999999998</v>
      </c>
      <c r="EI90" s="23">
        <v>0.28999999999999998</v>
      </c>
      <c r="EJ90" s="23">
        <v>0.28999999999999998</v>
      </c>
      <c r="EK90" s="23">
        <v>0.28999999999999998</v>
      </c>
      <c r="EL90" s="23">
        <v>0.28999999999999998</v>
      </c>
      <c r="EM90" s="23">
        <v>0.28999999999999998</v>
      </c>
      <c r="EN90" s="23">
        <v>0.28999999999999998</v>
      </c>
      <c r="EO90" s="23">
        <v>0.28999999999999998</v>
      </c>
      <c r="EP90" s="24">
        <f ca="1">IFERROR(INDEX('[1]GenX Resources'!$AP$10:$AP$46,MATCH(DO90,'[1]GenX Resources'!$B$10:$B$46,0)),0)</f>
        <v>0.04</v>
      </c>
      <c r="EQ90" s="2" t="b">
        <f t="shared" ca="1" si="35"/>
        <v>1</v>
      </c>
      <c r="ES90" s="25">
        <f ca="1">IFERROR(INDEX('[1]GenX Resources'!$AD:$AD,MATCH($G90,'[1]GenX Resources'!$B:$B,0)) - IF(OR(INDEX('[1]GenX Resources'!$L:$L,MATCH($G90,'[1]GenX Resources'!$B:$B,0)),ISNUMBER(SEARCH("New Generic",$G90))),0,INDEX('[1]GenX Resources'!$M:$M,MATCH($G90,'[1]GenX Resources'!$B:$B,0))),0)</f>
        <v>25700</v>
      </c>
      <c r="EU90" s="5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</row>
    <row r="91" spans="6:177" ht="16" x14ac:dyDescent="0.2">
      <c r="F91" s="19" t="str">
        <f>IFERROR(INDEX('[1]GenX Resources'!$A$10:$A$76,MATCH(G91,'[1]GenX Resources'!$B$10:$B$76,0)),"")</f>
        <v>Gas Other</v>
      </c>
      <c r="G91" s="5" t="s">
        <v>57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810</v>
      </c>
      <c r="N91" s="6">
        <v>810</v>
      </c>
      <c r="O91" s="6">
        <v>810</v>
      </c>
      <c r="P91" s="6">
        <v>810</v>
      </c>
      <c r="Q91" s="6">
        <v>810</v>
      </c>
      <c r="R91" s="6">
        <v>810</v>
      </c>
      <c r="S91" s="6">
        <v>810</v>
      </c>
      <c r="T91" s="6">
        <v>810</v>
      </c>
      <c r="U91" s="6">
        <v>810</v>
      </c>
      <c r="V91" s="6">
        <v>810</v>
      </c>
      <c r="W91" s="6">
        <v>810</v>
      </c>
      <c r="X91" s="6">
        <v>810</v>
      </c>
      <c r="Y91" s="6">
        <v>810</v>
      </c>
      <c r="Z91" s="6">
        <v>810</v>
      </c>
      <c r="AA91" s="6">
        <v>810</v>
      </c>
      <c r="AB91" s="6">
        <v>810</v>
      </c>
      <c r="AC91" s="6">
        <v>810</v>
      </c>
      <c r="AD91" s="6">
        <v>810</v>
      </c>
      <c r="AE91" s="6">
        <v>810</v>
      </c>
      <c r="AF91" s="6">
        <v>810</v>
      </c>
      <c r="AG91" s="6">
        <v>810</v>
      </c>
      <c r="AI91" s="5" t="s">
        <v>57</v>
      </c>
      <c r="AJ91" s="6">
        <f>SUMIFS([1]!Resources[Summer Rating],[1]!Resources[COD],"&lt;="&amp;AJ$77,[1]!Resources[Retirement Date],"&gt;="&amp;AJ$77,[1]!Resources[Unique Key],$AI91,[1]!Resources[Availability '#],"&gt;="&amp;2)</f>
        <v>0</v>
      </c>
      <c r="AK91" s="6">
        <f>SUMIFS([1]!Resources[Summer Rating],[1]!Resources[COD],"&lt;="&amp;AK$77,[1]!Resources[Retirement Date],"&gt;="&amp;AK$77,[1]!Resources[Unique Key],$AI91,[1]!Resources[Availability '#],"&gt;="&amp;2)</f>
        <v>0</v>
      </c>
      <c r="AL91" s="6">
        <f>SUMIFS([1]!Resources[Summer Rating],[1]!Resources[COD],"&lt;="&amp;AL$77,[1]!Resources[Retirement Date],"&gt;="&amp;AL$77,[1]!Resources[Unique Key],$AI91,[1]!Resources[Availability '#],"&gt;="&amp;2)</f>
        <v>0</v>
      </c>
      <c r="AM91" s="6">
        <f>SUMIFS([1]!Resources[Summer Rating],[1]!Resources[COD],"&lt;="&amp;AM$77,[1]!Resources[Retirement Date],"&gt;="&amp;AM$77,[1]!Resources[Unique Key],$AI91,[1]!Resources[Availability '#],"&gt;="&amp;2)</f>
        <v>0</v>
      </c>
      <c r="AN91" s="6">
        <f>SUMIFS([1]!Resources[Summer Rating],[1]!Resources[COD],"&lt;="&amp;AN$77,[1]!Resources[Retirement Date],"&gt;="&amp;AN$77,[1]!Resources[Unique Key],$AI91,[1]!Resources[Availability '#],"&gt;="&amp;2)</f>
        <v>0</v>
      </c>
      <c r="AO91" s="6">
        <f>SUMIFS([1]!Resources[Summer Rating],[1]!Resources[COD],"&lt;="&amp;AO$77,[1]!Resources[Retirement Date],"&gt;="&amp;AO$77,[1]!Resources[Unique Key],$AI91,[1]!Resources[Availability '#],"&gt;="&amp;2)</f>
        <v>0</v>
      </c>
      <c r="AP91" s="6">
        <f>SUMIFS([1]!Resources[Summer Rating],[1]!Resources[COD],"&lt;="&amp;AP$77,[1]!Resources[Retirement Date],"&gt;="&amp;AP$77,[1]!Resources[Unique Key],$AI91,[1]!Resources[Availability '#],"&gt;="&amp;2)</f>
        <v>0</v>
      </c>
      <c r="AQ91" s="6">
        <f>SUMIFS([1]!Resources[Summer Rating],[1]!Resources[COD],"&lt;="&amp;AQ$77,[1]!Resources[Retirement Date],"&gt;="&amp;AQ$77,[1]!Resources[Unique Key],$AI91,[1]!Resources[Availability '#],"&gt;="&amp;2)</f>
        <v>0</v>
      </c>
      <c r="AR91" s="6">
        <f>SUMIFS([1]!Resources[Summer Rating],[1]!Resources[COD],"&lt;="&amp;AR$77,[1]!Resources[Retirement Date],"&gt;="&amp;AR$77,[1]!Resources[Unique Key],$AI91,[1]!Resources[Availability '#],"&gt;="&amp;2)</f>
        <v>0</v>
      </c>
      <c r="AS91" s="6">
        <f>SUMIFS([1]!Resources[Summer Rating],[1]!Resources[COD],"&lt;="&amp;AS$77,[1]!Resources[Retirement Date],"&gt;="&amp;AS$77,[1]!Resources[Unique Key],$AI91,[1]!Resources[Availability '#],"&gt;="&amp;2)</f>
        <v>0</v>
      </c>
      <c r="AT91" s="6">
        <f>SUMIFS([1]!Resources[Summer Rating],[1]!Resources[COD],"&lt;="&amp;AT$77,[1]!Resources[Retirement Date],"&gt;="&amp;AT$77,[1]!Resources[Unique Key],$AI91,[1]!Resources[Availability '#],"&gt;="&amp;2)</f>
        <v>0</v>
      </c>
      <c r="AU91" s="6">
        <f>SUMIFS([1]!Resources[Summer Rating],[1]!Resources[COD],"&lt;="&amp;AU$77,[1]!Resources[Retirement Date],"&gt;="&amp;AU$77,[1]!Resources[Unique Key],$AI91,[1]!Resources[Availability '#],"&gt;="&amp;2)</f>
        <v>0</v>
      </c>
      <c r="AV91" s="6">
        <f>SUMIFS([1]!Resources[Summer Rating],[1]!Resources[COD],"&lt;="&amp;AV$77,[1]!Resources[Retirement Date],"&gt;="&amp;AV$77,[1]!Resources[Unique Key],$AI91,[1]!Resources[Availability '#],"&gt;="&amp;2)</f>
        <v>0</v>
      </c>
      <c r="AW91" s="6">
        <f>SUMIFS([1]!Resources[Summer Rating],[1]!Resources[COD],"&lt;="&amp;AW$77,[1]!Resources[Retirement Date],"&gt;="&amp;AW$77,[1]!Resources[Unique Key],$AI91,[1]!Resources[Availability '#],"&gt;="&amp;2)</f>
        <v>0</v>
      </c>
      <c r="AX91" s="6">
        <f>SUMIFS([1]!Resources[Summer Rating],[1]!Resources[COD],"&lt;="&amp;AX$77,[1]!Resources[Retirement Date],"&gt;="&amp;AX$77,[1]!Resources[Unique Key],$AI91,[1]!Resources[Availability '#],"&gt;="&amp;2)</f>
        <v>0</v>
      </c>
      <c r="AY91" s="6">
        <f>SUMIFS([1]!Resources[Summer Rating],[1]!Resources[COD],"&lt;="&amp;AY$77,[1]!Resources[Retirement Date],"&gt;="&amp;AY$77,[1]!Resources[Unique Key],$AI91,[1]!Resources[Availability '#],"&gt;="&amp;2)</f>
        <v>0</v>
      </c>
      <c r="AZ91" s="6">
        <f>SUMIFS([1]!Resources[Summer Rating],[1]!Resources[COD],"&lt;="&amp;AZ$77,[1]!Resources[Retirement Date],"&gt;="&amp;AZ$77,[1]!Resources[Unique Key],$AI91,[1]!Resources[Availability '#],"&gt;="&amp;2)</f>
        <v>0</v>
      </c>
      <c r="BA91" s="6">
        <f>SUMIFS([1]!Resources[Summer Rating],[1]!Resources[COD],"&lt;="&amp;BA$77,[1]!Resources[Retirement Date],"&gt;="&amp;BA$77,[1]!Resources[Unique Key],$AI91,[1]!Resources[Availability '#],"&gt;="&amp;2)</f>
        <v>0</v>
      </c>
      <c r="BB91" s="6">
        <f>SUMIFS([1]!Resources[Summer Rating],[1]!Resources[COD],"&lt;="&amp;BB$77,[1]!Resources[Retirement Date],"&gt;="&amp;BB$77,[1]!Resources[Unique Key],$AI91,[1]!Resources[Availability '#],"&gt;="&amp;2)</f>
        <v>0</v>
      </c>
      <c r="BC91" s="6">
        <f>SUMIFS([1]!Resources[Summer Rating],[1]!Resources[COD],"&lt;="&amp;BC$77,[1]!Resources[Retirement Date],"&gt;="&amp;BC$77,[1]!Resources[Unique Key],$AI91,[1]!Resources[Availability '#],"&gt;="&amp;2)</f>
        <v>0</v>
      </c>
      <c r="BD91" s="6">
        <f>SUMIFS([1]!Resources[Summer Rating],[1]!Resources[COD],"&lt;="&amp;BD$77,[1]!Resources[Retirement Date],"&gt;="&amp;BD$77,[1]!Resources[Unique Key],$AI91,[1]!Resources[Availability '#],"&gt;="&amp;2)</f>
        <v>0</v>
      </c>
      <c r="BE91" s="6">
        <f>SUMIFS([1]!Resources[Summer Rating],[1]!Resources[COD],"&lt;="&amp;BE$77,[1]!Resources[Retirement Date],"&gt;="&amp;BE$77,[1]!Resources[Unique Key],$AI91,[1]!Resources[Availability '#],"&gt;="&amp;2)</f>
        <v>0</v>
      </c>
      <c r="BF91" s="6">
        <f>SUMIFS([1]!Resources[Summer Rating],[1]!Resources[COD],"&lt;="&amp;BF$77,[1]!Resources[Retirement Date],"&gt;="&amp;BF$77,[1]!Resources[Unique Key],$AI91,[1]!Resources[Availability '#],"&gt;="&amp;2)</f>
        <v>0</v>
      </c>
      <c r="BG91" s="6">
        <f>SUMIFS([1]!Resources[Summer Rating],[1]!Resources[COD],"&lt;="&amp;BG$77,[1]!Resources[Retirement Date],"&gt;="&amp;BG$77,[1]!Resources[Unique Key],$AI91,[1]!Resources[Availability '#],"&gt;="&amp;2)</f>
        <v>0</v>
      </c>
      <c r="BH91" s="6">
        <f>SUMIFS([1]!Resources[Summer Rating],[1]!Resources[COD],"&lt;="&amp;BH$77,[1]!Resources[Retirement Date],"&gt;="&amp;BH$77,[1]!Resources[Unique Key],$AI91,[1]!Resources[Availability '#],"&gt;="&amp;2)</f>
        <v>0</v>
      </c>
      <c r="BI91" s="6">
        <f>SUMIFS([1]!Resources[Summer Rating],[1]!Resources[COD],"&lt;="&amp;BI$77,[1]!Resources[Retirement Date],"&gt;="&amp;BI$77,[1]!Resources[Unique Key],$AI91,[1]!Resources[Availability '#],"&gt;="&amp;2)</f>
        <v>0</v>
      </c>
      <c r="BK91" s="5" t="s">
        <v>57</v>
      </c>
      <c r="BL91" s="20">
        <v>0</v>
      </c>
      <c r="BM91" s="20">
        <v>0</v>
      </c>
      <c r="BN91" s="20">
        <v>0</v>
      </c>
      <c r="BO91" s="20">
        <v>0</v>
      </c>
      <c r="BP91" s="20">
        <v>0</v>
      </c>
      <c r="BQ91" s="20">
        <v>5.78</v>
      </c>
      <c r="BR91" s="20">
        <v>4.2560000000000002</v>
      </c>
      <c r="BS91" s="20">
        <v>5.0030000000000001</v>
      </c>
      <c r="BT91" s="20">
        <v>4.9429999999999996</v>
      </c>
      <c r="BU91" s="20">
        <v>4.6059999999999999</v>
      </c>
      <c r="BV91" s="20">
        <v>4.1859999999999999</v>
      </c>
      <c r="BW91" s="20">
        <v>5.96</v>
      </c>
      <c r="BX91" s="20">
        <v>5.96</v>
      </c>
      <c r="BY91" s="20">
        <v>5.96</v>
      </c>
      <c r="BZ91" s="20">
        <v>5.96</v>
      </c>
      <c r="CA91" s="20">
        <v>5.96</v>
      </c>
      <c r="CB91" s="20">
        <v>5.96</v>
      </c>
      <c r="CC91" s="20">
        <v>5.96</v>
      </c>
      <c r="CD91" s="20">
        <v>5.96</v>
      </c>
      <c r="CE91" s="20">
        <v>5.96</v>
      </c>
      <c r="CF91" s="20">
        <v>5.96</v>
      </c>
      <c r="CG91" s="20">
        <v>5.96</v>
      </c>
      <c r="CH91" s="20">
        <v>5.96</v>
      </c>
      <c r="CI91" s="20">
        <v>5.96</v>
      </c>
      <c r="CJ91" s="20">
        <v>5.96</v>
      </c>
      <c r="CK91" s="20">
        <v>5.96</v>
      </c>
      <c r="CM91" s="5" t="s">
        <v>57</v>
      </c>
      <c r="CN91" s="21">
        <v>0</v>
      </c>
      <c r="CO91" s="22">
        <v>0</v>
      </c>
      <c r="CP91" s="22">
        <v>0</v>
      </c>
      <c r="CQ91" s="22">
        <v>0</v>
      </c>
      <c r="CR91" s="22">
        <v>0</v>
      </c>
      <c r="CS91" s="22">
        <v>3.0419999999999998</v>
      </c>
      <c r="CT91" s="22">
        <v>2.2400000000000002</v>
      </c>
      <c r="CU91" s="22">
        <v>2.633</v>
      </c>
      <c r="CV91" s="22">
        <v>2.601</v>
      </c>
      <c r="CW91" s="22">
        <v>2.4239999999999999</v>
      </c>
      <c r="CX91" s="22">
        <v>2.2029999999999998</v>
      </c>
      <c r="CY91" s="22">
        <v>3.137</v>
      </c>
      <c r="CZ91" s="22">
        <v>3.137</v>
      </c>
      <c r="DA91" s="22">
        <v>3.137</v>
      </c>
      <c r="DB91" s="22">
        <v>3.137</v>
      </c>
      <c r="DC91" s="22">
        <v>3.137</v>
      </c>
      <c r="DD91" s="22">
        <v>3.137</v>
      </c>
      <c r="DE91" s="22">
        <v>3.137</v>
      </c>
      <c r="DF91" s="22">
        <v>3.137</v>
      </c>
      <c r="DG91" s="22">
        <v>3.137</v>
      </c>
      <c r="DH91" s="22">
        <v>3.137</v>
      </c>
      <c r="DI91" s="22">
        <v>3.137</v>
      </c>
      <c r="DJ91" s="22">
        <v>3.137</v>
      </c>
      <c r="DK91" s="22">
        <v>3.137</v>
      </c>
      <c r="DL91" s="22">
        <v>3.137</v>
      </c>
      <c r="DM91" s="22">
        <v>3.137</v>
      </c>
      <c r="DO91" s="5" t="s">
        <v>57</v>
      </c>
      <c r="DP91" s="23">
        <v>0</v>
      </c>
      <c r="DQ91" s="23">
        <v>0</v>
      </c>
      <c r="DR91" s="23">
        <v>0</v>
      </c>
      <c r="DS91" s="23">
        <v>0</v>
      </c>
      <c r="DT91" s="23">
        <v>0</v>
      </c>
      <c r="DU91" s="23">
        <v>0.81499999999999995</v>
      </c>
      <c r="DV91" s="23">
        <v>0.6</v>
      </c>
      <c r="DW91" s="23">
        <v>0.70499999999999996</v>
      </c>
      <c r="DX91" s="23">
        <v>0.69699999999999995</v>
      </c>
      <c r="DY91" s="23">
        <v>0.64900000000000002</v>
      </c>
      <c r="DZ91" s="23">
        <v>0.59</v>
      </c>
      <c r="EA91" s="23">
        <v>0.84</v>
      </c>
      <c r="EB91" s="23">
        <v>0.84</v>
      </c>
      <c r="EC91" s="23">
        <v>0.84</v>
      </c>
      <c r="ED91" s="23">
        <v>0.84</v>
      </c>
      <c r="EE91" s="23">
        <v>0.84</v>
      </c>
      <c r="EF91" s="23">
        <v>0.84</v>
      </c>
      <c r="EG91" s="23">
        <v>0.84</v>
      </c>
      <c r="EH91" s="23">
        <v>0.84</v>
      </c>
      <c r="EI91" s="23">
        <v>0.84</v>
      </c>
      <c r="EJ91" s="23">
        <v>0.84</v>
      </c>
      <c r="EK91" s="23">
        <v>0.84</v>
      </c>
      <c r="EL91" s="23">
        <v>0.84</v>
      </c>
      <c r="EM91" s="23">
        <v>0.84</v>
      </c>
      <c r="EN91" s="23">
        <v>0.84</v>
      </c>
      <c r="EO91" s="23">
        <v>0.84</v>
      </c>
      <c r="EP91" s="24">
        <f ca="1">IFERROR(INDEX('[1]GenX Resources'!$AP$10:$AP$46,MATCH(DO91,'[1]GenX Resources'!$B$10:$B$46,0)),0)</f>
        <v>0</v>
      </c>
      <c r="EQ91" s="2" t="b">
        <f t="shared" ca="1" si="35"/>
        <v>1</v>
      </c>
      <c r="ES91" s="25">
        <f ca="1">IFERROR(INDEX('[1]GenX Resources'!$AD:$AD,MATCH($G91,'[1]GenX Resources'!$B:$B,0)) - IF(OR(INDEX('[1]GenX Resources'!$L:$L,MATCH($G91,'[1]GenX Resources'!$B:$B,0)),ISNUMBER(SEARCH("New Generic",$G91))),0,INDEX('[1]GenX Resources'!$M:$M,MATCH($G91,'[1]GenX Resources'!$B:$B,0))),0)</f>
        <v>0</v>
      </c>
      <c r="EU91" s="5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</row>
    <row r="92" spans="6:177" ht="16" x14ac:dyDescent="0.2">
      <c r="F92" s="19" t="str">
        <f>IFERROR(INDEX('[1]GenX Resources'!$A$10:$A$76,MATCH(G92,'[1]GenX Resources'!$B$10:$B$76,0)),"")</f>
        <v>Gas Other</v>
      </c>
      <c r="G92" s="5" t="s">
        <v>58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268</v>
      </c>
      <c r="N92" s="6">
        <v>268</v>
      </c>
      <c r="O92" s="6">
        <v>268</v>
      </c>
      <c r="P92" s="6">
        <v>268</v>
      </c>
      <c r="Q92" s="6">
        <v>268</v>
      </c>
      <c r="R92" s="6">
        <v>268</v>
      </c>
      <c r="S92" s="6">
        <v>268</v>
      </c>
      <c r="T92" s="6">
        <v>268</v>
      </c>
      <c r="U92" s="6">
        <v>268</v>
      </c>
      <c r="V92" s="6">
        <v>268</v>
      </c>
      <c r="W92" s="6">
        <v>268</v>
      </c>
      <c r="X92" s="6">
        <v>268</v>
      </c>
      <c r="Y92" s="6">
        <v>268</v>
      </c>
      <c r="Z92" s="6">
        <v>268</v>
      </c>
      <c r="AA92" s="6">
        <v>268</v>
      </c>
      <c r="AB92" s="6">
        <v>268</v>
      </c>
      <c r="AC92" s="6">
        <v>268</v>
      </c>
      <c r="AD92" s="6">
        <v>268</v>
      </c>
      <c r="AE92" s="6">
        <v>268</v>
      </c>
      <c r="AF92" s="6">
        <v>268</v>
      </c>
      <c r="AG92" s="6">
        <v>268</v>
      </c>
      <c r="AI92" s="5" t="s">
        <v>58</v>
      </c>
      <c r="AJ92" s="6">
        <f>SUMIFS([1]!Resources[Summer Rating],[1]!Resources[COD],"&lt;="&amp;AJ$77,[1]!Resources[Retirement Date],"&gt;="&amp;AJ$77,[1]!Resources[Unique Key],$AI92,[1]!Resources[Availability '#],"&gt;="&amp;2)</f>
        <v>0</v>
      </c>
      <c r="AK92" s="6">
        <f>SUMIFS([1]!Resources[Summer Rating],[1]!Resources[COD],"&lt;="&amp;AK$77,[1]!Resources[Retirement Date],"&gt;="&amp;AK$77,[1]!Resources[Unique Key],$AI92,[1]!Resources[Availability '#],"&gt;="&amp;2)</f>
        <v>0</v>
      </c>
      <c r="AL92" s="6">
        <f>SUMIFS([1]!Resources[Summer Rating],[1]!Resources[COD],"&lt;="&amp;AL$77,[1]!Resources[Retirement Date],"&gt;="&amp;AL$77,[1]!Resources[Unique Key],$AI92,[1]!Resources[Availability '#],"&gt;="&amp;2)</f>
        <v>0</v>
      </c>
      <c r="AM92" s="6">
        <f>SUMIFS([1]!Resources[Summer Rating],[1]!Resources[COD],"&lt;="&amp;AM$77,[1]!Resources[Retirement Date],"&gt;="&amp;AM$77,[1]!Resources[Unique Key],$AI92,[1]!Resources[Availability '#],"&gt;="&amp;2)</f>
        <v>0</v>
      </c>
      <c r="AN92" s="6">
        <f>SUMIFS([1]!Resources[Summer Rating],[1]!Resources[COD],"&lt;="&amp;AN$77,[1]!Resources[Retirement Date],"&gt;="&amp;AN$77,[1]!Resources[Unique Key],$AI92,[1]!Resources[Availability '#],"&gt;="&amp;2)</f>
        <v>0</v>
      </c>
      <c r="AO92" s="6">
        <f>SUMIFS([1]!Resources[Summer Rating],[1]!Resources[COD],"&lt;="&amp;AO$77,[1]!Resources[Retirement Date],"&gt;="&amp;AO$77,[1]!Resources[Unique Key],$AI92,[1]!Resources[Availability '#],"&gt;="&amp;2)</f>
        <v>0</v>
      </c>
      <c r="AP92" s="6">
        <f>SUMIFS([1]!Resources[Summer Rating],[1]!Resources[COD],"&lt;="&amp;AP$77,[1]!Resources[Retirement Date],"&gt;="&amp;AP$77,[1]!Resources[Unique Key],$AI92,[1]!Resources[Availability '#],"&gt;="&amp;2)</f>
        <v>0</v>
      </c>
      <c r="AQ92" s="6">
        <f>SUMIFS([1]!Resources[Summer Rating],[1]!Resources[COD],"&lt;="&amp;AQ$77,[1]!Resources[Retirement Date],"&gt;="&amp;AQ$77,[1]!Resources[Unique Key],$AI92,[1]!Resources[Availability '#],"&gt;="&amp;2)</f>
        <v>0</v>
      </c>
      <c r="AR92" s="6">
        <f>SUMIFS([1]!Resources[Summer Rating],[1]!Resources[COD],"&lt;="&amp;AR$77,[1]!Resources[Retirement Date],"&gt;="&amp;AR$77,[1]!Resources[Unique Key],$AI92,[1]!Resources[Availability '#],"&gt;="&amp;2)</f>
        <v>0</v>
      </c>
      <c r="AS92" s="6">
        <f>SUMIFS([1]!Resources[Summer Rating],[1]!Resources[COD],"&lt;="&amp;AS$77,[1]!Resources[Retirement Date],"&gt;="&amp;AS$77,[1]!Resources[Unique Key],$AI92,[1]!Resources[Availability '#],"&gt;="&amp;2)</f>
        <v>0</v>
      </c>
      <c r="AT92" s="6">
        <f>SUMIFS([1]!Resources[Summer Rating],[1]!Resources[COD],"&lt;="&amp;AT$77,[1]!Resources[Retirement Date],"&gt;="&amp;AT$77,[1]!Resources[Unique Key],$AI92,[1]!Resources[Availability '#],"&gt;="&amp;2)</f>
        <v>0</v>
      </c>
      <c r="AU92" s="6">
        <f>SUMIFS([1]!Resources[Summer Rating],[1]!Resources[COD],"&lt;="&amp;AU$77,[1]!Resources[Retirement Date],"&gt;="&amp;AU$77,[1]!Resources[Unique Key],$AI92,[1]!Resources[Availability '#],"&gt;="&amp;2)</f>
        <v>0</v>
      </c>
      <c r="AV92" s="6">
        <f>SUMIFS([1]!Resources[Summer Rating],[1]!Resources[COD],"&lt;="&amp;AV$77,[1]!Resources[Retirement Date],"&gt;="&amp;AV$77,[1]!Resources[Unique Key],$AI92,[1]!Resources[Availability '#],"&gt;="&amp;2)</f>
        <v>0</v>
      </c>
      <c r="AW92" s="6">
        <f>SUMIFS([1]!Resources[Summer Rating],[1]!Resources[COD],"&lt;="&amp;AW$77,[1]!Resources[Retirement Date],"&gt;="&amp;AW$77,[1]!Resources[Unique Key],$AI92,[1]!Resources[Availability '#],"&gt;="&amp;2)</f>
        <v>0</v>
      </c>
      <c r="AX92" s="6">
        <f>SUMIFS([1]!Resources[Summer Rating],[1]!Resources[COD],"&lt;="&amp;AX$77,[1]!Resources[Retirement Date],"&gt;="&amp;AX$77,[1]!Resources[Unique Key],$AI92,[1]!Resources[Availability '#],"&gt;="&amp;2)</f>
        <v>0</v>
      </c>
      <c r="AY92" s="6">
        <f>SUMIFS([1]!Resources[Summer Rating],[1]!Resources[COD],"&lt;="&amp;AY$77,[1]!Resources[Retirement Date],"&gt;="&amp;AY$77,[1]!Resources[Unique Key],$AI92,[1]!Resources[Availability '#],"&gt;="&amp;2)</f>
        <v>0</v>
      </c>
      <c r="AZ92" s="6">
        <f>SUMIFS([1]!Resources[Summer Rating],[1]!Resources[COD],"&lt;="&amp;AZ$77,[1]!Resources[Retirement Date],"&gt;="&amp;AZ$77,[1]!Resources[Unique Key],$AI92,[1]!Resources[Availability '#],"&gt;="&amp;2)</f>
        <v>0</v>
      </c>
      <c r="BA92" s="6">
        <f>SUMIFS([1]!Resources[Summer Rating],[1]!Resources[COD],"&lt;="&amp;BA$77,[1]!Resources[Retirement Date],"&gt;="&amp;BA$77,[1]!Resources[Unique Key],$AI92,[1]!Resources[Availability '#],"&gt;="&amp;2)</f>
        <v>0</v>
      </c>
      <c r="BB92" s="6">
        <f>SUMIFS([1]!Resources[Summer Rating],[1]!Resources[COD],"&lt;="&amp;BB$77,[1]!Resources[Retirement Date],"&gt;="&amp;BB$77,[1]!Resources[Unique Key],$AI92,[1]!Resources[Availability '#],"&gt;="&amp;2)</f>
        <v>0</v>
      </c>
      <c r="BC92" s="6">
        <f>SUMIFS([1]!Resources[Summer Rating],[1]!Resources[COD],"&lt;="&amp;BC$77,[1]!Resources[Retirement Date],"&gt;="&amp;BC$77,[1]!Resources[Unique Key],$AI92,[1]!Resources[Availability '#],"&gt;="&amp;2)</f>
        <v>0</v>
      </c>
      <c r="BD92" s="6">
        <f>SUMIFS([1]!Resources[Summer Rating],[1]!Resources[COD],"&lt;="&amp;BD$77,[1]!Resources[Retirement Date],"&gt;="&amp;BD$77,[1]!Resources[Unique Key],$AI92,[1]!Resources[Availability '#],"&gt;="&amp;2)</f>
        <v>0</v>
      </c>
      <c r="BE92" s="6">
        <f>SUMIFS([1]!Resources[Summer Rating],[1]!Resources[COD],"&lt;="&amp;BE$77,[1]!Resources[Retirement Date],"&gt;="&amp;BE$77,[1]!Resources[Unique Key],$AI92,[1]!Resources[Availability '#],"&gt;="&amp;2)</f>
        <v>0</v>
      </c>
      <c r="BF92" s="6">
        <f>SUMIFS([1]!Resources[Summer Rating],[1]!Resources[COD],"&lt;="&amp;BF$77,[1]!Resources[Retirement Date],"&gt;="&amp;BF$77,[1]!Resources[Unique Key],$AI92,[1]!Resources[Availability '#],"&gt;="&amp;2)</f>
        <v>0</v>
      </c>
      <c r="BG92" s="6">
        <f>SUMIFS([1]!Resources[Summer Rating],[1]!Resources[COD],"&lt;="&amp;BG$77,[1]!Resources[Retirement Date],"&gt;="&amp;BG$77,[1]!Resources[Unique Key],$AI92,[1]!Resources[Availability '#],"&gt;="&amp;2)</f>
        <v>0</v>
      </c>
      <c r="BH92" s="6">
        <f>SUMIFS([1]!Resources[Summer Rating],[1]!Resources[COD],"&lt;="&amp;BH$77,[1]!Resources[Retirement Date],"&gt;="&amp;BH$77,[1]!Resources[Unique Key],$AI92,[1]!Resources[Availability '#],"&gt;="&amp;2)</f>
        <v>0</v>
      </c>
      <c r="BI92" s="6">
        <f>SUMIFS([1]!Resources[Summer Rating],[1]!Resources[COD],"&lt;="&amp;BI$77,[1]!Resources[Retirement Date],"&gt;="&amp;BI$77,[1]!Resources[Unique Key],$AI92,[1]!Resources[Availability '#],"&gt;="&amp;2)</f>
        <v>0</v>
      </c>
      <c r="BK92" s="5" t="s">
        <v>58</v>
      </c>
      <c r="BL92" s="20">
        <v>0</v>
      </c>
      <c r="BM92" s="20">
        <v>0</v>
      </c>
      <c r="BN92" s="20">
        <v>0</v>
      </c>
      <c r="BO92" s="20">
        <v>0</v>
      </c>
      <c r="BP92" s="20">
        <v>0</v>
      </c>
      <c r="BQ92" s="20">
        <v>1.972</v>
      </c>
      <c r="BR92" s="20">
        <v>1.972</v>
      </c>
      <c r="BS92" s="20">
        <v>1.972</v>
      </c>
      <c r="BT92" s="20">
        <v>1.972</v>
      </c>
      <c r="BU92" s="20">
        <v>1.972</v>
      </c>
      <c r="BV92" s="20">
        <v>1.972</v>
      </c>
      <c r="BW92" s="20">
        <v>1.972</v>
      </c>
      <c r="BX92" s="20">
        <v>1.972</v>
      </c>
      <c r="BY92" s="20">
        <v>1.972</v>
      </c>
      <c r="BZ92" s="20">
        <v>1.972</v>
      </c>
      <c r="CA92" s="20">
        <v>1.972</v>
      </c>
      <c r="CB92" s="20">
        <v>1.972</v>
      </c>
      <c r="CC92" s="20">
        <v>1.972</v>
      </c>
      <c r="CD92" s="20">
        <v>1.972</v>
      </c>
      <c r="CE92" s="20">
        <v>1.972</v>
      </c>
      <c r="CF92" s="20">
        <v>1.972</v>
      </c>
      <c r="CG92" s="20">
        <v>1.972</v>
      </c>
      <c r="CH92" s="20">
        <v>1.972</v>
      </c>
      <c r="CI92" s="20">
        <v>1.972</v>
      </c>
      <c r="CJ92" s="20">
        <v>1.972</v>
      </c>
      <c r="CK92" s="20">
        <v>1.972</v>
      </c>
      <c r="CM92" s="5" t="s">
        <v>58</v>
      </c>
      <c r="CN92" s="21">
        <v>0</v>
      </c>
      <c r="CO92" s="22">
        <v>0</v>
      </c>
      <c r="CP92" s="22">
        <v>0</v>
      </c>
      <c r="CQ92" s="22">
        <v>0</v>
      </c>
      <c r="CR92" s="22">
        <v>0</v>
      </c>
      <c r="CS92" s="22">
        <v>0.89600000000000002</v>
      </c>
      <c r="CT92" s="22">
        <v>0.89600000000000002</v>
      </c>
      <c r="CU92" s="22">
        <v>0.89600000000000002</v>
      </c>
      <c r="CV92" s="22">
        <v>0.89600000000000002</v>
      </c>
      <c r="CW92" s="22">
        <v>0.89600000000000002</v>
      </c>
      <c r="CX92" s="22">
        <v>0.89600000000000002</v>
      </c>
      <c r="CY92" s="22">
        <v>0.89600000000000002</v>
      </c>
      <c r="CZ92" s="22">
        <v>0.89600000000000002</v>
      </c>
      <c r="DA92" s="22">
        <v>0.89600000000000002</v>
      </c>
      <c r="DB92" s="22">
        <v>0.89600000000000002</v>
      </c>
      <c r="DC92" s="22">
        <v>0.89600000000000002</v>
      </c>
      <c r="DD92" s="22">
        <v>0.89600000000000002</v>
      </c>
      <c r="DE92" s="22">
        <v>0.89600000000000002</v>
      </c>
      <c r="DF92" s="22">
        <v>0.89600000000000002</v>
      </c>
      <c r="DG92" s="22">
        <v>0.89600000000000002</v>
      </c>
      <c r="DH92" s="22">
        <v>0.89600000000000002</v>
      </c>
      <c r="DI92" s="22">
        <v>0.89600000000000002</v>
      </c>
      <c r="DJ92" s="22">
        <v>0.89600000000000002</v>
      </c>
      <c r="DK92" s="22">
        <v>0.89600000000000002</v>
      </c>
      <c r="DL92" s="22">
        <v>0.89600000000000002</v>
      </c>
      <c r="DM92" s="22">
        <v>0.89600000000000002</v>
      </c>
      <c r="DO92" s="5" t="s">
        <v>58</v>
      </c>
      <c r="DP92" s="23">
        <v>0</v>
      </c>
      <c r="DQ92" s="23">
        <v>0</v>
      </c>
      <c r="DR92" s="23">
        <v>0</v>
      </c>
      <c r="DS92" s="23">
        <v>0</v>
      </c>
      <c r="DT92" s="23">
        <v>0</v>
      </c>
      <c r="DU92" s="23">
        <v>0.84</v>
      </c>
      <c r="DV92" s="23">
        <v>0.84</v>
      </c>
      <c r="DW92" s="23">
        <v>0.84</v>
      </c>
      <c r="DX92" s="23">
        <v>0.84</v>
      </c>
      <c r="DY92" s="23">
        <v>0.84</v>
      </c>
      <c r="DZ92" s="23">
        <v>0.84</v>
      </c>
      <c r="EA92" s="23">
        <v>0.84</v>
      </c>
      <c r="EB92" s="23">
        <v>0.84</v>
      </c>
      <c r="EC92" s="23">
        <v>0.84</v>
      </c>
      <c r="ED92" s="23">
        <v>0.84</v>
      </c>
      <c r="EE92" s="23">
        <v>0.84</v>
      </c>
      <c r="EF92" s="23">
        <v>0.84</v>
      </c>
      <c r="EG92" s="23">
        <v>0.84</v>
      </c>
      <c r="EH92" s="23">
        <v>0.84</v>
      </c>
      <c r="EI92" s="23">
        <v>0.84</v>
      </c>
      <c r="EJ92" s="23">
        <v>0.84</v>
      </c>
      <c r="EK92" s="23">
        <v>0.84</v>
      </c>
      <c r="EL92" s="23">
        <v>0.84</v>
      </c>
      <c r="EM92" s="23">
        <v>0.84</v>
      </c>
      <c r="EN92" s="23">
        <v>0.84</v>
      </c>
      <c r="EO92" s="23">
        <v>0.84</v>
      </c>
      <c r="EP92" s="24">
        <f ca="1">IFERROR(INDEX('[1]GenX Resources'!$AP$10:$AP$46,MATCH(DO92,'[1]GenX Resources'!$B$10:$B$46,0)),0)</f>
        <v>0</v>
      </c>
      <c r="EQ92" s="2" t="b">
        <f t="shared" ca="1" si="35"/>
        <v>1</v>
      </c>
      <c r="ES92" s="25">
        <f ca="1">IFERROR(INDEX('[1]GenX Resources'!$AD:$AD,MATCH($G92,'[1]GenX Resources'!$B:$B,0)) - IF(OR(INDEX('[1]GenX Resources'!$L:$L,MATCH($G92,'[1]GenX Resources'!$B:$B,0)),ISNUMBER(SEARCH("New Generic",$G92))),0,INDEX('[1]GenX Resources'!$M:$M,MATCH($G92,'[1]GenX Resources'!$B:$B,0))),0)</f>
        <v>0</v>
      </c>
      <c r="EU92" s="5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</row>
    <row r="93" spans="6:177" ht="16" x14ac:dyDescent="0.2">
      <c r="F93" s="19" t="str">
        <f>IFERROR(INDEX('[1]GenX Resources'!$A$10:$A$76,MATCH(G93,'[1]GenX Resources'!$B$10:$B$76,0)),"")</f>
        <v>Coal</v>
      </c>
      <c r="G93" s="5" t="s">
        <v>59</v>
      </c>
      <c r="H93" s="6">
        <v>810</v>
      </c>
      <c r="I93" s="6">
        <v>810</v>
      </c>
      <c r="J93" s="6">
        <v>810</v>
      </c>
      <c r="K93" s="6">
        <v>810</v>
      </c>
      <c r="L93" s="6">
        <v>810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I93" s="5" t="s">
        <v>59</v>
      </c>
      <c r="AJ93" s="6">
        <f>SUMIFS([1]!Resources[Summer Rating],[1]!Resources[COD],"&lt;="&amp;AJ$77,[1]!Resources[Retirement Date],"&gt;="&amp;AJ$77,[1]!Resources[Unique Key],$AI93,[1]!Resources[Availability '#],"&gt;="&amp;2)</f>
        <v>0</v>
      </c>
      <c r="AK93" s="6">
        <f>SUMIFS([1]!Resources[Summer Rating],[1]!Resources[COD],"&lt;="&amp;AK$77,[1]!Resources[Retirement Date],"&gt;="&amp;AK$77,[1]!Resources[Unique Key],$AI93,[1]!Resources[Availability '#],"&gt;="&amp;2)</f>
        <v>0</v>
      </c>
      <c r="AL93" s="6">
        <f>SUMIFS([1]!Resources[Summer Rating],[1]!Resources[COD],"&lt;="&amp;AL$77,[1]!Resources[Retirement Date],"&gt;="&amp;AL$77,[1]!Resources[Unique Key],$AI93,[1]!Resources[Availability '#],"&gt;="&amp;2)</f>
        <v>0</v>
      </c>
      <c r="AM93" s="6">
        <f>SUMIFS([1]!Resources[Summer Rating],[1]!Resources[COD],"&lt;="&amp;AM$77,[1]!Resources[Retirement Date],"&gt;="&amp;AM$77,[1]!Resources[Unique Key],$AI93,[1]!Resources[Availability '#],"&gt;="&amp;2)</f>
        <v>0</v>
      </c>
      <c r="AN93" s="6">
        <f>SUMIFS([1]!Resources[Summer Rating],[1]!Resources[COD],"&lt;="&amp;AN$77,[1]!Resources[Retirement Date],"&gt;="&amp;AN$77,[1]!Resources[Unique Key],$AI93,[1]!Resources[Availability '#],"&gt;="&amp;2)</f>
        <v>0</v>
      </c>
      <c r="AO93" s="6">
        <f>SUMIFS([1]!Resources[Summer Rating],[1]!Resources[COD],"&lt;="&amp;AO$77,[1]!Resources[Retirement Date],"&gt;="&amp;AO$77,[1]!Resources[Unique Key],$AI93,[1]!Resources[Availability '#],"&gt;="&amp;2)</f>
        <v>0</v>
      </c>
      <c r="AP93" s="6">
        <f>SUMIFS([1]!Resources[Summer Rating],[1]!Resources[COD],"&lt;="&amp;AP$77,[1]!Resources[Retirement Date],"&gt;="&amp;AP$77,[1]!Resources[Unique Key],$AI93,[1]!Resources[Availability '#],"&gt;="&amp;2)</f>
        <v>0</v>
      </c>
      <c r="AQ93" s="6">
        <f>SUMIFS([1]!Resources[Summer Rating],[1]!Resources[COD],"&lt;="&amp;AQ$77,[1]!Resources[Retirement Date],"&gt;="&amp;AQ$77,[1]!Resources[Unique Key],$AI93,[1]!Resources[Availability '#],"&gt;="&amp;2)</f>
        <v>0</v>
      </c>
      <c r="AR93" s="6">
        <f>SUMIFS([1]!Resources[Summer Rating],[1]!Resources[COD],"&lt;="&amp;AR$77,[1]!Resources[Retirement Date],"&gt;="&amp;AR$77,[1]!Resources[Unique Key],$AI93,[1]!Resources[Availability '#],"&gt;="&amp;2)</f>
        <v>0</v>
      </c>
      <c r="AS93" s="6">
        <f>SUMIFS([1]!Resources[Summer Rating],[1]!Resources[COD],"&lt;="&amp;AS$77,[1]!Resources[Retirement Date],"&gt;="&amp;AS$77,[1]!Resources[Unique Key],$AI93,[1]!Resources[Availability '#],"&gt;="&amp;2)</f>
        <v>0</v>
      </c>
      <c r="AT93" s="6">
        <f>SUMIFS([1]!Resources[Summer Rating],[1]!Resources[COD],"&lt;="&amp;AT$77,[1]!Resources[Retirement Date],"&gt;="&amp;AT$77,[1]!Resources[Unique Key],$AI93,[1]!Resources[Availability '#],"&gt;="&amp;2)</f>
        <v>0</v>
      </c>
      <c r="AU93" s="6">
        <f>SUMIFS([1]!Resources[Summer Rating],[1]!Resources[COD],"&lt;="&amp;AU$77,[1]!Resources[Retirement Date],"&gt;="&amp;AU$77,[1]!Resources[Unique Key],$AI93,[1]!Resources[Availability '#],"&gt;="&amp;2)</f>
        <v>0</v>
      </c>
      <c r="AV93" s="6">
        <f>SUMIFS([1]!Resources[Summer Rating],[1]!Resources[COD],"&lt;="&amp;AV$77,[1]!Resources[Retirement Date],"&gt;="&amp;AV$77,[1]!Resources[Unique Key],$AI93,[1]!Resources[Availability '#],"&gt;="&amp;2)</f>
        <v>0</v>
      </c>
      <c r="AW93" s="6">
        <f>SUMIFS([1]!Resources[Summer Rating],[1]!Resources[COD],"&lt;="&amp;AW$77,[1]!Resources[Retirement Date],"&gt;="&amp;AW$77,[1]!Resources[Unique Key],$AI93,[1]!Resources[Availability '#],"&gt;="&amp;2)</f>
        <v>0</v>
      </c>
      <c r="AX93" s="6">
        <f>SUMIFS([1]!Resources[Summer Rating],[1]!Resources[COD],"&lt;="&amp;AX$77,[1]!Resources[Retirement Date],"&gt;="&amp;AX$77,[1]!Resources[Unique Key],$AI93,[1]!Resources[Availability '#],"&gt;="&amp;2)</f>
        <v>0</v>
      </c>
      <c r="AY93" s="6">
        <f>SUMIFS([1]!Resources[Summer Rating],[1]!Resources[COD],"&lt;="&amp;AY$77,[1]!Resources[Retirement Date],"&gt;="&amp;AY$77,[1]!Resources[Unique Key],$AI93,[1]!Resources[Availability '#],"&gt;="&amp;2)</f>
        <v>0</v>
      </c>
      <c r="AZ93" s="6">
        <f>SUMIFS([1]!Resources[Summer Rating],[1]!Resources[COD],"&lt;="&amp;AZ$77,[1]!Resources[Retirement Date],"&gt;="&amp;AZ$77,[1]!Resources[Unique Key],$AI93,[1]!Resources[Availability '#],"&gt;="&amp;2)</f>
        <v>0</v>
      </c>
      <c r="BA93" s="6">
        <f>SUMIFS([1]!Resources[Summer Rating],[1]!Resources[COD],"&lt;="&amp;BA$77,[1]!Resources[Retirement Date],"&gt;="&amp;BA$77,[1]!Resources[Unique Key],$AI93,[1]!Resources[Availability '#],"&gt;="&amp;2)</f>
        <v>0</v>
      </c>
      <c r="BB93" s="6">
        <f>SUMIFS([1]!Resources[Summer Rating],[1]!Resources[COD],"&lt;="&amp;BB$77,[1]!Resources[Retirement Date],"&gt;="&amp;BB$77,[1]!Resources[Unique Key],$AI93,[1]!Resources[Availability '#],"&gt;="&amp;2)</f>
        <v>0</v>
      </c>
      <c r="BC93" s="6">
        <f>SUMIFS([1]!Resources[Summer Rating],[1]!Resources[COD],"&lt;="&amp;BC$77,[1]!Resources[Retirement Date],"&gt;="&amp;BC$77,[1]!Resources[Unique Key],$AI93,[1]!Resources[Availability '#],"&gt;="&amp;2)</f>
        <v>0</v>
      </c>
      <c r="BD93" s="6">
        <f>SUMIFS([1]!Resources[Summer Rating],[1]!Resources[COD],"&lt;="&amp;BD$77,[1]!Resources[Retirement Date],"&gt;="&amp;BD$77,[1]!Resources[Unique Key],$AI93,[1]!Resources[Availability '#],"&gt;="&amp;2)</f>
        <v>0</v>
      </c>
      <c r="BE93" s="6">
        <f>SUMIFS([1]!Resources[Summer Rating],[1]!Resources[COD],"&lt;="&amp;BE$77,[1]!Resources[Retirement Date],"&gt;="&amp;BE$77,[1]!Resources[Unique Key],$AI93,[1]!Resources[Availability '#],"&gt;="&amp;2)</f>
        <v>0</v>
      </c>
      <c r="BF93" s="6">
        <f>SUMIFS([1]!Resources[Summer Rating],[1]!Resources[COD],"&lt;="&amp;BF$77,[1]!Resources[Retirement Date],"&gt;="&amp;BF$77,[1]!Resources[Unique Key],$AI93,[1]!Resources[Availability '#],"&gt;="&amp;2)</f>
        <v>0</v>
      </c>
      <c r="BG93" s="6">
        <f>SUMIFS([1]!Resources[Summer Rating],[1]!Resources[COD],"&lt;="&amp;BG$77,[1]!Resources[Retirement Date],"&gt;="&amp;BG$77,[1]!Resources[Unique Key],$AI93,[1]!Resources[Availability '#],"&gt;="&amp;2)</f>
        <v>0</v>
      </c>
      <c r="BH93" s="6">
        <f>SUMIFS([1]!Resources[Summer Rating],[1]!Resources[COD],"&lt;="&amp;BH$77,[1]!Resources[Retirement Date],"&gt;="&amp;BH$77,[1]!Resources[Unique Key],$AI93,[1]!Resources[Availability '#],"&gt;="&amp;2)</f>
        <v>0</v>
      </c>
      <c r="BI93" s="6">
        <f>SUMIFS([1]!Resources[Summer Rating],[1]!Resources[COD],"&lt;="&amp;BI$77,[1]!Resources[Retirement Date],"&gt;="&amp;BI$77,[1]!Resources[Unique Key],$AI93,[1]!Resources[Availability '#],"&gt;="&amp;2)</f>
        <v>0</v>
      </c>
      <c r="BK93" s="5" t="s">
        <v>59</v>
      </c>
      <c r="BL93" s="20">
        <v>4.1859999999999999</v>
      </c>
      <c r="BM93" s="20">
        <v>4.1859999999999999</v>
      </c>
      <c r="BN93" s="20">
        <v>4.1859999999999999</v>
      </c>
      <c r="BO93" s="20">
        <v>4.1859999999999999</v>
      </c>
      <c r="BP93" s="20">
        <v>4.1859999999999999</v>
      </c>
      <c r="BQ93" s="20">
        <v>0</v>
      </c>
      <c r="BR93" s="20">
        <v>0</v>
      </c>
      <c r="BS93" s="20">
        <v>0</v>
      </c>
      <c r="BT93" s="20">
        <v>0</v>
      </c>
      <c r="BU93" s="20">
        <v>0</v>
      </c>
      <c r="BV93" s="20">
        <v>0</v>
      </c>
      <c r="BW93" s="20">
        <v>0</v>
      </c>
      <c r="BX93" s="20">
        <v>0</v>
      </c>
      <c r="BY93" s="20">
        <v>0</v>
      </c>
      <c r="BZ93" s="20">
        <v>0</v>
      </c>
      <c r="CA93" s="20">
        <v>0</v>
      </c>
      <c r="CB93" s="20">
        <v>0</v>
      </c>
      <c r="CC93" s="20">
        <v>0</v>
      </c>
      <c r="CD93" s="20">
        <v>0</v>
      </c>
      <c r="CE93" s="20">
        <v>0</v>
      </c>
      <c r="CF93" s="20">
        <v>0</v>
      </c>
      <c r="CG93" s="20">
        <v>0</v>
      </c>
      <c r="CH93" s="20">
        <v>0</v>
      </c>
      <c r="CI93" s="20">
        <v>0</v>
      </c>
      <c r="CJ93" s="20">
        <v>0</v>
      </c>
      <c r="CK93" s="20">
        <v>0</v>
      </c>
      <c r="CM93" s="5" t="s">
        <v>59</v>
      </c>
      <c r="CN93" s="21">
        <v>3.9079999999999999</v>
      </c>
      <c r="CO93" s="22">
        <v>3.9079999999999999</v>
      </c>
      <c r="CP93" s="22">
        <v>3.9079999999999999</v>
      </c>
      <c r="CQ93" s="22">
        <v>3.9079999999999999</v>
      </c>
      <c r="CR93" s="22">
        <v>3.9079999999999999</v>
      </c>
      <c r="CS93" s="22">
        <v>0</v>
      </c>
      <c r="CT93" s="22">
        <v>0</v>
      </c>
      <c r="CU93" s="22">
        <v>0</v>
      </c>
      <c r="CV93" s="22">
        <v>0</v>
      </c>
      <c r="CW93" s="22">
        <v>0</v>
      </c>
      <c r="CX93" s="22">
        <v>0</v>
      </c>
      <c r="CY93" s="22">
        <v>0</v>
      </c>
      <c r="CZ93" s="22">
        <v>0</v>
      </c>
      <c r="DA93" s="22">
        <v>0</v>
      </c>
      <c r="DB93" s="22">
        <v>0</v>
      </c>
      <c r="DC93" s="22">
        <v>0</v>
      </c>
      <c r="DD93" s="22">
        <v>0</v>
      </c>
      <c r="DE93" s="22">
        <v>0</v>
      </c>
      <c r="DF93" s="22">
        <v>0</v>
      </c>
      <c r="DG93" s="22">
        <v>0</v>
      </c>
      <c r="DH93" s="22">
        <v>0</v>
      </c>
      <c r="DI93" s="22">
        <v>0</v>
      </c>
      <c r="DJ93" s="22">
        <v>0</v>
      </c>
      <c r="DK93" s="22">
        <v>0</v>
      </c>
      <c r="DL93" s="22">
        <v>0</v>
      </c>
      <c r="DM93" s="22">
        <v>0</v>
      </c>
      <c r="DO93" s="5" t="s">
        <v>59</v>
      </c>
      <c r="DP93" s="23">
        <v>0.59</v>
      </c>
      <c r="DQ93" s="23">
        <v>0.59</v>
      </c>
      <c r="DR93" s="23">
        <v>0.59</v>
      </c>
      <c r="DS93" s="23">
        <v>0.59</v>
      </c>
      <c r="DT93" s="23">
        <v>0.59</v>
      </c>
      <c r="DU93" s="23">
        <v>0</v>
      </c>
      <c r="DV93" s="23">
        <v>0</v>
      </c>
      <c r="DW93" s="23">
        <v>0</v>
      </c>
      <c r="DX93" s="23">
        <v>0</v>
      </c>
      <c r="DY93" s="23">
        <v>0</v>
      </c>
      <c r="DZ93" s="23">
        <v>0</v>
      </c>
      <c r="EA93" s="23">
        <v>0</v>
      </c>
      <c r="EB93" s="23">
        <v>0</v>
      </c>
      <c r="EC93" s="23">
        <v>0</v>
      </c>
      <c r="ED93" s="23">
        <v>0</v>
      </c>
      <c r="EE93" s="23">
        <v>0</v>
      </c>
      <c r="EF93" s="23">
        <v>0</v>
      </c>
      <c r="EG93" s="23">
        <v>0</v>
      </c>
      <c r="EH93" s="23">
        <v>0</v>
      </c>
      <c r="EI93" s="23">
        <v>0</v>
      </c>
      <c r="EJ93" s="23">
        <v>0</v>
      </c>
      <c r="EK93" s="23">
        <v>0</v>
      </c>
      <c r="EL93" s="23">
        <v>0</v>
      </c>
      <c r="EM93" s="23">
        <v>0</v>
      </c>
      <c r="EN93" s="23">
        <v>0</v>
      </c>
      <c r="EO93" s="23">
        <v>0</v>
      </c>
      <c r="EP93" s="24">
        <f ca="1">IFERROR(INDEX('[1]GenX Resources'!$AP$10:$AP$46,MATCH(DO93,'[1]GenX Resources'!$B$10:$B$46,0)),0)</f>
        <v>0.59</v>
      </c>
      <c r="EQ93" s="2" t="b">
        <f t="shared" ca="1" si="35"/>
        <v>1</v>
      </c>
      <c r="ES93" s="25">
        <f ca="1">IFERROR(INDEX('[1]GenX Resources'!$AD:$AD,MATCH($G93,'[1]GenX Resources'!$B:$B,0)) - IF(OR(INDEX('[1]GenX Resources'!$L:$L,MATCH($G93,'[1]GenX Resources'!$B:$B,0)),ISNUMBER(SEARCH("New Generic",$G93))),0,INDEX('[1]GenX Resources'!$M:$M,MATCH($G93,'[1]GenX Resources'!$B:$B,0))),0)</f>
        <v>70000</v>
      </c>
      <c r="EU93" s="5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</row>
    <row r="94" spans="6:177" ht="16" x14ac:dyDescent="0.2">
      <c r="F94" s="19" t="str">
        <f>IFERROR(INDEX('[1]GenX Resources'!$A$10:$A$76,MATCH(G94,'[1]GenX Resources'!$B$10:$B$76,0)),"")</f>
        <v>Coal</v>
      </c>
      <c r="G94" s="5" t="s">
        <v>60</v>
      </c>
      <c r="H94" s="6">
        <v>268</v>
      </c>
      <c r="I94" s="6">
        <v>268</v>
      </c>
      <c r="J94" s="6">
        <v>268</v>
      </c>
      <c r="K94" s="6">
        <v>268</v>
      </c>
      <c r="L94" s="6">
        <v>268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I94" s="5" t="s">
        <v>60</v>
      </c>
      <c r="AJ94" s="6">
        <f>SUMIFS([1]!Resources[Summer Rating],[1]!Resources[COD],"&lt;="&amp;AJ$77,[1]!Resources[Retirement Date],"&gt;="&amp;AJ$77,[1]!Resources[Unique Key],$AI94,[1]!Resources[Availability '#],"&gt;="&amp;2)</f>
        <v>0</v>
      </c>
      <c r="AK94" s="6">
        <f>SUMIFS([1]!Resources[Summer Rating],[1]!Resources[COD],"&lt;="&amp;AK$77,[1]!Resources[Retirement Date],"&gt;="&amp;AK$77,[1]!Resources[Unique Key],$AI94,[1]!Resources[Availability '#],"&gt;="&amp;2)</f>
        <v>0</v>
      </c>
      <c r="AL94" s="6">
        <f>SUMIFS([1]!Resources[Summer Rating],[1]!Resources[COD],"&lt;="&amp;AL$77,[1]!Resources[Retirement Date],"&gt;="&amp;AL$77,[1]!Resources[Unique Key],$AI94,[1]!Resources[Availability '#],"&gt;="&amp;2)</f>
        <v>0</v>
      </c>
      <c r="AM94" s="6">
        <f>SUMIFS([1]!Resources[Summer Rating],[1]!Resources[COD],"&lt;="&amp;AM$77,[1]!Resources[Retirement Date],"&gt;="&amp;AM$77,[1]!Resources[Unique Key],$AI94,[1]!Resources[Availability '#],"&gt;="&amp;2)</f>
        <v>0</v>
      </c>
      <c r="AN94" s="6">
        <f>SUMIFS([1]!Resources[Summer Rating],[1]!Resources[COD],"&lt;="&amp;AN$77,[1]!Resources[Retirement Date],"&gt;="&amp;AN$77,[1]!Resources[Unique Key],$AI94,[1]!Resources[Availability '#],"&gt;="&amp;2)</f>
        <v>0</v>
      </c>
      <c r="AO94" s="6">
        <f>SUMIFS([1]!Resources[Summer Rating],[1]!Resources[COD],"&lt;="&amp;AO$77,[1]!Resources[Retirement Date],"&gt;="&amp;AO$77,[1]!Resources[Unique Key],$AI94,[1]!Resources[Availability '#],"&gt;="&amp;2)</f>
        <v>0</v>
      </c>
      <c r="AP94" s="6">
        <f>SUMIFS([1]!Resources[Summer Rating],[1]!Resources[COD],"&lt;="&amp;AP$77,[1]!Resources[Retirement Date],"&gt;="&amp;AP$77,[1]!Resources[Unique Key],$AI94,[1]!Resources[Availability '#],"&gt;="&amp;2)</f>
        <v>0</v>
      </c>
      <c r="AQ94" s="6">
        <f>SUMIFS([1]!Resources[Summer Rating],[1]!Resources[COD],"&lt;="&amp;AQ$77,[1]!Resources[Retirement Date],"&gt;="&amp;AQ$77,[1]!Resources[Unique Key],$AI94,[1]!Resources[Availability '#],"&gt;="&amp;2)</f>
        <v>0</v>
      </c>
      <c r="AR94" s="6">
        <f>SUMIFS([1]!Resources[Summer Rating],[1]!Resources[COD],"&lt;="&amp;AR$77,[1]!Resources[Retirement Date],"&gt;="&amp;AR$77,[1]!Resources[Unique Key],$AI94,[1]!Resources[Availability '#],"&gt;="&amp;2)</f>
        <v>0</v>
      </c>
      <c r="AS94" s="6">
        <f>SUMIFS([1]!Resources[Summer Rating],[1]!Resources[COD],"&lt;="&amp;AS$77,[1]!Resources[Retirement Date],"&gt;="&amp;AS$77,[1]!Resources[Unique Key],$AI94,[1]!Resources[Availability '#],"&gt;="&amp;2)</f>
        <v>0</v>
      </c>
      <c r="AT94" s="6">
        <f>SUMIFS([1]!Resources[Summer Rating],[1]!Resources[COD],"&lt;="&amp;AT$77,[1]!Resources[Retirement Date],"&gt;="&amp;AT$77,[1]!Resources[Unique Key],$AI94,[1]!Resources[Availability '#],"&gt;="&amp;2)</f>
        <v>0</v>
      </c>
      <c r="AU94" s="6">
        <f>SUMIFS([1]!Resources[Summer Rating],[1]!Resources[COD],"&lt;="&amp;AU$77,[1]!Resources[Retirement Date],"&gt;="&amp;AU$77,[1]!Resources[Unique Key],$AI94,[1]!Resources[Availability '#],"&gt;="&amp;2)</f>
        <v>0</v>
      </c>
      <c r="AV94" s="6">
        <f>SUMIFS([1]!Resources[Summer Rating],[1]!Resources[COD],"&lt;="&amp;AV$77,[1]!Resources[Retirement Date],"&gt;="&amp;AV$77,[1]!Resources[Unique Key],$AI94,[1]!Resources[Availability '#],"&gt;="&amp;2)</f>
        <v>0</v>
      </c>
      <c r="AW94" s="6">
        <f>SUMIFS([1]!Resources[Summer Rating],[1]!Resources[COD],"&lt;="&amp;AW$77,[1]!Resources[Retirement Date],"&gt;="&amp;AW$77,[1]!Resources[Unique Key],$AI94,[1]!Resources[Availability '#],"&gt;="&amp;2)</f>
        <v>0</v>
      </c>
      <c r="AX94" s="6">
        <f>SUMIFS([1]!Resources[Summer Rating],[1]!Resources[COD],"&lt;="&amp;AX$77,[1]!Resources[Retirement Date],"&gt;="&amp;AX$77,[1]!Resources[Unique Key],$AI94,[1]!Resources[Availability '#],"&gt;="&amp;2)</f>
        <v>0</v>
      </c>
      <c r="AY94" s="6">
        <f>SUMIFS([1]!Resources[Summer Rating],[1]!Resources[COD],"&lt;="&amp;AY$77,[1]!Resources[Retirement Date],"&gt;="&amp;AY$77,[1]!Resources[Unique Key],$AI94,[1]!Resources[Availability '#],"&gt;="&amp;2)</f>
        <v>0</v>
      </c>
      <c r="AZ94" s="6">
        <f>SUMIFS([1]!Resources[Summer Rating],[1]!Resources[COD],"&lt;="&amp;AZ$77,[1]!Resources[Retirement Date],"&gt;="&amp;AZ$77,[1]!Resources[Unique Key],$AI94,[1]!Resources[Availability '#],"&gt;="&amp;2)</f>
        <v>0</v>
      </c>
      <c r="BA94" s="6">
        <f>SUMIFS([1]!Resources[Summer Rating],[1]!Resources[COD],"&lt;="&amp;BA$77,[1]!Resources[Retirement Date],"&gt;="&amp;BA$77,[1]!Resources[Unique Key],$AI94,[1]!Resources[Availability '#],"&gt;="&amp;2)</f>
        <v>0</v>
      </c>
      <c r="BB94" s="6">
        <f>SUMIFS([1]!Resources[Summer Rating],[1]!Resources[COD],"&lt;="&amp;BB$77,[1]!Resources[Retirement Date],"&gt;="&amp;BB$77,[1]!Resources[Unique Key],$AI94,[1]!Resources[Availability '#],"&gt;="&amp;2)</f>
        <v>0</v>
      </c>
      <c r="BC94" s="6">
        <f>SUMIFS([1]!Resources[Summer Rating],[1]!Resources[COD],"&lt;="&amp;BC$77,[1]!Resources[Retirement Date],"&gt;="&amp;BC$77,[1]!Resources[Unique Key],$AI94,[1]!Resources[Availability '#],"&gt;="&amp;2)</f>
        <v>0</v>
      </c>
      <c r="BD94" s="6">
        <f>SUMIFS([1]!Resources[Summer Rating],[1]!Resources[COD],"&lt;="&amp;BD$77,[1]!Resources[Retirement Date],"&gt;="&amp;BD$77,[1]!Resources[Unique Key],$AI94,[1]!Resources[Availability '#],"&gt;="&amp;2)</f>
        <v>0</v>
      </c>
      <c r="BE94" s="6">
        <f>SUMIFS([1]!Resources[Summer Rating],[1]!Resources[COD],"&lt;="&amp;BE$77,[1]!Resources[Retirement Date],"&gt;="&amp;BE$77,[1]!Resources[Unique Key],$AI94,[1]!Resources[Availability '#],"&gt;="&amp;2)</f>
        <v>0</v>
      </c>
      <c r="BF94" s="6">
        <f>SUMIFS([1]!Resources[Summer Rating],[1]!Resources[COD],"&lt;="&amp;BF$77,[1]!Resources[Retirement Date],"&gt;="&amp;BF$77,[1]!Resources[Unique Key],$AI94,[1]!Resources[Availability '#],"&gt;="&amp;2)</f>
        <v>0</v>
      </c>
      <c r="BG94" s="6">
        <f>SUMIFS([1]!Resources[Summer Rating],[1]!Resources[COD],"&lt;="&amp;BG$77,[1]!Resources[Retirement Date],"&gt;="&amp;BG$77,[1]!Resources[Unique Key],$AI94,[1]!Resources[Availability '#],"&gt;="&amp;2)</f>
        <v>0</v>
      </c>
      <c r="BH94" s="6">
        <f>SUMIFS([1]!Resources[Summer Rating],[1]!Resources[COD],"&lt;="&amp;BH$77,[1]!Resources[Retirement Date],"&gt;="&amp;BH$77,[1]!Resources[Unique Key],$AI94,[1]!Resources[Availability '#],"&gt;="&amp;2)</f>
        <v>0</v>
      </c>
      <c r="BI94" s="6">
        <f>SUMIFS([1]!Resources[Summer Rating],[1]!Resources[COD],"&lt;="&amp;BI$77,[1]!Resources[Retirement Date],"&gt;="&amp;BI$77,[1]!Resources[Unique Key],$AI94,[1]!Resources[Availability '#],"&gt;="&amp;2)</f>
        <v>0</v>
      </c>
      <c r="BK94" s="5" t="s">
        <v>60</v>
      </c>
      <c r="BL94" s="20">
        <v>1.385</v>
      </c>
      <c r="BM94" s="20">
        <v>1.385</v>
      </c>
      <c r="BN94" s="20">
        <v>0</v>
      </c>
      <c r="BO94" s="20">
        <v>0</v>
      </c>
      <c r="BP94" s="20">
        <v>0</v>
      </c>
      <c r="BQ94" s="20">
        <v>0</v>
      </c>
      <c r="BR94" s="20">
        <v>0</v>
      </c>
      <c r="BS94" s="20">
        <v>0</v>
      </c>
      <c r="BT94" s="20">
        <v>0</v>
      </c>
      <c r="BU94" s="20">
        <v>0</v>
      </c>
      <c r="BV94" s="20">
        <v>0</v>
      </c>
      <c r="BW94" s="20">
        <v>0</v>
      </c>
      <c r="BX94" s="20">
        <v>0</v>
      </c>
      <c r="BY94" s="20">
        <v>0</v>
      </c>
      <c r="BZ94" s="20">
        <v>0</v>
      </c>
      <c r="CA94" s="20">
        <v>0</v>
      </c>
      <c r="CB94" s="20">
        <v>0</v>
      </c>
      <c r="CC94" s="20">
        <v>0</v>
      </c>
      <c r="CD94" s="20">
        <v>0</v>
      </c>
      <c r="CE94" s="20">
        <v>0</v>
      </c>
      <c r="CF94" s="20">
        <v>0</v>
      </c>
      <c r="CG94" s="20">
        <v>0</v>
      </c>
      <c r="CH94" s="20">
        <v>0</v>
      </c>
      <c r="CI94" s="20">
        <v>0</v>
      </c>
      <c r="CJ94" s="20">
        <v>0</v>
      </c>
      <c r="CK94" s="20">
        <v>0</v>
      </c>
      <c r="CM94" s="5" t="s">
        <v>60</v>
      </c>
      <c r="CN94" s="21">
        <v>1.1160000000000001</v>
      </c>
      <c r="CO94" s="22">
        <v>1.1160000000000001</v>
      </c>
      <c r="CP94" s="22">
        <v>0</v>
      </c>
      <c r="CQ94" s="22">
        <v>0</v>
      </c>
      <c r="CR94" s="22">
        <v>0</v>
      </c>
      <c r="CS94" s="22">
        <v>0</v>
      </c>
      <c r="CT94" s="22">
        <v>0</v>
      </c>
      <c r="CU94" s="22">
        <v>0</v>
      </c>
      <c r="CV94" s="22">
        <v>0</v>
      </c>
      <c r="CW94" s="22">
        <v>0</v>
      </c>
      <c r="CX94" s="22">
        <v>0</v>
      </c>
      <c r="CY94" s="22">
        <v>0</v>
      </c>
      <c r="CZ94" s="22">
        <v>0</v>
      </c>
      <c r="DA94" s="22">
        <v>0</v>
      </c>
      <c r="DB94" s="22">
        <v>0</v>
      </c>
      <c r="DC94" s="22">
        <v>0</v>
      </c>
      <c r="DD94" s="22">
        <v>0</v>
      </c>
      <c r="DE94" s="22">
        <v>0</v>
      </c>
      <c r="DF94" s="22">
        <v>0</v>
      </c>
      <c r="DG94" s="22">
        <v>0</v>
      </c>
      <c r="DH94" s="22">
        <v>0</v>
      </c>
      <c r="DI94" s="22">
        <v>0</v>
      </c>
      <c r="DJ94" s="22">
        <v>0</v>
      </c>
      <c r="DK94" s="22">
        <v>0</v>
      </c>
      <c r="DL94" s="22">
        <v>0</v>
      </c>
      <c r="DM94" s="22">
        <v>0</v>
      </c>
      <c r="DO94" s="5" t="s">
        <v>60</v>
      </c>
      <c r="DP94" s="23">
        <v>0.59</v>
      </c>
      <c r="DQ94" s="23">
        <v>0.59</v>
      </c>
      <c r="DR94" s="23">
        <v>0</v>
      </c>
      <c r="DS94" s="23">
        <v>0</v>
      </c>
      <c r="DT94" s="23">
        <v>0</v>
      </c>
      <c r="DU94" s="23">
        <v>0</v>
      </c>
      <c r="DV94" s="23">
        <v>0</v>
      </c>
      <c r="DW94" s="23">
        <v>0</v>
      </c>
      <c r="DX94" s="23">
        <v>0</v>
      </c>
      <c r="DY94" s="23">
        <v>0</v>
      </c>
      <c r="DZ94" s="23">
        <v>0</v>
      </c>
      <c r="EA94" s="23">
        <v>0</v>
      </c>
      <c r="EB94" s="23">
        <v>0</v>
      </c>
      <c r="EC94" s="23">
        <v>0</v>
      </c>
      <c r="ED94" s="23">
        <v>0</v>
      </c>
      <c r="EE94" s="23">
        <v>0</v>
      </c>
      <c r="EF94" s="23">
        <v>0</v>
      </c>
      <c r="EG94" s="23">
        <v>0</v>
      </c>
      <c r="EH94" s="23">
        <v>0</v>
      </c>
      <c r="EI94" s="23">
        <v>0</v>
      </c>
      <c r="EJ94" s="23">
        <v>0</v>
      </c>
      <c r="EK94" s="23">
        <v>0</v>
      </c>
      <c r="EL94" s="23">
        <v>0</v>
      </c>
      <c r="EM94" s="23">
        <v>0</v>
      </c>
      <c r="EN94" s="23">
        <v>0</v>
      </c>
      <c r="EO94" s="23">
        <v>0</v>
      </c>
      <c r="EP94" s="24">
        <f>IFERROR(INDEX('[1]GenX Resources'!$AP$10:$AP$46,MATCH(DO94,'[1]GenX Resources'!$B$10:$B$46,0)),0)</f>
        <v>0</v>
      </c>
      <c r="EQ94" s="2" t="b">
        <f t="shared" si="35"/>
        <v>1</v>
      </c>
      <c r="ES94" s="25">
        <f ca="1">IFERROR(INDEX('[1]GenX Resources'!$AD:$AD,MATCH($G94,'[1]GenX Resources'!$B:$B,0)) - IF(OR(INDEX('[1]GenX Resources'!$L:$L,MATCH($G94,'[1]GenX Resources'!$B:$B,0)),ISNUMBER(SEARCH("New Generic",$G94))),0,INDEX('[1]GenX Resources'!$M:$M,MATCH($G94,'[1]GenX Resources'!$B:$B,0))),0)</f>
        <v>70000</v>
      </c>
      <c r="EU94" s="5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</row>
    <row r="95" spans="6:177" ht="16" x14ac:dyDescent="0.2">
      <c r="F95" s="19" t="str">
        <f>IFERROR(INDEX('[1]GenX Resources'!$A$10:$A$76,MATCH(G95,'[1]GenX Resources'!$B$10:$B$76,0)),"")</f>
        <v>Coal</v>
      </c>
      <c r="G95" s="5" t="s">
        <v>61</v>
      </c>
      <c r="H95" s="6">
        <v>268</v>
      </c>
      <c r="I95" s="6">
        <v>268</v>
      </c>
      <c r="J95" s="6">
        <v>268</v>
      </c>
      <c r="K95" s="6">
        <v>268</v>
      </c>
      <c r="L95" s="6">
        <v>268</v>
      </c>
      <c r="M95" s="6">
        <v>268</v>
      </c>
      <c r="N95" s="6">
        <v>268</v>
      </c>
      <c r="O95" s="6">
        <v>268</v>
      </c>
      <c r="P95" s="6">
        <v>268</v>
      </c>
      <c r="Q95" s="6">
        <v>268</v>
      </c>
      <c r="R95" s="6">
        <v>268</v>
      </c>
      <c r="S95" s="6">
        <v>268</v>
      </c>
      <c r="T95" s="6">
        <v>268</v>
      </c>
      <c r="U95" s="6">
        <v>268</v>
      </c>
      <c r="V95" s="6">
        <v>268</v>
      </c>
      <c r="W95" s="6">
        <v>268</v>
      </c>
      <c r="X95" s="6">
        <v>268</v>
      </c>
      <c r="Y95" s="6">
        <v>268</v>
      </c>
      <c r="Z95" s="6">
        <v>268</v>
      </c>
      <c r="AA95" s="6">
        <v>268</v>
      </c>
      <c r="AB95" s="6">
        <v>268</v>
      </c>
      <c r="AC95" s="6">
        <v>268</v>
      </c>
      <c r="AD95" s="6">
        <v>268</v>
      </c>
      <c r="AE95" s="6">
        <v>268</v>
      </c>
      <c r="AF95" s="6">
        <v>268</v>
      </c>
      <c r="AG95" s="6">
        <v>268</v>
      </c>
      <c r="AI95" s="5" t="s">
        <v>61</v>
      </c>
      <c r="AJ95" s="6">
        <f>SUMIFS([1]!Resources[Summer Rating],[1]!Resources[COD],"&lt;="&amp;AJ$77,[1]!Resources[Retirement Date],"&gt;="&amp;AJ$77,[1]!Resources[Unique Key],$AI95,[1]!Resources[Availability '#],"&gt;="&amp;2)</f>
        <v>0</v>
      </c>
      <c r="AK95" s="6">
        <f>SUMIFS([1]!Resources[Summer Rating],[1]!Resources[COD],"&lt;="&amp;AK$77,[1]!Resources[Retirement Date],"&gt;="&amp;AK$77,[1]!Resources[Unique Key],$AI95,[1]!Resources[Availability '#],"&gt;="&amp;2)</f>
        <v>0</v>
      </c>
      <c r="AL95" s="6">
        <f>SUMIFS([1]!Resources[Summer Rating],[1]!Resources[COD],"&lt;="&amp;AL$77,[1]!Resources[Retirement Date],"&gt;="&amp;AL$77,[1]!Resources[Unique Key],$AI95,[1]!Resources[Availability '#],"&gt;="&amp;2)</f>
        <v>0</v>
      </c>
      <c r="AM95" s="6">
        <f>SUMIFS([1]!Resources[Summer Rating],[1]!Resources[COD],"&lt;="&amp;AM$77,[1]!Resources[Retirement Date],"&gt;="&amp;AM$77,[1]!Resources[Unique Key],$AI95,[1]!Resources[Availability '#],"&gt;="&amp;2)</f>
        <v>0</v>
      </c>
      <c r="AN95" s="6">
        <f>SUMIFS([1]!Resources[Summer Rating],[1]!Resources[COD],"&lt;="&amp;AN$77,[1]!Resources[Retirement Date],"&gt;="&amp;AN$77,[1]!Resources[Unique Key],$AI95,[1]!Resources[Availability '#],"&gt;="&amp;2)</f>
        <v>0</v>
      </c>
      <c r="AO95" s="6">
        <f>SUMIFS([1]!Resources[Summer Rating],[1]!Resources[COD],"&lt;="&amp;AO$77,[1]!Resources[Retirement Date],"&gt;="&amp;AO$77,[1]!Resources[Unique Key],$AI95,[1]!Resources[Availability '#],"&gt;="&amp;2)</f>
        <v>0</v>
      </c>
      <c r="AP95" s="6">
        <f>SUMIFS([1]!Resources[Summer Rating],[1]!Resources[COD],"&lt;="&amp;AP$77,[1]!Resources[Retirement Date],"&gt;="&amp;AP$77,[1]!Resources[Unique Key],$AI95,[1]!Resources[Availability '#],"&gt;="&amp;2)</f>
        <v>0</v>
      </c>
      <c r="AQ95" s="6">
        <f>SUMIFS([1]!Resources[Summer Rating],[1]!Resources[COD],"&lt;="&amp;AQ$77,[1]!Resources[Retirement Date],"&gt;="&amp;AQ$77,[1]!Resources[Unique Key],$AI95,[1]!Resources[Availability '#],"&gt;="&amp;2)</f>
        <v>0</v>
      </c>
      <c r="AR95" s="6">
        <f>SUMIFS([1]!Resources[Summer Rating],[1]!Resources[COD],"&lt;="&amp;AR$77,[1]!Resources[Retirement Date],"&gt;="&amp;AR$77,[1]!Resources[Unique Key],$AI95,[1]!Resources[Availability '#],"&gt;="&amp;2)</f>
        <v>0</v>
      </c>
      <c r="AS95" s="6">
        <f>SUMIFS([1]!Resources[Summer Rating],[1]!Resources[COD],"&lt;="&amp;AS$77,[1]!Resources[Retirement Date],"&gt;="&amp;AS$77,[1]!Resources[Unique Key],$AI95,[1]!Resources[Availability '#],"&gt;="&amp;2)</f>
        <v>0</v>
      </c>
      <c r="AT95" s="6">
        <f>SUMIFS([1]!Resources[Summer Rating],[1]!Resources[COD],"&lt;="&amp;AT$77,[1]!Resources[Retirement Date],"&gt;="&amp;AT$77,[1]!Resources[Unique Key],$AI95,[1]!Resources[Availability '#],"&gt;="&amp;2)</f>
        <v>0</v>
      </c>
      <c r="AU95" s="6">
        <f>SUMIFS([1]!Resources[Summer Rating],[1]!Resources[COD],"&lt;="&amp;AU$77,[1]!Resources[Retirement Date],"&gt;="&amp;AU$77,[1]!Resources[Unique Key],$AI95,[1]!Resources[Availability '#],"&gt;="&amp;2)</f>
        <v>0</v>
      </c>
      <c r="AV95" s="6">
        <f>SUMIFS([1]!Resources[Summer Rating],[1]!Resources[COD],"&lt;="&amp;AV$77,[1]!Resources[Retirement Date],"&gt;="&amp;AV$77,[1]!Resources[Unique Key],$AI95,[1]!Resources[Availability '#],"&gt;="&amp;2)</f>
        <v>0</v>
      </c>
      <c r="AW95" s="6">
        <f>SUMIFS([1]!Resources[Summer Rating],[1]!Resources[COD],"&lt;="&amp;AW$77,[1]!Resources[Retirement Date],"&gt;="&amp;AW$77,[1]!Resources[Unique Key],$AI95,[1]!Resources[Availability '#],"&gt;="&amp;2)</f>
        <v>0</v>
      </c>
      <c r="AX95" s="6">
        <f>SUMIFS([1]!Resources[Summer Rating],[1]!Resources[COD],"&lt;="&amp;AX$77,[1]!Resources[Retirement Date],"&gt;="&amp;AX$77,[1]!Resources[Unique Key],$AI95,[1]!Resources[Availability '#],"&gt;="&amp;2)</f>
        <v>0</v>
      </c>
      <c r="AY95" s="6">
        <f>SUMIFS([1]!Resources[Summer Rating],[1]!Resources[COD],"&lt;="&amp;AY$77,[1]!Resources[Retirement Date],"&gt;="&amp;AY$77,[1]!Resources[Unique Key],$AI95,[1]!Resources[Availability '#],"&gt;="&amp;2)</f>
        <v>0</v>
      </c>
      <c r="AZ95" s="6">
        <f>SUMIFS([1]!Resources[Summer Rating],[1]!Resources[COD],"&lt;="&amp;AZ$77,[1]!Resources[Retirement Date],"&gt;="&amp;AZ$77,[1]!Resources[Unique Key],$AI95,[1]!Resources[Availability '#],"&gt;="&amp;2)</f>
        <v>0</v>
      </c>
      <c r="BA95" s="6">
        <f>SUMIFS([1]!Resources[Summer Rating],[1]!Resources[COD],"&lt;="&amp;BA$77,[1]!Resources[Retirement Date],"&gt;="&amp;BA$77,[1]!Resources[Unique Key],$AI95,[1]!Resources[Availability '#],"&gt;="&amp;2)</f>
        <v>0</v>
      </c>
      <c r="BB95" s="6">
        <f>SUMIFS([1]!Resources[Summer Rating],[1]!Resources[COD],"&lt;="&amp;BB$77,[1]!Resources[Retirement Date],"&gt;="&amp;BB$77,[1]!Resources[Unique Key],$AI95,[1]!Resources[Availability '#],"&gt;="&amp;2)</f>
        <v>0</v>
      </c>
      <c r="BC95" s="6">
        <f>SUMIFS([1]!Resources[Summer Rating],[1]!Resources[COD],"&lt;="&amp;BC$77,[1]!Resources[Retirement Date],"&gt;="&amp;BC$77,[1]!Resources[Unique Key],$AI95,[1]!Resources[Availability '#],"&gt;="&amp;2)</f>
        <v>0</v>
      </c>
      <c r="BD95" s="6">
        <f>SUMIFS([1]!Resources[Summer Rating],[1]!Resources[COD],"&lt;="&amp;BD$77,[1]!Resources[Retirement Date],"&gt;="&amp;BD$77,[1]!Resources[Unique Key],$AI95,[1]!Resources[Availability '#],"&gt;="&amp;2)</f>
        <v>0</v>
      </c>
      <c r="BE95" s="6">
        <f>SUMIFS([1]!Resources[Summer Rating],[1]!Resources[COD],"&lt;="&amp;BE$77,[1]!Resources[Retirement Date],"&gt;="&amp;BE$77,[1]!Resources[Unique Key],$AI95,[1]!Resources[Availability '#],"&gt;="&amp;2)</f>
        <v>0</v>
      </c>
      <c r="BF95" s="6">
        <f>SUMIFS([1]!Resources[Summer Rating],[1]!Resources[COD],"&lt;="&amp;BF$77,[1]!Resources[Retirement Date],"&gt;="&amp;BF$77,[1]!Resources[Unique Key],$AI95,[1]!Resources[Availability '#],"&gt;="&amp;2)</f>
        <v>0</v>
      </c>
      <c r="BG95" s="6">
        <f>SUMIFS([1]!Resources[Summer Rating],[1]!Resources[COD],"&lt;="&amp;BG$77,[1]!Resources[Retirement Date],"&gt;="&amp;BG$77,[1]!Resources[Unique Key],$AI95,[1]!Resources[Availability '#],"&gt;="&amp;2)</f>
        <v>0</v>
      </c>
      <c r="BH95" s="6">
        <f>SUMIFS([1]!Resources[Summer Rating],[1]!Resources[COD],"&lt;="&amp;BH$77,[1]!Resources[Retirement Date],"&gt;="&amp;BH$77,[1]!Resources[Unique Key],$AI95,[1]!Resources[Availability '#],"&gt;="&amp;2)</f>
        <v>0</v>
      </c>
      <c r="BI95" s="6">
        <f>SUMIFS([1]!Resources[Summer Rating],[1]!Resources[COD],"&lt;="&amp;BI$77,[1]!Resources[Retirement Date],"&gt;="&amp;BI$77,[1]!Resources[Unique Key],$AI95,[1]!Resources[Availability '#],"&gt;="&amp;2)</f>
        <v>0</v>
      </c>
      <c r="BK95" s="5" t="s">
        <v>61</v>
      </c>
      <c r="BL95" s="20">
        <v>1.7609999999999999</v>
      </c>
      <c r="BM95" s="20">
        <v>1.7609999999999999</v>
      </c>
      <c r="BN95" s="20">
        <v>1.1739999999999999</v>
      </c>
      <c r="BO95" s="20">
        <v>1.1739999999999999</v>
      </c>
      <c r="BP95" s="20">
        <v>1.1739999999999999</v>
      </c>
      <c r="BQ95" s="20">
        <v>1.1739999999999999</v>
      </c>
      <c r="BR95" s="20">
        <v>1.1739999999999999</v>
      </c>
      <c r="BS95" s="20">
        <v>1.1739999999999999</v>
      </c>
      <c r="BT95" s="20">
        <v>1.1739999999999999</v>
      </c>
      <c r="BU95" s="20">
        <v>1.1739999999999999</v>
      </c>
      <c r="BV95" s="20">
        <v>1.1739999999999999</v>
      </c>
      <c r="BW95" s="20">
        <v>1.1739999999999999</v>
      </c>
      <c r="BX95" s="20">
        <v>1.1739999999999999</v>
      </c>
      <c r="BY95" s="20">
        <v>1.1739999999999999</v>
      </c>
      <c r="BZ95" s="20">
        <v>1.1739999999999999</v>
      </c>
      <c r="CA95" s="20">
        <v>1.1739999999999999</v>
      </c>
      <c r="CB95" s="20">
        <v>1.1739999999999999</v>
      </c>
      <c r="CC95" s="20">
        <v>1.1739999999999999</v>
      </c>
      <c r="CD95" s="20">
        <v>1.1739999999999999</v>
      </c>
      <c r="CE95" s="20">
        <v>1.1739999999999999</v>
      </c>
      <c r="CF95" s="20">
        <v>1.1739999999999999</v>
      </c>
      <c r="CG95" s="20">
        <v>1.1739999999999999</v>
      </c>
      <c r="CH95" s="20">
        <v>1.1739999999999999</v>
      </c>
      <c r="CI95" s="20">
        <v>1.1739999999999999</v>
      </c>
      <c r="CJ95" s="20">
        <v>1.1739999999999999</v>
      </c>
      <c r="CK95" s="20">
        <v>1.1739999999999999</v>
      </c>
      <c r="CM95" s="5" t="s">
        <v>61</v>
      </c>
      <c r="CN95" s="21">
        <v>1.5009999999999999</v>
      </c>
      <c r="CO95" s="22">
        <v>1.5009999999999999</v>
      </c>
      <c r="CP95" s="22">
        <v>1.0009999999999999</v>
      </c>
      <c r="CQ95" s="22">
        <v>1.0009999999999999</v>
      </c>
      <c r="CR95" s="22">
        <v>1.0009999999999999</v>
      </c>
      <c r="CS95" s="22">
        <v>1.0009999999999999</v>
      </c>
      <c r="CT95" s="22">
        <v>1.0009999999999999</v>
      </c>
      <c r="CU95" s="22">
        <v>1.0009999999999999</v>
      </c>
      <c r="CV95" s="22">
        <v>1.0009999999999999</v>
      </c>
      <c r="CW95" s="22">
        <v>1.0009999999999999</v>
      </c>
      <c r="CX95" s="22">
        <v>1.0009999999999999</v>
      </c>
      <c r="CY95" s="22">
        <v>1.0009999999999999</v>
      </c>
      <c r="CZ95" s="22">
        <v>1.0009999999999999</v>
      </c>
      <c r="DA95" s="22">
        <v>1.0009999999999999</v>
      </c>
      <c r="DB95" s="22">
        <v>1.0009999999999999</v>
      </c>
      <c r="DC95" s="22">
        <v>1.0009999999999999</v>
      </c>
      <c r="DD95" s="22">
        <v>1.0009999999999999</v>
      </c>
      <c r="DE95" s="22">
        <v>1.0009999999999999</v>
      </c>
      <c r="DF95" s="22">
        <v>1.0009999999999999</v>
      </c>
      <c r="DG95" s="22">
        <v>1.0009999999999999</v>
      </c>
      <c r="DH95" s="22">
        <v>1.0009999999999999</v>
      </c>
      <c r="DI95" s="22">
        <v>1.0009999999999999</v>
      </c>
      <c r="DJ95" s="22">
        <v>1.0009999999999999</v>
      </c>
      <c r="DK95" s="22">
        <v>1.0009999999999999</v>
      </c>
      <c r="DL95" s="22">
        <v>1.0009999999999999</v>
      </c>
      <c r="DM95" s="22">
        <v>1.0009999999999999</v>
      </c>
      <c r="DO95" s="5" t="s">
        <v>61</v>
      </c>
      <c r="DP95" s="23">
        <v>0.75</v>
      </c>
      <c r="DQ95" s="23">
        <v>0.75</v>
      </c>
      <c r="DR95" s="23">
        <v>0.5</v>
      </c>
      <c r="DS95" s="23">
        <v>0.5</v>
      </c>
      <c r="DT95" s="23">
        <v>0.5</v>
      </c>
      <c r="DU95" s="23">
        <v>0.5</v>
      </c>
      <c r="DV95" s="23">
        <v>0.5</v>
      </c>
      <c r="DW95" s="23">
        <v>0.5</v>
      </c>
      <c r="DX95" s="23">
        <v>0.5</v>
      </c>
      <c r="DY95" s="23">
        <v>0.5</v>
      </c>
      <c r="DZ95" s="23">
        <v>0.5</v>
      </c>
      <c r="EA95" s="23">
        <v>0.5</v>
      </c>
      <c r="EB95" s="23">
        <v>0.5</v>
      </c>
      <c r="EC95" s="23">
        <v>0.5</v>
      </c>
      <c r="ED95" s="23">
        <v>0.5</v>
      </c>
      <c r="EE95" s="23">
        <v>0.5</v>
      </c>
      <c r="EF95" s="23">
        <v>0.5</v>
      </c>
      <c r="EG95" s="23">
        <v>0.5</v>
      </c>
      <c r="EH95" s="23">
        <v>0.5</v>
      </c>
      <c r="EI95" s="23">
        <v>0.5</v>
      </c>
      <c r="EJ95" s="23">
        <v>0.5</v>
      </c>
      <c r="EK95" s="23">
        <v>0.5</v>
      </c>
      <c r="EL95" s="23">
        <v>0.5</v>
      </c>
      <c r="EM95" s="23">
        <v>0.5</v>
      </c>
      <c r="EN95" s="23">
        <v>0.5</v>
      </c>
      <c r="EO95" s="23">
        <v>0.5</v>
      </c>
      <c r="EP95" s="24">
        <f>IFERROR(INDEX('[1]GenX Resources'!$AP$10:$AP$46,MATCH(DO95,'[1]GenX Resources'!$B$10:$B$46,0)),0)</f>
        <v>0.5</v>
      </c>
      <c r="EQ95" s="2" t="b">
        <f t="shared" si="35"/>
        <v>1</v>
      </c>
      <c r="ES95" s="25">
        <f ca="1">IFERROR(INDEX('[1]GenX Resources'!$AD:$AD,MATCH($G95,'[1]GenX Resources'!$B:$B,0)) - IF(OR(INDEX('[1]GenX Resources'!$L:$L,MATCH($G95,'[1]GenX Resources'!$B:$B,0)),ISNUMBER(SEARCH("New Generic",$G95))),0,INDEX('[1]GenX Resources'!$M:$M,MATCH($G95,'[1]GenX Resources'!$B:$B,0))),0)</f>
        <v>70000</v>
      </c>
      <c r="EU95" s="5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</row>
    <row r="96" spans="6:177" ht="16" x14ac:dyDescent="0.2">
      <c r="F96" s="19" t="str">
        <f>IFERROR(INDEX('[1]GenX Resources'!$A$10:$A$76,MATCH(G96,'[1]GenX Resources'!$B$10:$B$76,0)),"")</f>
        <v>Hydro</v>
      </c>
      <c r="G96" s="5" t="s">
        <v>62</v>
      </c>
      <c r="H96" s="6">
        <v>482.2</v>
      </c>
      <c r="I96" s="6">
        <v>482.2</v>
      </c>
      <c r="J96" s="6">
        <v>482.2</v>
      </c>
      <c r="K96" s="6">
        <v>482.2</v>
      </c>
      <c r="L96" s="6">
        <v>482.2</v>
      </c>
      <c r="M96" s="6">
        <v>482.2</v>
      </c>
      <c r="N96" s="6">
        <v>482.2</v>
      </c>
      <c r="O96" s="6">
        <v>482.2</v>
      </c>
      <c r="P96" s="6">
        <v>482.2</v>
      </c>
      <c r="Q96" s="6">
        <v>482.2</v>
      </c>
      <c r="R96" s="6">
        <v>482.2</v>
      </c>
      <c r="S96" s="6">
        <v>482.2</v>
      </c>
      <c r="T96" s="6">
        <v>482.2</v>
      </c>
      <c r="U96" s="6">
        <v>482.2</v>
      </c>
      <c r="V96" s="6">
        <v>482.2</v>
      </c>
      <c r="W96" s="6">
        <v>482.2</v>
      </c>
      <c r="X96" s="6">
        <v>482.2</v>
      </c>
      <c r="Y96" s="6">
        <v>482.2</v>
      </c>
      <c r="Z96" s="6">
        <v>482.2</v>
      </c>
      <c r="AA96" s="6">
        <v>482.2</v>
      </c>
      <c r="AB96" s="6">
        <v>482.2</v>
      </c>
      <c r="AC96" s="6">
        <v>482.2</v>
      </c>
      <c r="AD96" s="6">
        <v>482.2</v>
      </c>
      <c r="AE96" s="6">
        <v>482.2</v>
      </c>
      <c r="AF96" s="6">
        <v>482.2</v>
      </c>
      <c r="AG96" s="6">
        <v>482.2</v>
      </c>
      <c r="AI96" s="5" t="s">
        <v>62</v>
      </c>
      <c r="AJ96" s="6">
        <f>SUMIFS([1]!Resources[Summer Rating],[1]!Resources[COD],"&lt;="&amp;AJ$77,[1]!Resources[Retirement Date],"&gt;="&amp;AJ$77,[1]!Resources[Unique Key],$AI96,[1]!Resources[Availability '#],"&gt;="&amp;2)</f>
        <v>0</v>
      </c>
      <c r="AK96" s="6">
        <f>SUMIFS([1]!Resources[Summer Rating],[1]!Resources[COD],"&lt;="&amp;AK$77,[1]!Resources[Retirement Date],"&gt;="&amp;AK$77,[1]!Resources[Unique Key],$AI96,[1]!Resources[Availability '#],"&gt;="&amp;2)</f>
        <v>0</v>
      </c>
      <c r="AL96" s="6">
        <f>SUMIFS([1]!Resources[Summer Rating],[1]!Resources[COD],"&lt;="&amp;AL$77,[1]!Resources[Retirement Date],"&gt;="&amp;AL$77,[1]!Resources[Unique Key],$AI96,[1]!Resources[Availability '#],"&gt;="&amp;2)</f>
        <v>0</v>
      </c>
      <c r="AM96" s="6">
        <f>SUMIFS([1]!Resources[Summer Rating],[1]!Resources[COD],"&lt;="&amp;AM$77,[1]!Resources[Retirement Date],"&gt;="&amp;AM$77,[1]!Resources[Unique Key],$AI96,[1]!Resources[Availability '#],"&gt;="&amp;2)</f>
        <v>0</v>
      </c>
      <c r="AN96" s="6">
        <f>SUMIFS([1]!Resources[Summer Rating],[1]!Resources[COD],"&lt;="&amp;AN$77,[1]!Resources[Retirement Date],"&gt;="&amp;AN$77,[1]!Resources[Unique Key],$AI96,[1]!Resources[Availability '#],"&gt;="&amp;2)</f>
        <v>0</v>
      </c>
      <c r="AO96" s="6">
        <f>SUMIFS([1]!Resources[Summer Rating],[1]!Resources[COD],"&lt;="&amp;AO$77,[1]!Resources[Retirement Date],"&gt;="&amp;AO$77,[1]!Resources[Unique Key],$AI96,[1]!Resources[Availability '#],"&gt;="&amp;2)</f>
        <v>0</v>
      </c>
      <c r="AP96" s="6">
        <f>SUMIFS([1]!Resources[Summer Rating],[1]!Resources[COD],"&lt;="&amp;AP$77,[1]!Resources[Retirement Date],"&gt;="&amp;AP$77,[1]!Resources[Unique Key],$AI96,[1]!Resources[Availability '#],"&gt;="&amp;2)</f>
        <v>0</v>
      </c>
      <c r="AQ96" s="6">
        <f>SUMIFS([1]!Resources[Summer Rating],[1]!Resources[COD],"&lt;="&amp;AQ$77,[1]!Resources[Retirement Date],"&gt;="&amp;AQ$77,[1]!Resources[Unique Key],$AI96,[1]!Resources[Availability '#],"&gt;="&amp;2)</f>
        <v>0</v>
      </c>
      <c r="AR96" s="6">
        <f>SUMIFS([1]!Resources[Summer Rating],[1]!Resources[COD],"&lt;="&amp;AR$77,[1]!Resources[Retirement Date],"&gt;="&amp;AR$77,[1]!Resources[Unique Key],$AI96,[1]!Resources[Availability '#],"&gt;="&amp;2)</f>
        <v>0</v>
      </c>
      <c r="AS96" s="6">
        <f>SUMIFS([1]!Resources[Summer Rating],[1]!Resources[COD],"&lt;="&amp;AS$77,[1]!Resources[Retirement Date],"&gt;="&amp;AS$77,[1]!Resources[Unique Key],$AI96,[1]!Resources[Availability '#],"&gt;="&amp;2)</f>
        <v>0</v>
      </c>
      <c r="AT96" s="6">
        <f>SUMIFS([1]!Resources[Summer Rating],[1]!Resources[COD],"&lt;="&amp;AT$77,[1]!Resources[Retirement Date],"&gt;="&amp;AT$77,[1]!Resources[Unique Key],$AI96,[1]!Resources[Availability '#],"&gt;="&amp;2)</f>
        <v>0</v>
      </c>
      <c r="AU96" s="6">
        <f>SUMIFS([1]!Resources[Summer Rating],[1]!Resources[COD],"&lt;="&amp;AU$77,[1]!Resources[Retirement Date],"&gt;="&amp;AU$77,[1]!Resources[Unique Key],$AI96,[1]!Resources[Availability '#],"&gt;="&amp;2)</f>
        <v>0</v>
      </c>
      <c r="AV96" s="6">
        <f>SUMIFS([1]!Resources[Summer Rating],[1]!Resources[COD],"&lt;="&amp;AV$77,[1]!Resources[Retirement Date],"&gt;="&amp;AV$77,[1]!Resources[Unique Key],$AI96,[1]!Resources[Availability '#],"&gt;="&amp;2)</f>
        <v>0</v>
      </c>
      <c r="AW96" s="6">
        <f>SUMIFS([1]!Resources[Summer Rating],[1]!Resources[COD],"&lt;="&amp;AW$77,[1]!Resources[Retirement Date],"&gt;="&amp;AW$77,[1]!Resources[Unique Key],$AI96,[1]!Resources[Availability '#],"&gt;="&amp;2)</f>
        <v>0</v>
      </c>
      <c r="AX96" s="6">
        <f>SUMIFS([1]!Resources[Summer Rating],[1]!Resources[COD],"&lt;="&amp;AX$77,[1]!Resources[Retirement Date],"&gt;="&amp;AX$77,[1]!Resources[Unique Key],$AI96,[1]!Resources[Availability '#],"&gt;="&amp;2)</f>
        <v>0</v>
      </c>
      <c r="AY96" s="6">
        <f>SUMIFS([1]!Resources[Summer Rating],[1]!Resources[COD],"&lt;="&amp;AY$77,[1]!Resources[Retirement Date],"&gt;="&amp;AY$77,[1]!Resources[Unique Key],$AI96,[1]!Resources[Availability '#],"&gt;="&amp;2)</f>
        <v>0</v>
      </c>
      <c r="AZ96" s="6">
        <f>SUMIFS([1]!Resources[Summer Rating],[1]!Resources[COD],"&lt;="&amp;AZ$77,[1]!Resources[Retirement Date],"&gt;="&amp;AZ$77,[1]!Resources[Unique Key],$AI96,[1]!Resources[Availability '#],"&gt;="&amp;2)</f>
        <v>0</v>
      </c>
      <c r="BA96" s="6">
        <f>SUMIFS([1]!Resources[Summer Rating],[1]!Resources[COD],"&lt;="&amp;BA$77,[1]!Resources[Retirement Date],"&gt;="&amp;BA$77,[1]!Resources[Unique Key],$AI96,[1]!Resources[Availability '#],"&gt;="&amp;2)</f>
        <v>0</v>
      </c>
      <c r="BB96" s="6">
        <f>SUMIFS([1]!Resources[Summer Rating],[1]!Resources[COD],"&lt;="&amp;BB$77,[1]!Resources[Retirement Date],"&gt;="&amp;BB$77,[1]!Resources[Unique Key],$AI96,[1]!Resources[Availability '#],"&gt;="&amp;2)</f>
        <v>0</v>
      </c>
      <c r="BC96" s="6">
        <f>SUMIFS([1]!Resources[Summer Rating],[1]!Resources[COD],"&lt;="&amp;BC$77,[1]!Resources[Retirement Date],"&gt;="&amp;BC$77,[1]!Resources[Unique Key],$AI96,[1]!Resources[Availability '#],"&gt;="&amp;2)</f>
        <v>0</v>
      </c>
      <c r="BD96" s="6">
        <f>SUMIFS([1]!Resources[Summer Rating],[1]!Resources[COD],"&lt;="&amp;BD$77,[1]!Resources[Retirement Date],"&gt;="&amp;BD$77,[1]!Resources[Unique Key],$AI96,[1]!Resources[Availability '#],"&gt;="&amp;2)</f>
        <v>0</v>
      </c>
      <c r="BE96" s="6">
        <f>SUMIFS([1]!Resources[Summer Rating],[1]!Resources[COD],"&lt;="&amp;BE$77,[1]!Resources[Retirement Date],"&gt;="&amp;BE$77,[1]!Resources[Unique Key],$AI96,[1]!Resources[Availability '#],"&gt;="&amp;2)</f>
        <v>0</v>
      </c>
      <c r="BF96" s="6">
        <f>SUMIFS([1]!Resources[Summer Rating],[1]!Resources[COD],"&lt;="&amp;BF$77,[1]!Resources[Retirement Date],"&gt;="&amp;BF$77,[1]!Resources[Unique Key],$AI96,[1]!Resources[Availability '#],"&gt;="&amp;2)</f>
        <v>0</v>
      </c>
      <c r="BG96" s="6">
        <f>SUMIFS([1]!Resources[Summer Rating],[1]!Resources[COD],"&lt;="&amp;BG$77,[1]!Resources[Retirement Date],"&gt;="&amp;BG$77,[1]!Resources[Unique Key],$AI96,[1]!Resources[Availability '#],"&gt;="&amp;2)</f>
        <v>0</v>
      </c>
      <c r="BH96" s="6">
        <f>SUMIFS([1]!Resources[Summer Rating],[1]!Resources[COD],"&lt;="&amp;BH$77,[1]!Resources[Retirement Date],"&gt;="&amp;BH$77,[1]!Resources[Unique Key],$AI96,[1]!Resources[Availability '#],"&gt;="&amp;2)</f>
        <v>0</v>
      </c>
      <c r="BI96" s="6">
        <f>SUMIFS([1]!Resources[Summer Rating],[1]!Resources[COD],"&lt;="&amp;BI$77,[1]!Resources[Retirement Date],"&gt;="&amp;BI$77,[1]!Resources[Unique Key],$AI96,[1]!Resources[Availability '#],"&gt;="&amp;2)</f>
        <v>0</v>
      </c>
      <c r="BK96" s="5" t="s">
        <v>62</v>
      </c>
      <c r="BL96" s="20">
        <v>2.1120000000000001</v>
      </c>
      <c r="BM96" s="20">
        <v>2.1120000000000001</v>
      </c>
      <c r="BN96" s="20">
        <v>2.1120000000000001</v>
      </c>
      <c r="BO96" s="20">
        <v>2.1120000000000001</v>
      </c>
      <c r="BP96" s="20">
        <v>2.1120000000000001</v>
      </c>
      <c r="BQ96" s="20">
        <v>2.1120000000000001</v>
      </c>
      <c r="BR96" s="20">
        <v>2.1120000000000001</v>
      </c>
      <c r="BS96" s="20">
        <v>2.1120000000000001</v>
      </c>
      <c r="BT96" s="20">
        <v>2.1120000000000001</v>
      </c>
      <c r="BU96" s="20">
        <v>2.1120000000000001</v>
      </c>
      <c r="BV96" s="20">
        <v>2.1120000000000001</v>
      </c>
      <c r="BW96" s="20">
        <v>2.1120000000000001</v>
      </c>
      <c r="BX96" s="20">
        <v>2.1120000000000001</v>
      </c>
      <c r="BY96" s="20">
        <v>2.1120000000000001</v>
      </c>
      <c r="BZ96" s="20">
        <v>2.1120000000000001</v>
      </c>
      <c r="CA96" s="20">
        <v>2.1120000000000001</v>
      </c>
      <c r="CB96" s="20">
        <v>2.1120000000000001</v>
      </c>
      <c r="CC96" s="20">
        <v>2.1120000000000001</v>
      </c>
      <c r="CD96" s="20">
        <v>2.1120000000000001</v>
      </c>
      <c r="CE96" s="20">
        <v>2.1120000000000001</v>
      </c>
      <c r="CF96" s="20">
        <v>2.1120000000000001</v>
      </c>
      <c r="CG96" s="20">
        <v>2.1120000000000001</v>
      </c>
      <c r="CH96" s="20">
        <v>2.1120000000000001</v>
      </c>
      <c r="CI96" s="20">
        <v>2.1120000000000001</v>
      </c>
      <c r="CJ96" s="20">
        <v>2.1120000000000001</v>
      </c>
      <c r="CK96" s="20">
        <v>2.1120000000000001</v>
      </c>
      <c r="CM96" s="5" t="s">
        <v>62</v>
      </c>
      <c r="CN96" s="21">
        <v>0</v>
      </c>
      <c r="CO96" s="22">
        <v>0</v>
      </c>
      <c r="CP96" s="22">
        <v>0</v>
      </c>
      <c r="CQ96" s="22">
        <v>0</v>
      </c>
      <c r="CR96" s="22">
        <v>0</v>
      </c>
      <c r="CS96" s="22">
        <v>0</v>
      </c>
      <c r="CT96" s="22">
        <v>0</v>
      </c>
      <c r="CU96" s="22">
        <v>0</v>
      </c>
      <c r="CV96" s="22">
        <v>0</v>
      </c>
      <c r="CW96" s="22">
        <v>0</v>
      </c>
      <c r="CX96" s="22">
        <v>0</v>
      </c>
      <c r="CY96" s="22">
        <v>0</v>
      </c>
      <c r="CZ96" s="22">
        <v>0</v>
      </c>
      <c r="DA96" s="22">
        <v>0</v>
      </c>
      <c r="DB96" s="22">
        <v>0</v>
      </c>
      <c r="DC96" s="22">
        <v>0</v>
      </c>
      <c r="DD96" s="22">
        <v>0</v>
      </c>
      <c r="DE96" s="22">
        <v>0</v>
      </c>
      <c r="DF96" s="22">
        <v>0</v>
      </c>
      <c r="DG96" s="22">
        <v>0</v>
      </c>
      <c r="DH96" s="22">
        <v>0</v>
      </c>
      <c r="DI96" s="22">
        <v>0</v>
      </c>
      <c r="DJ96" s="22">
        <v>0</v>
      </c>
      <c r="DK96" s="22">
        <v>0</v>
      </c>
      <c r="DL96" s="22">
        <v>0</v>
      </c>
      <c r="DM96" s="22">
        <v>0</v>
      </c>
      <c r="DO96" s="5" t="s">
        <v>62</v>
      </c>
      <c r="DP96" s="23">
        <v>0.5</v>
      </c>
      <c r="DQ96" s="23">
        <v>0.5</v>
      </c>
      <c r="DR96" s="23">
        <v>0.5</v>
      </c>
      <c r="DS96" s="23">
        <v>0.5</v>
      </c>
      <c r="DT96" s="23">
        <v>0.5</v>
      </c>
      <c r="DU96" s="23">
        <v>0.5</v>
      </c>
      <c r="DV96" s="23">
        <v>0.5</v>
      </c>
      <c r="DW96" s="23">
        <v>0.5</v>
      </c>
      <c r="DX96" s="23">
        <v>0.5</v>
      </c>
      <c r="DY96" s="23">
        <v>0.5</v>
      </c>
      <c r="DZ96" s="23">
        <v>0.5</v>
      </c>
      <c r="EA96" s="23">
        <v>0.5</v>
      </c>
      <c r="EB96" s="23">
        <v>0.5</v>
      </c>
      <c r="EC96" s="23">
        <v>0.5</v>
      </c>
      <c r="ED96" s="23">
        <v>0.5</v>
      </c>
      <c r="EE96" s="23">
        <v>0.5</v>
      </c>
      <c r="EF96" s="23">
        <v>0.5</v>
      </c>
      <c r="EG96" s="23">
        <v>0.5</v>
      </c>
      <c r="EH96" s="23">
        <v>0.5</v>
      </c>
      <c r="EI96" s="23">
        <v>0.5</v>
      </c>
      <c r="EJ96" s="23">
        <v>0.5</v>
      </c>
      <c r="EK96" s="23">
        <v>0.5</v>
      </c>
      <c r="EL96" s="23">
        <v>0.5</v>
      </c>
      <c r="EM96" s="23">
        <v>0.5</v>
      </c>
      <c r="EN96" s="23">
        <v>0.5</v>
      </c>
      <c r="EO96" s="23">
        <v>0.5</v>
      </c>
      <c r="EP96" s="24">
        <f>IFERROR(INDEX('[1]GenX Resources'!$AP$10:$AP$46,MATCH(DO96,'[1]GenX Resources'!$B$10:$B$46,0)),0)</f>
        <v>0</v>
      </c>
      <c r="EQ96" s="2" t="b">
        <f t="shared" si="35"/>
        <v>1</v>
      </c>
      <c r="ES96" s="25">
        <f ca="1">IFERROR(INDEX('[1]GenX Resources'!$AD:$AD,MATCH($G96,'[1]GenX Resources'!$B:$B,0)) - IF(OR(INDEX('[1]GenX Resources'!$L:$L,MATCH($G96,'[1]GenX Resources'!$B:$B,0)),ISNUMBER(SEARCH("New Generic",$G96))),0,INDEX('[1]GenX Resources'!$M:$M,MATCH($G96,'[1]GenX Resources'!$B:$B,0))),0)</f>
        <v>42000</v>
      </c>
      <c r="EU96" s="5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</row>
    <row r="97" spans="6:177" ht="16" x14ac:dyDescent="0.2">
      <c r="F97" s="19" t="str">
        <f>IFERROR(INDEX('[1]GenX Resources'!$A$10:$A$76,MATCH(G97,'[1]GenX Resources'!$B$10:$B$76,0)),"")</f>
        <v>Gas Other</v>
      </c>
      <c r="G97" s="5" t="s">
        <v>63</v>
      </c>
      <c r="H97" s="6">
        <v>295</v>
      </c>
      <c r="I97" s="6">
        <v>295</v>
      </c>
      <c r="J97" s="6">
        <v>295</v>
      </c>
      <c r="K97" s="6">
        <v>295</v>
      </c>
      <c r="L97" s="6">
        <v>295</v>
      </c>
      <c r="M97" s="6">
        <v>295</v>
      </c>
      <c r="N97" s="6">
        <v>295</v>
      </c>
      <c r="O97" s="6">
        <v>295</v>
      </c>
      <c r="P97" s="6">
        <v>295</v>
      </c>
      <c r="Q97" s="6">
        <v>295</v>
      </c>
      <c r="R97" s="6">
        <v>295</v>
      </c>
      <c r="S97" s="6">
        <v>295</v>
      </c>
      <c r="T97" s="6">
        <v>295</v>
      </c>
      <c r="U97" s="6">
        <v>295</v>
      </c>
      <c r="V97" s="6">
        <v>295</v>
      </c>
      <c r="W97" s="6">
        <v>295</v>
      </c>
      <c r="X97" s="6">
        <v>295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I97" s="5" t="s">
        <v>63</v>
      </c>
      <c r="AJ97" s="6">
        <f>SUMIFS([1]!Resources[Summer Rating],[1]!Resources[COD],"&lt;="&amp;AJ$77,[1]!Resources[Retirement Date],"&gt;="&amp;AJ$77,[1]!Resources[Unique Key],$AI97,[1]!Resources[Availability '#],"&gt;="&amp;2)</f>
        <v>0</v>
      </c>
      <c r="AK97" s="6">
        <f>SUMIFS([1]!Resources[Summer Rating],[1]!Resources[COD],"&lt;="&amp;AK$77,[1]!Resources[Retirement Date],"&gt;="&amp;AK$77,[1]!Resources[Unique Key],$AI97,[1]!Resources[Availability '#],"&gt;="&amp;2)</f>
        <v>0</v>
      </c>
      <c r="AL97" s="6">
        <f>SUMIFS([1]!Resources[Summer Rating],[1]!Resources[COD],"&lt;="&amp;AL$77,[1]!Resources[Retirement Date],"&gt;="&amp;AL$77,[1]!Resources[Unique Key],$AI97,[1]!Resources[Availability '#],"&gt;="&amp;2)</f>
        <v>0</v>
      </c>
      <c r="AM97" s="6">
        <f>SUMIFS([1]!Resources[Summer Rating],[1]!Resources[COD],"&lt;="&amp;AM$77,[1]!Resources[Retirement Date],"&gt;="&amp;AM$77,[1]!Resources[Unique Key],$AI97,[1]!Resources[Availability '#],"&gt;="&amp;2)</f>
        <v>0</v>
      </c>
      <c r="AN97" s="6">
        <f>SUMIFS([1]!Resources[Summer Rating],[1]!Resources[COD],"&lt;="&amp;AN$77,[1]!Resources[Retirement Date],"&gt;="&amp;AN$77,[1]!Resources[Unique Key],$AI97,[1]!Resources[Availability '#],"&gt;="&amp;2)</f>
        <v>0</v>
      </c>
      <c r="AO97" s="6">
        <f>SUMIFS([1]!Resources[Summer Rating],[1]!Resources[COD],"&lt;="&amp;AO$77,[1]!Resources[Retirement Date],"&gt;="&amp;AO$77,[1]!Resources[Unique Key],$AI97,[1]!Resources[Availability '#],"&gt;="&amp;2)</f>
        <v>0</v>
      </c>
      <c r="AP97" s="6">
        <f>SUMIFS([1]!Resources[Summer Rating],[1]!Resources[COD],"&lt;="&amp;AP$77,[1]!Resources[Retirement Date],"&gt;="&amp;AP$77,[1]!Resources[Unique Key],$AI97,[1]!Resources[Availability '#],"&gt;="&amp;2)</f>
        <v>0</v>
      </c>
      <c r="AQ97" s="6">
        <f>SUMIFS([1]!Resources[Summer Rating],[1]!Resources[COD],"&lt;="&amp;AQ$77,[1]!Resources[Retirement Date],"&gt;="&amp;AQ$77,[1]!Resources[Unique Key],$AI97,[1]!Resources[Availability '#],"&gt;="&amp;2)</f>
        <v>0</v>
      </c>
      <c r="AR97" s="6">
        <f>SUMIFS([1]!Resources[Summer Rating],[1]!Resources[COD],"&lt;="&amp;AR$77,[1]!Resources[Retirement Date],"&gt;="&amp;AR$77,[1]!Resources[Unique Key],$AI97,[1]!Resources[Availability '#],"&gt;="&amp;2)</f>
        <v>0</v>
      </c>
      <c r="AS97" s="6">
        <f>SUMIFS([1]!Resources[Summer Rating],[1]!Resources[COD],"&lt;="&amp;AS$77,[1]!Resources[Retirement Date],"&gt;="&amp;AS$77,[1]!Resources[Unique Key],$AI97,[1]!Resources[Availability '#],"&gt;="&amp;2)</f>
        <v>0</v>
      </c>
      <c r="AT97" s="6">
        <f>SUMIFS([1]!Resources[Summer Rating],[1]!Resources[COD],"&lt;="&amp;AT$77,[1]!Resources[Retirement Date],"&gt;="&amp;AT$77,[1]!Resources[Unique Key],$AI97,[1]!Resources[Availability '#],"&gt;="&amp;2)</f>
        <v>0</v>
      </c>
      <c r="AU97" s="6">
        <f>SUMIFS([1]!Resources[Summer Rating],[1]!Resources[COD],"&lt;="&amp;AU$77,[1]!Resources[Retirement Date],"&gt;="&amp;AU$77,[1]!Resources[Unique Key],$AI97,[1]!Resources[Availability '#],"&gt;="&amp;2)</f>
        <v>0</v>
      </c>
      <c r="AV97" s="6">
        <f>SUMIFS([1]!Resources[Summer Rating],[1]!Resources[COD],"&lt;="&amp;AV$77,[1]!Resources[Retirement Date],"&gt;="&amp;AV$77,[1]!Resources[Unique Key],$AI97,[1]!Resources[Availability '#],"&gt;="&amp;2)</f>
        <v>0</v>
      </c>
      <c r="AW97" s="6">
        <f>SUMIFS([1]!Resources[Summer Rating],[1]!Resources[COD],"&lt;="&amp;AW$77,[1]!Resources[Retirement Date],"&gt;="&amp;AW$77,[1]!Resources[Unique Key],$AI97,[1]!Resources[Availability '#],"&gt;="&amp;2)</f>
        <v>0</v>
      </c>
      <c r="AX97" s="6">
        <f>SUMIFS([1]!Resources[Summer Rating],[1]!Resources[COD],"&lt;="&amp;AX$77,[1]!Resources[Retirement Date],"&gt;="&amp;AX$77,[1]!Resources[Unique Key],$AI97,[1]!Resources[Availability '#],"&gt;="&amp;2)</f>
        <v>0</v>
      </c>
      <c r="AY97" s="6">
        <f>SUMIFS([1]!Resources[Summer Rating],[1]!Resources[COD],"&lt;="&amp;AY$77,[1]!Resources[Retirement Date],"&gt;="&amp;AY$77,[1]!Resources[Unique Key],$AI97,[1]!Resources[Availability '#],"&gt;="&amp;2)</f>
        <v>0</v>
      </c>
      <c r="AZ97" s="6">
        <f>SUMIFS([1]!Resources[Summer Rating],[1]!Resources[COD],"&lt;="&amp;AZ$77,[1]!Resources[Retirement Date],"&gt;="&amp;AZ$77,[1]!Resources[Unique Key],$AI97,[1]!Resources[Availability '#],"&gt;="&amp;2)</f>
        <v>0</v>
      </c>
      <c r="BA97" s="6">
        <f>SUMIFS([1]!Resources[Summer Rating],[1]!Resources[COD],"&lt;="&amp;BA$77,[1]!Resources[Retirement Date],"&gt;="&amp;BA$77,[1]!Resources[Unique Key],$AI97,[1]!Resources[Availability '#],"&gt;="&amp;2)</f>
        <v>0</v>
      </c>
      <c r="BB97" s="6">
        <f>SUMIFS([1]!Resources[Summer Rating],[1]!Resources[COD],"&lt;="&amp;BB$77,[1]!Resources[Retirement Date],"&gt;="&amp;BB$77,[1]!Resources[Unique Key],$AI97,[1]!Resources[Availability '#],"&gt;="&amp;2)</f>
        <v>0</v>
      </c>
      <c r="BC97" s="6">
        <f>SUMIFS([1]!Resources[Summer Rating],[1]!Resources[COD],"&lt;="&amp;BC$77,[1]!Resources[Retirement Date],"&gt;="&amp;BC$77,[1]!Resources[Unique Key],$AI97,[1]!Resources[Availability '#],"&gt;="&amp;2)</f>
        <v>0</v>
      </c>
      <c r="BD97" s="6">
        <f>SUMIFS([1]!Resources[Summer Rating],[1]!Resources[COD],"&lt;="&amp;BD$77,[1]!Resources[Retirement Date],"&gt;="&amp;BD$77,[1]!Resources[Unique Key],$AI97,[1]!Resources[Availability '#],"&gt;="&amp;2)</f>
        <v>0</v>
      </c>
      <c r="BE97" s="6">
        <f>SUMIFS([1]!Resources[Summer Rating],[1]!Resources[COD],"&lt;="&amp;BE$77,[1]!Resources[Retirement Date],"&gt;="&amp;BE$77,[1]!Resources[Unique Key],$AI97,[1]!Resources[Availability '#],"&gt;="&amp;2)</f>
        <v>0</v>
      </c>
      <c r="BF97" s="6">
        <f>SUMIFS([1]!Resources[Summer Rating],[1]!Resources[COD],"&lt;="&amp;BF$77,[1]!Resources[Retirement Date],"&gt;="&amp;BF$77,[1]!Resources[Unique Key],$AI97,[1]!Resources[Availability '#],"&gt;="&amp;2)</f>
        <v>0</v>
      </c>
      <c r="BG97" s="6">
        <f>SUMIFS([1]!Resources[Summer Rating],[1]!Resources[COD],"&lt;="&amp;BG$77,[1]!Resources[Retirement Date],"&gt;="&amp;BG$77,[1]!Resources[Unique Key],$AI97,[1]!Resources[Availability '#],"&gt;="&amp;2)</f>
        <v>0</v>
      </c>
      <c r="BH97" s="6">
        <f>SUMIFS([1]!Resources[Summer Rating],[1]!Resources[COD],"&lt;="&amp;BH$77,[1]!Resources[Retirement Date],"&gt;="&amp;BH$77,[1]!Resources[Unique Key],$AI97,[1]!Resources[Availability '#],"&gt;="&amp;2)</f>
        <v>0</v>
      </c>
      <c r="BI97" s="6">
        <f>SUMIFS([1]!Resources[Summer Rating],[1]!Resources[COD],"&lt;="&amp;BI$77,[1]!Resources[Retirement Date],"&gt;="&amp;BI$77,[1]!Resources[Unique Key],$AI97,[1]!Resources[Availability '#],"&gt;="&amp;2)</f>
        <v>0</v>
      </c>
      <c r="BK97" s="5" t="s">
        <v>63</v>
      </c>
      <c r="BL97" s="20">
        <v>0.64600000000000002</v>
      </c>
      <c r="BM97" s="20">
        <v>0.64600000000000002</v>
      </c>
      <c r="BN97" s="20">
        <v>0.64600000000000002</v>
      </c>
      <c r="BO97" s="20">
        <v>0.64600000000000002</v>
      </c>
      <c r="BP97" s="20">
        <v>0.64600000000000002</v>
      </c>
      <c r="BQ97" s="20">
        <v>0.64600000000000002</v>
      </c>
      <c r="BR97" s="20">
        <v>0.64600000000000002</v>
      </c>
      <c r="BS97" s="20">
        <v>0.64600000000000002</v>
      </c>
      <c r="BT97" s="20">
        <v>0.64600000000000002</v>
      </c>
      <c r="BU97" s="20">
        <v>0.64600000000000002</v>
      </c>
      <c r="BV97" s="20">
        <v>0.52100000000000002</v>
      </c>
      <c r="BW97" s="20">
        <v>0.64600000000000002</v>
      </c>
      <c r="BX97" s="20">
        <v>0.64600000000000002</v>
      </c>
      <c r="BY97" s="20">
        <v>0.64600000000000002</v>
      </c>
      <c r="BZ97" s="20">
        <v>0.64600000000000002</v>
      </c>
      <c r="CA97" s="20">
        <v>0.64600000000000002</v>
      </c>
      <c r="CB97" s="20">
        <v>0.64600000000000002</v>
      </c>
      <c r="CC97" s="20">
        <v>0</v>
      </c>
      <c r="CD97" s="20">
        <v>0</v>
      </c>
      <c r="CE97" s="20">
        <v>0</v>
      </c>
      <c r="CF97" s="20">
        <v>0</v>
      </c>
      <c r="CG97" s="20">
        <v>0</v>
      </c>
      <c r="CH97" s="20">
        <v>0</v>
      </c>
      <c r="CI97" s="20">
        <v>0</v>
      </c>
      <c r="CJ97" s="20">
        <v>0</v>
      </c>
      <c r="CK97" s="20">
        <v>0</v>
      </c>
      <c r="CM97" s="5" t="s">
        <v>63</v>
      </c>
      <c r="CN97" s="21">
        <v>0.32800000000000001</v>
      </c>
      <c r="CO97" s="22">
        <v>0.32800000000000001</v>
      </c>
      <c r="CP97" s="22">
        <v>0.32800000000000001</v>
      </c>
      <c r="CQ97" s="22">
        <v>0.32800000000000001</v>
      </c>
      <c r="CR97" s="22">
        <v>0.32800000000000001</v>
      </c>
      <c r="CS97" s="22">
        <v>0.32800000000000001</v>
      </c>
      <c r="CT97" s="22">
        <v>0.32800000000000001</v>
      </c>
      <c r="CU97" s="22">
        <v>0.32800000000000001</v>
      </c>
      <c r="CV97" s="22">
        <v>0.32800000000000001</v>
      </c>
      <c r="CW97" s="22">
        <v>0.32800000000000001</v>
      </c>
      <c r="CX97" s="22">
        <v>0.26400000000000001</v>
      </c>
      <c r="CY97" s="22">
        <v>0.32800000000000001</v>
      </c>
      <c r="CZ97" s="22">
        <v>0.32800000000000001</v>
      </c>
      <c r="DA97" s="22">
        <v>0.32800000000000001</v>
      </c>
      <c r="DB97" s="22">
        <v>0.32800000000000001</v>
      </c>
      <c r="DC97" s="22">
        <v>0.32800000000000001</v>
      </c>
      <c r="DD97" s="22">
        <v>0.32800000000000001</v>
      </c>
      <c r="DE97" s="22">
        <v>0</v>
      </c>
      <c r="DF97" s="22">
        <v>0</v>
      </c>
      <c r="DG97" s="22">
        <v>0</v>
      </c>
      <c r="DH97" s="22">
        <v>0</v>
      </c>
      <c r="DI97" s="22">
        <v>0</v>
      </c>
      <c r="DJ97" s="22">
        <v>0</v>
      </c>
      <c r="DK97" s="22">
        <v>0</v>
      </c>
      <c r="DL97" s="22">
        <v>0</v>
      </c>
      <c r="DM97" s="22">
        <v>0</v>
      </c>
      <c r="DO97" s="5" t="s">
        <v>63</v>
      </c>
      <c r="DP97" s="23">
        <v>0.25</v>
      </c>
      <c r="DQ97" s="23">
        <v>0.25</v>
      </c>
      <c r="DR97" s="23">
        <v>0.25</v>
      </c>
      <c r="DS97" s="23">
        <v>0.25</v>
      </c>
      <c r="DT97" s="23">
        <v>0.25</v>
      </c>
      <c r="DU97" s="23">
        <v>0.25</v>
      </c>
      <c r="DV97" s="23">
        <v>0.25</v>
      </c>
      <c r="DW97" s="23">
        <v>0.25</v>
      </c>
      <c r="DX97" s="23">
        <v>0.25</v>
      </c>
      <c r="DY97" s="23">
        <v>0.25</v>
      </c>
      <c r="DZ97" s="23">
        <v>0.20200000000000001</v>
      </c>
      <c r="EA97" s="23">
        <v>0.25</v>
      </c>
      <c r="EB97" s="23">
        <v>0.25</v>
      </c>
      <c r="EC97" s="23">
        <v>0.25</v>
      </c>
      <c r="ED97" s="23">
        <v>0.25</v>
      </c>
      <c r="EE97" s="23">
        <v>0.25</v>
      </c>
      <c r="EF97" s="23">
        <v>0.25</v>
      </c>
      <c r="EG97" s="23">
        <v>0</v>
      </c>
      <c r="EH97" s="23">
        <v>0</v>
      </c>
      <c r="EI97" s="23">
        <v>0</v>
      </c>
      <c r="EJ97" s="23">
        <v>0</v>
      </c>
      <c r="EK97" s="23">
        <v>0</v>
      </c>
      <c r="EL97" s="23">
        <v>0</v>
      </c>
      <c r="EM97" s="23">
        <v>0</v>
      </c>
      <c r="EN97" s="23">
        <v>0</v>
      </c>
      <c r="EO97" s="23">
        <v>0</v>
      </c>
      <c r="EP97" s="24">
        <f ca="1">IFERROR(INDEX('[1]GenX Resources'!$AP$10:$AP$46,MATCH(DO97,'[1]GenX Resources'!$B$10:$B$46,0)),0)</f>
        <v>0</v>
      </c>
      <c r="EQ97" s="2" t="b">
        <f t="shared" ca="1" si="35"/>
        <v>1</v>
      </c>
      <c r="ES97" s="25">
        <f ca="1">IFERROR(INDEX('[1]GenX Resources'!$AD:$AD,MATCH($G97,'[1]GenX Resources'!$B:$B,0)) - IF(OR(INDEX('[1]GenX Resources'!$L:$L,MATCH($G97,'[1]GenX Resources'!$B:$B,0)),ISNUMBER(SEARCH("New Generic",$G97))),0,INDEX('[1]GenX Resources'!$M:$M,MATCH($G97,'[1]GenX Resources'!$B:$B,0))),0)</f>
        <v>70000</v>
      </c>
      <c r="EU97" s="5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</row>
    <row r="98" spans="6:177" ht="16" x14ac:dyDescent="0.2">
      <c r="F98" s="19" t="str">
        <f>IFERROR(INDEX('[1]GenX Resources'!$A$10:$A$76,MATCH(G98,'[1]GenX Resources'!$B$10:$B$76,0)),"")</f>
        <v>Coal</v>
      </c>
      <c r="G98" s="5" t="s">
        <v>64</v>
      </c>
      <c r="H98" s="6">
        <v>780</v>
      </c>
      <c r="I98" s="6">
        <v>780</v>
      </c>
      <c r="J98" s="6">
        <v>780</v>
      </c>
      <c r="K98" s="6">
        <v>780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I98" s="5" t="s">
        <v>64</v>
      </c>
      <c r="AJ98" s="6">
        <f>SUMIFS([1]!Resources[Summer Rating],[1]!Resources[COD],"&lt;="&amp;AJ$77,[1]!Resources[Retirement Date],"&gt;="&amp;AJ$77,[1]!Resources[Unique Key],$AI98,[1]!Resources[Availability '#],"&gt;="&amp;2)</f>
        <v>0</v>
      </c>
      <c r="AK98" s="6">
        <f>SUMIFS([1]!Resources[Summer Rating],[1]!Resources[COD],"&lt;="&amp;AK$77,[1]!Resources[Retirement Date],"&gt;="&amp;AK$77,[1]!Resources[Unique Key],$AI98,[1]!Resources[Availability '#],"&gt;="&amp;2)</f>
        <v>0</v>
      </c>
      <c r="AL98" s="6">
        <f>SUMIFS([1]!Resources[Summer Rating],[1]!Resources[COD],"&lt;="&amp;AL$77,[1]!Resources[Retirement Date],"&gt;="&amp;AL$77,[1]!Resources[Unique Key],$AI98,[1]!Resources[Availability '#],"&gt;="&amp;2)</f>
        <v>0</v>
      </c>
      <c r="AM98" s="6">
        <f>SUMIFS([1]!Resources[Summer Rating],[1]!Resources[COD],"&lt;="&amp;AM$77,[1]!Resources[Retirement Date],"&gt;="&amp;AM$77,[1]!Resources[Unique Key],$AI98,[1]!Resources[Availability '#],"&gt;="&amp;2)</f>
        <v>0</v>
      </c>
      <c r="AN98" s="6">
        <f>SUMIFS([1]!Resources[Summer Rating],[1]!Resources[COD],"&lt;="&amp;AN$77,[1]!Resources[Retirement Date],"&gt;="&amp;AN$77,[1]!Resources[Unique Key],$AI98,[1]!Resources[Availability '#],"&gt;="&amp;2)</f>
        <v>0</v>
      </c>
      <c r="AO98" s="6">
        <f>SUMIFS([1]!Resources[Summer Rating],[1]!Resources[COD],"&lt;="&amp;AO$77,[1]!Resources[Retirement Date],"&gt;="&amp;AO$77,[1]!Resources[Unique Key],$AI98,[1]!Resources[Availability '#],"&gt;="&amp;2)</f>
        <v>0</v>
      </c>
      <c r="AP98" s="6">
        <f>SUMIFS([1]!Resources[Summer Rating],[1]!Resources[COD],"&lt;="&amp;AP$77,[1]!Resources[Retirement Date],"&gt;="&amp;AP$77,[1]!Resources[Unique Key],$AI98,[1]!Resources[Availability '#],"&gt;="&amp;2)</f>
        <v>0</v>
      </c>
      <c r="AQ98" s="6">
        <f>SUMIFS([1]!Resources[Summer Rating],[1]!Resources[COD],"&lt;="&amp;AQ$77,[1]!Resources[Retirement Date],"&gt;="&amp;AQ$77,[1]!Resources[Unique Key],$AI98,[1]!Resources[Availability '#],"&gt;="&amp;2)</f>
        <v>0</v>
      </c>
      <c r="AR98" s="6">
        <f>SUMIFS([1]!Resources[Summer Rating],[1]!Resources[COD],"&lt;="&amp;AR$77,[1]!Resources[Retirement Date],"&gt;="&amp;AR$77,[1]!Resources[Unique Key],$AI98,[1]!Resources[Availability '#],"&gt;="&amp;2)</f>
        <v>0</v>
      </c>
      <c r="AS98" s="6">
        <f>SUMIFS([1]!Resources[Summer Rating],[1]!Resources[COD],"&lt;="&amp;AS$77,[1]!Resources[Retirement Date],"&gt;="&amp;AS$77,[1]!Resources[Unique Key],$AI98,[1]!Resources[Availability '#],"&gt;="&amp;2)</f>
        <v>0</v>
      </c>
      <c r="AT98" s="6">
        <f>SUMIFS([1]!Resources[Summer Rating],[1]!Resources[COD],"&lt;="&amp;AT$77,[1]!Resources[Retirement Date],"&gt;="&amp;AT$77,[1]!Resources[Unique Key],$AI98,[1]!Resources[Availability '#],"&gt;="&amp;2)</f>
        <v>0</v>
      </c>
      <c r="AU98" s="6">
        <f>SUMIFS([1]!Resources[Summer Rating],[1]!Resources[COD],"&lt;="&amp;AU$77,[1]!Resources[Retirement Date],"&gt;="&amp;AU$77,[1]!Resources[Unique Key],$AI98,[1]!Resources[Availability '#],"&gt;="&amp;2)</f>
        <v>0</v>
      </c>
      <c r="AV98" s="6">
        <f>SUMIFS([1]!Resources[Summer Rating],[1]!Resources[COD],"&lt;="&amp;AV$77,[1]!Resources[Retirement Date],"&gt;="&amp;AV$77,[1]!Resources[Unique Key],$AI98,[1]!Resources[Availability '#],"&gt;="&amp;2)</f>
        <v>0</v>
      </c>
      <c r="AW98" s="6">
        <f>SUMIFS([1]!Resources[Summer Rating],[1]!Resources[COD],"&lt;="&amp;AW$77,[1]!Resources[Retirement Date],"&gt;="&amp;AW$77,[1]!Resources[Unique Key],$AI98,[1]!Resources[Availability '#],"&gt;="&amp;2)</f>
        <v>0</v>
      </c>
      <c r="AX98" s="6">
        <f>SUMIFS([1]!Resources[Summer Rating],[1]!Resources[COD],"&lt;="&amp;AX$77,[1]!Resources[Retirement Date],"&gt;="&amp;AX$77,[1]!Resources[Unique Key],$AI98,[1]!Resources[Availability '#],"&gt;="&amp;2)</f>
        <v>0</v>
      </c>
      <c r="AY98" s="6">
        <f>SUMIFS([1]!Resources[Summer Rating],[1]!Resources[COD],"&lt;="&amp;AY$77,[1]!Resources[Retirement Date],"&gt;="&amp;AY$77,[1]!Resources[Unique Key],$AI98,[1]!Resources[Availability '#],"&gt;="&amp;2)</f>
        <v>0</v>
      </c>
      <c r="AZ98" s="6">
        <f>SUMIFS([1]!Resources[Summer Rating],[1]!Resources[COD],"&lt;="&amp;AZ$77,[1]!Resources[Retirement Date],"&gt;="&amp;AZ$77,[1]!Resources[Unique Key],$AI98,[1]!Resources[Availability '#],"&gt;="&amp;2)</f>
        <v>0</v>
      </c>
      <c r="BA98" s="6">
        <f>SUMIFS([1]!Resources[Summer Rating],[1]!Resources[COD],"&lt;="&amp;BA$77,[1]!Resources[Retirement Date],"&gt;="&amp;BA$77,[1]!Resources[Unique Key],$AI98,[1]!Resources[Availability '#],"&gt;="&amp;2)</f>
        <v>0</v>
      </c>
      <c r="BB98" s="6">
        <f>SUMIFS([1]!Resources[Summer Rating],[1]!Resources[COD],"&lt;="&amp;BB$77,[1]!Resources[Retirement Date],"&gt;="&amp;BB$77,[1]!Resources[Unique Key],$AI98,[1]!Resources[Availability '#],"&gt;="&amp;2)</f>
        <v>0</v>
      </c>
      <c r="BC98" s="6">
        <f>SUMIFS([1]!Resources[Summer Rating],[1]!Resources[COD],"&lt;="&amp;BC$77,[1]!Resources[Retirement Date],"&gt;="&amp;BC$77,[1]!Resources[Unique Key],$AI98,[1]!Resources[Availability '#],"&gt;="&amp;2)</f>
        <v>0</v>
      </c>
      <c r="BD98" s="6">
        <f>SUMIFS([1]!Resources[Summer Rating],[1]!Resources[COD],"&lt;="&amp;BD$77,[1]!Resources[Retirement Date],"&gt;="&amp;BD$77,[1]!Resources[Unique Key],$AI98,[1]!Resources[Availability '#],"&gt;="&amp;2)</f>
        <v>0</v>
      </c>
      <c r="BE98" s="6">
        <f>SUMIFS([1]!Resources[Summer Rating],[1]!Resources[COD],"&lt;="&amp;BE$77,[1]!Resources[Retirement Date],"&gt;="&amp;BE$77,[1]!Resources[Unique Key],$AI98,[1]!Resources[Availability '#],"&gt;="&amp;2)</f>
        <v>0</v>
      </c>
      <c r="BF98" s="6">
        <f>SUMIFS([1]!Resources[Summer Rating],[1]!Resources[COD],"&lt;="&amp;BF$77,[1]!Resources[Retirement Date],"&gt;="&amp;BF$77,[1]!Resources[Unique Key],$AI98,[1]!Resources[Availability '#],"&gt;="&amp;2)</f>
        <v>0</v>
      </c>
      <c r="BG98" s="6">
        <f>SUMIFS([1]!Resources[Summer Rating],[1]!Resources[COD],"&lt;="&amp;BG$77,[1]!Resources[Retirement Date],"&gt;="&amp;BG$77,[1]!Resources[Unique Key],$AI98,[1]!Resources[Availability '#],"&gt;="&amp;2)</f>
        <v>0</v>
      </c>
      <c r="BH98" s="6">
        <f>SUMIFS([1]!Resources[Summer Rating],[1]!Resources[COD],"&lt;="&amp;BH$77,[1]!Resources[Retirement Date],"&gt;="&amp;BH$77,[1]!Resources[Unique Key],$AI98,[1]!Resources[Availability '#],"&gt;="&amp;2)</f>
        <v>0</v>
      </c>
      <c r="BI98" s="6">
        <f>SUMIFS([1]!Resources[Summer Rating],[1]!Resources[COD],"&lt;="&amp;BI$77,[1]!Resources[Retirement Date],"&gt;="&amp;BI$77,[1]!Resources[Unique Key],$AI98,[1]!Resources[Availability '#],"&gt;="&amp;2)</f>
        <v>0</v>
      </c>
      <c r="BK98" s="5" t="s">
        <v>64</v>
      </c>
      <c r="BL98" s="20">
        <v>1.708</v>
      </c>
      <c r="BM98" s="20">
        <v>1.708</v>
      </c>
      <c r="BN98" s="20">
        <v>1.708</v>
      </c>
      <c r="BO98" s="20">
        <v>1.708</v>
      </c>
      <c r="BP98" s="20">
        <v>0</v>
      </c>
      <c r="BQ98" s="20">
        <v>0</v>
      </c>
      <c r="BR98" s="20">
        <v>0</v>
      </c>
      <c r="BS98" s="20">
        <v>0</v>
      </c>
      <c r="BT98" s="20">
        <v>0</v>
      </c>
      <c r="BU98" s="20">
        <v>0</v>
      </c>
      <c r="BV98" s="20">
        <v>0</v>
      </c>
      <c r="BW98" s="20">
        <v>0</v>
      </c>
      <c r="BX98" s="20">
        <v>0</v>
      </c>
      <c r="BY98" s="20">
        <v>0</v>
      </c>
      <c r="BZ98" s="20">
        <v>0</v>
      </c>
      <c r="CA98" s="20">
        <v>0</v>
      </c>
      <c r="CB98" s="20">
        <v>0</v>
      </c>
      <c r="CC98" s="20">
        <v>0</v>
      </c>
      <c r="CD98" s="20">
        <v>0</v>
      </c>
      <c r="CE98" s="20">
        <v>0</v>
      </c>
      <c r="CF98" s="20">
        <v>0</v>
      </c>
      <c r="CG98" s="20">
        <v>0</v>
      </c>
      <c r="CH98" s="20">
        <v>0</v>
      </c>
      <c r="CI98" s="20">
        <v>0</v>
      </c>
      <c r="CJ98" s="20">
        <v>0</v>
      </c>
      <c r="CK98" s="20">
        <v>0</v>
      </c>
      <c r="CM98" s="5" t="s">
        <v>64</v>
      </c>
      <c r="CN98" s="21">
        <v>2.169</v>
      </c>
      <c r="CO98" s="22">
        <v>2.169</v>
      </c>
      <c r="CP98" s="22">
        <v>2.169</v>
      </c>
      <c r="CQ98" s="22">
        <v>2.169</v>
      </c>
      <c r="CR98" s="22">
        <v>0</v>
      </c>
      <c r="CS98" s="22">
        <v>0</v>
      </c>
      <c r="CT98" s="22">
        <v>0</v>
      </c>
      <c r="CU98" s="22">
        <v>0</v>
      </c>
      <c r="CV98" s="22">
        <v>0</v>
      </c>
      <c r="CW98" s="22">
        <v>0</v>
      </c>
      <c r="CX98" s="22">
        <v>0</v>
      </c>
      <c r="CY98" s="22">
        <v>0</v>
      </c>
      <c r="CZ98" s="22">
        <v>0</v>
      </c>
      <c r="DA98" s="22">
        <v>0</v>
      </c>
      <c r="DB98" s="22">
        <v>0</v>
      </c>
      <c r="DC98" s="22">
        <v>0</v>
      </c>
      <c r="DD98" s="22">
        <v>0</v>
      </c>
      <c r="DE98" s="22">
        <v>0</v>
      </c>
      <c r="DF98" s="22">
        <v>0</v>
      </c>
      <c r="DG98" s="22">
        <v>0</v>
      </c>
      <c r="DH98" s="22">
        <v>0</v>
      </c>
      <c r="DI98" s="22">
        <v>0</v>
      </c>
      <c r="DJ98" s="22">
        <v>0</v>
      </c>
      <c r="DK98" s="22">
        <v>0</v>
      </c>
      <c r="DL98" s="22">
        <v>0</v>
      </c>
      <c r="DM98" s="22">
        <v>0</v>
      </c>
      <c r="DO98" s="5" t="s">
        <v>64</v>
      </c>
      <c r="DP98" s="23">
        <v>0.25</v>
      </c>
      <c r="DQ98" s="23">
        <v>0.25</v>
      </c>
      <c r="DR98" s="23">
        <v>0.25</v>
      </c>
      <c r="DS98" s="23">
        <v>0.25</v>
      </c>
      <c r="DT98" s="23">
        <v>0</v>
      </c>
      <c r="DU98" s="23">
        <v>0</v>
      </c>
      <c r="DV98" s="23">
        <v>0</v>
      </c>
      <c r="DW98" s="23">
        <v>0</v>
      </c>
      <c r="DX98" s="23">
        <v>0</v>
      </c>
      <c r="DY98" s="23">
        <v>0</v>
      </c>
      <c r="DZ98" s="23">
        <v>0</v>
      </c>
      <c r="EA98" s="23">
        <v>0</v>
      </c>
      <c r="EB98" s="23">
        <v>0</v>
      </c>
      <c r="EC98" s="23">
        <v>0</v>
      </c>
      <c r="ED98" s="23">
        <v>0</v>
      </c>
      <c r="EE98" s="23">
        <v>0</v>
      </c>
      <c r="EF98" s="23">
        <v>0</v>
      </c>
      <c r="EG98" s="23">
        <v>0</v>
      </c>
      <c r="EH98" s="23">
        <v>0</v>
      </c>
      <c r="EI98" s="23">
        <v>0</v>
      </c>
      <c r="EJ98" s="23">
        <v>0</v>
      </c>
      <c r="EK98" s="23">
        <v>0</v>
      </c>
      <c r="EL98" s="23">
        <v>0</v>
      </c>
      <c r="EM98" s="23">
        <v>0</v>
      </c>
      <c r="EN98" s="23">
        <v>0</v>
      </c>
      <c r="EO98" s="23">
        <v>0</v>
      </c>
      <c r="EP98" s="24">
        <f ca="1">IFERROR(INDEX('[1]GenX Resources'!$AP$10:$AP$46,MATCH(DO98,'[1]GenX Resources'!$B$10:$B$46,0)),0)</f>
        <v>0</v>
      </c>
      <c r="EQ98" s="2" t="b">
        <f t="shared" ca="1" si="35"/>
        <v>1</v>
      </c>
      <c r="ES98" s="25">
        <f ca="1">IFERROR(INDEX('[1]GenX Resources'!$AD:$AD,MATCH($G98,'[1]GenX Resources'!$B:$B,0)) - IF(OR(INDEX('[1]GenX Resources'!$L:$L,MATCH($G98,'[1]GenX Resources'!$B:$B,0)),ISNUMBER(SEARCH("New Generic",$G98))),0,INDEX('[1]GenX Resources'!$M:$M,MATCH($G98,'[1]GenX Resources'!$B:$B,0))),0)</f>
        <v>70000</v>
      </c>
      <c r="EU98" s="5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</row>
    <row r="99" spans="6:177" ht="16" x14ac:dyDescent="0.2">
      <c r="F99" s="19" t="str">
        <f>IFERROR(INDEX('[1]GenX Resources'!$A$10:$A$76,MATCH(G99,'[1]GenX Resources'!$B$10:$B$76,0)),"")</f>
        <v>Gas CCGT</v>
      </c>
      <c r="G99" s="5" t="s">
        <v>65</v>
      </c>
      <c r="H99" s="6">
        <v>0</v>
      </c>
      <c r="I99" s="6">
        <v>0</v>
      </c>
      <c r="J99" s="6">
        <v>0</v>
      </c>
      <c r="K99" s="6">
        <v>645</v>
      </c>
      <c r="L99" s="6">
        <v>645</v>
      </c>
      <c r="M99" s="6">
        <v>645</v>
      </c>
      <c r="N99" s="6">
        <v>645</v>
      </c>
      <c r="O99" s="6">
        <v>645</v>
      </c>
      <c r="P99" s="6">
        <v>645</v>
      </c>
      <c r="Q99" s="6">
        <v>645</v>
      </c>
      <c r="R99" s="6">
        <v>645</v>
      </c>
      <c r="S99" s="6">
        <v>645</v>
      </c>
      <c r="T99" s="6">
        <v>645</v>
      </c>
      <c r="U99" s="6">
        <v>645</v>
      </c>
      <c r="V99" s="6">
        <v>645</v>
      </c>
      <c r="W99" s="6">
        <v>645</v>
      </c>
      <c r="X99" s="6">
        <v>645</v>
      </c>
      <c r="Y99" s="6">
        <v>645</v>
      </c>
      <c r="Z99" s="6">
        <v>645</v>
      </c>
      <c r="AA99" s="6">
        <v>645</v>
      </c>
      <c r="AB99" s="6">
        <v>645</v>
      </c>
      <c r="AC99" s="6">
        <v>645</v>
      </c>
      <c r="AD99" s="6">
        <v>645</v>
      </c>
      <c r="AE99" s="6">
        <v>645</v>
      </c>
      <c r="AF99" s="6">
        <v>645</v>
      </c>
      <c r="AG99" s="6">
        <v>645</v>
      </c>
      <c r="AI99" s="5" t="s">
        <v>65</v>
      </c>
      <c r="AJ99" s="6">
        <f>SUMIFS([1]!Resources[Summer Rating],[1]!Resources[COD],"&lt;="&amp;AJ$77,[1]!Resources[Retirement Date],"&gt;="&amp;AJ$77,[1]!Resources[Unique Key],$AI99,[1]!Resources[Availability '#],"&gt;="&amp;2)</f>
        <v>0</v>
      </c>
      <c r="AK99" s="6">
        <f>SUMIFS([1]!Resources[Summer Rating],[1]!Resources[COD],"&lt;="&amp;AK$77,[1]!Resources[Retirement Date],"&gt;="&amp;AK$77,[1]!Resources[Unique Key],$AI99,[1]!Resources[Availability '#],"&gt;="&amp;2)</f>
        <v>0</v>
      </c>
      <c r="AL99" s="6">
        <f>SUMIFS([1]!Resources[Summer Rating],[1]!Resources[COD],"&lt;="&amp;AL$77,[1]!Resources[Retirement Date],"&gt;="&amp;AL$77,[1]!Resources[Unique Key],$AI99,[1]!Resources[Availability '#],"&gt;="&amp;2)</f>
        <v>0</v>
      </c>
      <c r="AM99" s="6">
        <f>SUMIFS([1]!Resources[Summer Rating],[1]!Resources[COD],"&lt;="&amp;AM$77,[1]!Resources[Retirement Date],"&gt;="&amp;AM$77,[1]!Resources[Unique Key],$AI99,[1]!Resources[Availability '#],"&gt;="&amp;2)</f>
        <v>645</v>
      </c>
      <c r="AN99" s="6">
        <f>SUMIFS([1]!Resources[Summer Rating],[1]!Resources[COD],"&lt;="&amp;AN$77,[1]!Resources[Retirement Date],"&gt;="&amp;AN$77,[1]!Resources[Unique Key],$AI99,[1]!Resources[Availability '#],"&gt;="&amp;2)</f>
        <v>645</v>
      </c>
      <c r="AO99" s="6">
        <f>SUMIFS([1]!Resources[Summer Rating],[1]!Resources[COD],"&lt;="&amp;AO$77,[1]!Resources[Retirement Date],"&gt;="&amp;AO$77,[1]!Resources[Unique Key],$AI99,[1]!Resources[Availability '#],"&gt;="&amp;2)</f>
        <v>645</v>
      </c>
      <c r="AP99" s="6">
        <f>SUMIFS([1]!Resources[Summer Rating],[1]!Resources[COD],"&lt;="&amp;AP$77,[1]!Resources[Retirement Date],"&gt;="&amp;AP$77,[1]!Resources[Unique Key],$AI99,[1]!Resources[Availability '#],"&gt;="&amp;2)</f>
        <v>645</v>
      </c>
      <c r="AQ99" s="6">
        <f>SUMIFS([1]!Resources[Summer Rating],[1]!Resources[COD],"&lt;="&amp;AQ$77,[1]!Resources[Retirement Date],"&gt;="&amp;AQ$77,[1]!Resources[Unique Key],$AI99,[1]!Resources[Availability '#],"&gt;="&amp;2)</f>
        <v>645</v>
      </c>
      <c r="AR99" s="6">
        <f>SUMIFS([1]!Resources[Summer Rating],[1]!Resources[COD],"&lt;="&amp;AR$77,[1]!Resources[Retirement Date],"&gt;="&amp;AR$77,[1]!Resources[Unique Key],$AI99,[1]!Resources[Availability '#],"&gt;="&amp;2)</f>
        <v>645</v>
      </c>
      <c r="AS99" s="6">
        <f>SUMIFS([1]!Resources[Summer Rating],[1]!Resources[COD],"&lt;="&amp;AS$77,[1]!Resources[Retirement Date],"&gt;="&amp;AS$77,[1]!Resources[Unique Key],$AI99,[1]!Resources[Availability '#],"&gt;="&amp;2)</f>
        <v>645</v>
      </c>
      <c r="AT99" s="6">
        <f>SUMIFS([1]!Resources[Summer Rating],[1]!Resources[COD],"&lt;="&amp;AT$77,[1]!Resources[Retirement Date],"&gt;="&amp;AT$77,[1]!Resources[Unique Key],$AI99,[1]!Resources[Availability '#],"&gt;="&amp;2)</f>
        <v>645</v>
      </c>
      <c r="AU99" s="6">
        <f>SUMIFS([1]!Resources[Summer Rating],[1]!Resources[COD],"&lt;="&amp;AU$77,[1]!Resources[Retirement Date],"&gt;="&amp;AU$77,[1]!Resources[Unique Key],$AI99,[1]!Resources[Availability '#],"&gt;="&amp;2)</f>
        <v>645</v>
      </c>
      <c r="AV99" s="6">
        <f>SUMIFS([1]!Resources[Summer Rating],[1]!Resources[COD],"&lt;="&amp;AV$77,[1]!Resources[Retirement Date],"&gt;="&amp;AV$77,[1]!Resources[Unique Key],$AI99,[1]!Resources[Availability '#],"&gt;="&amp;2)</f>
        <v>645</v>
      </c>
      <c r="AW99" s="6">
        <f>SUMIFS([1]!Resources[Summer Rating],[1]!Resources[COD],"&lt;="&amp;AW$77,[1]!Resources[Retirement Date],"&gt;="&amp;AW$77,[1]!Resources[Unique Key],$AI99,[1]!Resources[Availability '#],"&gt;="&amp;2)</f>
        <v>645</v>
      </c>
      <c r="AX99" s="6">
        <f>SUMIFS([1]!Resources[Summer Rating],[1]!Resources[COD],"&lt;="&amp;AX$77,[1]!Resources[Retirement Date],"&gt;="&amp;AX$77,[1]!Resources[Unique Key],$AI99,[1]!Resources[Availability '#],"&gt;="&amp;2)</f>
        <v>645</v>
      </c>
      <c r="AY99" s="6">
        <f>SUMIFS([1]!Resources[Summer Rating],[1]!Resources[COD],"&lt;="&amp;AY$77,[1]!Resources[Retirement Date],"&gt;="&amp;AY$77,[1]!Resources[Unique Key],$AI99,[1]!Resources[Availability '#],"&gt;="&amp;2)</f>
        <v>645</v>
      </c>
      <c r="AZ99" s="6">
        <f>SUMIFS([1]!Resources[Summer Rating],[1]!Resources[COD],"&lt;="&amp;AZ$77,[1]!Resources[Retirement Date],"&gt;="&amp;AZ$77,[1]!Resources[Unique Key],$AI99,[1]!Resources[Availability '#],"&gt;="&amp;2)</f>
        <v>645</v>
      </c>
      <c r="BA99" s="6">
        <f>SUMIFS([1]!Resources[Summer Rating],[1]!Resources[COD],"&lt;="&amp;BA$77,[1]!Resources[Retirement Date],"&gt;="&amp;BA$77,[1]!Resources[Unique Key],$AI99,[1]!Resources[Availability '#],"&gt;="&amp;2)</f>
        <v>645</v>
      </c>
      <c r="BB99" s="6">
        <f>SUMIFS([1]!Resources[Summer Rating],[1]!Resources[COD],"&lt;="&amp;BB$77,[1]!Resources[Retirement Date],"&gt;="&amp;BB$77,[1]!Resources[Unique Key],$AI99,[1]!Resources[Availability '#],"&gt;="&amp;2)</f>
        <v>645</v>
      </c>
      <c r="BC99" s="6">
        <f>SUMIFS([1]!Resources[Summer Rating],[1]!Resources[COD],"&lt;="&amp;BC$77,[1]!Resources[Retirement Date],"&gt;="&amp;BC$77,[1]!Resources[Unique Key],$AI99,[1]!Resources[Availability '#],"&gt;="&amp;2)</f>
        <v>645</v>
      </c>
      <c r="BD99" s="6">
        <f>SUMIFS([1]!Resources[Summer Rating],[1]!Resources[COD],"&lt;="&amp;BD$77,[1]!Resources[Retirement Date],"&gt;="&amp;BD$77,[1]!Resources[Unique Key],$AI99,[1]!Resources[Availability '#],"&gt;="&amp;2)</f>
        <v>645</v>
      </c>
      <c r="BE99" s="6">
        <f>SUMIFS([1]!Resources[Summer Rating],[1]!Resources[COD],"&lt;="&amp;BE$77,[1]!Resources[Retirement Date],"&gt;="&amp;BE$77,[1]!Resources[Unique Key],$AI99,[1]!Resources[Availability '#],"&gt;="&amp;2)</f>
        <v>645</v>
      </c>
      <c r="BF99" s="6">
        <f>SUMIFS([1]!Resources[Summer Rating],[1]!Resources[COD],"&lt;="&amp;BF$77,[1]!Resources[Retirement Date],"&gt;="&amp;BF$77,[1]!Resources[Unique Key],$AI99,[1]!Resources[Availability '#],"&gt;="&amp;2)</f>
        <v>645</v>
      </c>
      <c r="BG99" s="6">
        <f>SUMIFS([1]!Resources[Summer Rating],[1]!Resources[COD],"&lt;="&amp;BG$77,[1]!Resources[Retirement Date],"&gt;="&amp;BG$77,[1]!Resources[Unique Key],$AI99,[1]!Resources[Availability '#],"&gt;="&amp;2)</f>
        <v>645</v>
      </c>
      <c r="BH99" s="6">
        <f>SUMIFS([1]!Resources[Summer Rating],[1]!Resources[COD],"&lt;="&amp;BH$77,[1]!Resources[Retirement Date],"&gt;="&amp;BH$77,[1]!Resources[Unique Key],$AI99,[1]!Resources[Availability '#],"&gt;="&amp;2)</f>
        <v>645</v>
      </c>
      <c r="BI99" s="6">
        <f>SUMIFS([1]!Resources[Summer Rating],[1]!Resources[COD],"&lt;="&amp;BI$77,[1]!Resources[Retirement Date],"&gt;="&amp;BI$77,[1]!Resources[Unique Key],$AI99,[1]!Resources[Availability '#],"&gt;="&amp;2)</f>
        <v>645</v>
      </c>
      <c r="BK99" s="5" t="s">
        <v>65</v>
      </c>
      <c r="BL99" s="20">
        <v>0</v>
      </c>
      <c r="BM99" s="20">
        <v>0</v>
      </c>
      <c r="BN99" s="20">
        <v>0</v>
      </c>
      <c r="BO99" s="20">
        <v>1.413</v>
      </c>
      <c r="BP99" s="20">
        <v>1.413</v>
      </c>
      <c r="BQ99" s="20">
        <v>1.413</v>
      </c>
      <c r="BR99" s="20">
        <v>1.413</v>
      </c>
      <c r="BS99" s="20">
        <v>1.413</v>
      </c>
      <c r="BT99" s="20">
        <v>1.413</v>
      </c>
      <c r="BU99" s="20">
        <v>1.413</v>
      </c>
      <c r="BV99" s="20">
        <v>1.413</v>
      </c>
      <c r="BW99" s="20">
        <v>1.413</v>
      </c>
      <c r="BX99" s="20">
        <v>1.413</v>
      </c>
      <c r="BY99" s="20">
        <v>1.413</v>
      </c>
      <c r="BZ99" s="20">
        <v>1.413</v>
      </c>
      <c r="CA99" s="20">
        <v>1.413</v>
      </c>
      <c r="CB99" s="20">
        <v>1.413</v>
      </c>
      <c r="CC99" s="20">
        <v>1.413</v>
      </c>
      <c r="CD99" s="20">
        <v>1.413</v>
      </c>
      <c r="CE99" s="20">
        <v>1.413</v>
      </c>
      <c r="CF99" s="20">
        <v>1.413</v>
      </c>
      <c r="CG99" s="20">
        <v>1.413</v>
      </c>
      <c r="CH99" s="20">
        <v>1.413</v>
      </c>
      <c r="CI99" s="20">
        <v>1.413</v>
      </c>
      <c r="CJ99" s="20">
        <v>1.413</v>
      </c>
      <c r="CK99" s="20">
        <v>1.413</v>
      </c>
      <c r="CM99" s="5" t="s">
        <v>65</v>
      </c>
      <c r="CN99" s="21">
        <v>0</v>
      </c>
      <c r="CO99" s="22">
        <v>0</v>
      </c>
      <c r="CP99" s="22">
        <v>0</v>
      </c>
      <c r="CQ99" s="22">
        <v>0.47199999999999998</v>
      </c>
      <c r="CR99" s="22">
        <v>0.47199999999999998</v>
      </c>
      <c r="CS99" s="22">
        <v>0.47199999999999998</v>
      </c>
      <c r="CT99" s="22">
        <v>0.47199999999999998</v>
      </c>
      <c r="CU99" s="22">
        <v>0.47199999999999998</v>
      </c>
      <c r="CV99" s="22">
        <v>0.47199999999999998</v>
      </c>
      <c r="CW99" s="22">
        <v>0.47199999999999998</v>
      </c>
      <c r="CX99" s="22">
        <v>0.47199999999999998</v>
      </c>
      <c r="CY99" s="22">
        <v>0.47199999999999998</v>
      </c>
      <c r="CZ99" s="22">
        <v>0.47199999999999998</v>
      </c>
      <c r="DA99" s="22">
        <v>0.47199999999999998</v>
      </c>
      <c r="DB99" s="22">
        <v>0.47199999999999998</v>
      </c>
      <c r="DC99" s="22">
        <v>0.47199999999999998</v>
      </c>
      <c r="DD99" s="22">
        <v>0.47199999999999998</v>
      </c>
      <c r="DE99" s="22">
        <v>0.47199999999999998</v>
      </c>
      <c r="DF99" s="22">
        <v>0.47199999999999998</v>
      </c>
      <c r="DG99" s="22">
        <v>0.47199999999999998</v>
      </c>
      <c r="DH99" s="22">
        <v>0.47199999999999998</v>
      </c>
      <c r="DI99" s="22">
        <v>0.47199999999999998</v>
      </c>
      <c r="DJ99" s="22">
        <v>0.47199999999999998</v>
      </c>
      <c r="DK99" s="22">
        <v>0.47199999999999998</v>
      </c>
      <c r="DL99" s="22">
        <v>0.47199999999999998</v>
      </c>
      <c r="DM99" s="22">
        <v>0.47199999999999998</v>
      </c>
      <c r="DO99" s="5" t="s">
        <v>65</v>
      </c>
      <c r="DP99" s="23">
        <v>0</v>
      </c>
      <c r="DQ99" s="23">
        <v>0</v>
      </c>
      <c r="DR99" s="23">
        <v>0</v>
      </c>
      <c r="DS99" s="23">
        <v>0.25</v>
      </c>
      <c r="DT99" s="23">
        <v>0.25</v>
      </c>
      <c r="DU99" s="23">
        <v>0.25</v>
      </c>
      <c r="DV99" s="23">
        <v>0.25</v>
      </c>
      <c r="DW99" s="23">
        <v>0.25</v>
      </c>
      <c r="DX99" s="23">
        <v>0.25</v>
      </c>
      <c r="DY99" s="23">
        <v>0.25</v>
      </c>
      <c r="DZ99" s="23">
        <v>0.25</v>
      </c>
      <c r="EA99" s="23">
        <v>0.25</v>
      </c>
      <c r="EB99" s="23">
        <v>0.25</v>
      </c>
      <c r="EC99" s="23">
        <v>0.25</v>
      </c>
      <c r="ED99" s="23">
        <v>0.25</v>
      </c>
      <c r="EE99" s="23">
        <v>0.25</v>
      </c>
      <c r="EF99" s="23">
        <v>0.25</v>
      </c>
      <c r="EG99" s="23">
        <v>0.25</v>
      </c>
      <c r="EH99" s="23">
        <v>0.25</v>
      </c>
      <c r="EI99" s="23">
        <v>0.25</v>
      </c>
      <c r="EJ99" s="23">
        <v>0.25</v>
      </c>
      <c r="EK99" s="23">
        <v>0.25</v>
      </c>
      <c r="EL99" s="23">
        <v>0.25</v>
      </c>
      <c r="EM99" s="23">
        <v>0.25</v>
      </c>
      <c r="EN99" s="23">
        <v>0.25</v>
      </c>
      <c r="EO99" s="23">
        <v>0.25</v>
      </c>
      <c r="EP99" s="24">
        <f ca="1">IFERROR(INDEX('[1]GenX Resources'!$AP$10:$AP$46,MATCH(DO99,'[1]GenX Resources'!$B$10:$B$46,0)),0)</f>
        <v>0</v>
      </c>
      <c r="EQ99" s="2" t="b">
        <f t="shared" ca="1" si="35"/>
        <v>1</v>
      </c>
      <c r="ES99" s="25">
        <f ca="1">IFERROR(INDEX('[1]GenX Resources'!$AD:$AD,MATCH($G99,'[1]GenX Resources'!$B:$B,0)) - IF(OR(INDEX('[1]GenX Resources'!$L:$L,MATCH($G99,'[1]GenX Resources'!$B:$B,0)),ISNUMBER(SEARCH("New Generic",$G99))),0,INDEX('[1]GenX Resources'!$M:$M,MATCH($G99,'[1]GenX Resources'!$B:$B,0))),0)</f>
        <v>0</v>
      </c>
      <c r="EU99" s="5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</row>
    <row r="100" spans="6:177" ht="16" x14ac:dyDescent="0.2">
      <c r="F100" s="19" t="str">
        <f>IFERROR(INDEX('[1]GenX Resources'!$A$10:$A$76,MATCH(G100,'[1]GenX Resources'!$B$10:$B$76,0)),"")</f>
        <v>Coal</v>
      </c>
      <c r="G100" s="5" t="s">
        <v>66</v>
      </c>
      <c r="H100" s="6">
        <v>412</v>
      </c>
      <c r="I100" s="6">
        <v>412</v>
      </c>
      <c r="J100" s="6">
        <v>412</v>
      </c>
      <c r="K100" s="6">
        <v>412</v>
      </c>
      <c r="L100" s="6">
        <v>412</v>
      </c>
      <c r="M100" s="6">
        <v>412</v>
      </c>
      <c r="N100" s="6">
        <v>412</v>
      </c>
      <c r="O100" s="6">
        <v>412</v>
      </c>
      <c r="P100" s="6">
        <v>412</v>
      </c>
      <c r="Q100" s="6">
        <v>412</v>
      </c>
      <c r="R100" s="6">
        <v>412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I100" s="5" t="s">
        <v>66</v>
      </c>
      <c r="AJ100" s="6">
        <f>SUMIFS([1]!Resources[Summer Rating],[1]!Resources[COD],"&lt;="&amp;AJ$77,[1]!Resources[Retirement Date],"&gt;="&amp;AJ$77,[1]!Resources[Unique Key],$AI100,[1]!Resources[Availability '#],"&gt;="&amp;2)</f>
        <v>0</v>
      </c>
      <c r="AK100" s="6">
        <f>SUMIFS([1]!Resources[Summer Rating],[1]!Resources[COD],"&lt;="&amp;AK$77,[1]!Resources[Retirement Date],"&gt;="&amp;AK$77,[1]!Resources[Unique Key],$AI100,[1]!Resources[Availability '#],"&gt;="&amp;2)</f>
        <v>0</v>
      </c>
      <c r="AL100" s="6">
        <f>SUMIFS([1]!Resources[Summer Rating],[1]!Resources[COD],"&lt;="&amp;AL$77,[1]!Resources[Retirement Date],"&gt;="&amp;AL$77,[1]!Resources[Unique Key],$AI100,[1]!Resources[Availability '#],"&gt;="&amp;2)</f>
        <v>0</v>
      </c>
      <c r="AM100" s="6">
        <f>SUMIFS([1]!Resources[Summer Rating],[1]!Resources[COD],"&lt;="&amp;AM$77,[1]!Resources[Retirement Date],"&gt;="&amp;AM$77,[1]!Resources[Unique Key],$AI100,[1]!Resources[Availability '#],"&gt;="&amp;2)</f>
        <v>0</v>
      </c>
      <c r="AN100" s="6">
        <f>SUMIFS([1]!Resources[Summer Rating],[1]!Resources[COD],"&lt;="&amp;AN$77,[1]!Resources[Retirement Date],"&gt;="&amp;AN$77,[1]!Resources[Unique Key],$AI100,[1]!Resources[Availability '#],"&gt;="&amp;2)</f>
        <v>0</v>
      </c>
      <c r="AO100" s="6">
        <f>SUMIFS([1]!Resources[Summer Rating],[1]!Resources[COD],"&lt;="&amp;AO$77,[1]!Resources[Retirement Date],"&gt;="&amp;AO$77,[1]!Resources[Unique Key],$AI100,[1]!Resources[Availability '#],"&gt;="&amp;2)</f>
        <v>0</v>
      </c>
      <c r="AP100" s="6">
        <f>SUMIFS([1]!Resources[Summer Rating],[1]!Resources[COD],"&lt;="&amp;AP$77,[1]!Resources[Retirement Date],"&gt;="&amp;AP$77,[1]!Resources[Unique Key],$AI100,[1]!Resources[Availability '#],"&gt;="&amp;2)</f>
        <v>0</v>
      </c>
      <c r="AQ100" s="6">
        <f>SUMIFS([1]!Resources[Summer Rating],[1]!Resources[COD],"&lt;="&amp;AQ$77,[1]!Resources[Retirement Date],"&gt;="&amp;AQ$77,[1]!Resources[Unique Key],$AI100,[1]!Resources[Availability '#],"&gt;="&amp;2)</f>
        <v>0</v>
      </c>
      <c r="AR100" s="6">
        <f>SUMIFS([1]!Resources[Summer Rating],[1]!Resources[COD],"&lt;="&amp;AR$77,[1]!Resources[Retirement Date],"&gt;="&amp;AR$77,[1]!Resources[Unique Key],$AI100,[1]!Resources[Availability '#],"&gt;="&amp;2)</f>
        <v>0</v>
      </c>
      <c r="AS100" s="6">
        <f>SUMIFS([1]!Resources[Summer Rating],[1]!Resources[COD],"&lt;="&amp;AS$77,[1]!Resources[Retirement Date],"&gt;="&amp;AS$77,[1]!Resources[Unique Key],$AI100,[1]!Resources[Availability '#],"&gt;="&amp;2)</f>
        <v>0</v>
      </c>
      <c r="AT100" s="6">
        <f>SUMIFS([1]!Resources[Summer Rating],[1]!Resources[COD],"&lt;="&amp;AT$77,[1]!Resources[Retirement Date],"&gt;="&amp;AT$77,[1]!Resources[Unique Key],$AI100,[1]!Resources[Availability '#],"&gt;="&amp;2)</f>
        <v>0</v>
      </c>
      <c r="AU100" s="6">
        <f>SUMIFS([1]!Resources[Summer Rating],[1]!Resources[COD],"&lt;="&amp;AU$77,[1]!Resources[Retirement Date],"&gt;="&amp;AU$77,[1]!Resources[Unique Key],$AI100,[1]!Resources[Availability '#],"&gt;="&amp;2)</f>
        <v>0</v>
      </c>
      <c r="AV100" s="6">
        <f>SUMIFS([1]!Resources[Summer Rating],[1]!Resources[COD],"&lt;="&amp;AV$77,[1]!Resources[Retirement Date],"&gt;="&amp;AV$77,[1]!Resources[Unique Key],$AI100,[1]!Resources[Availability '#],"&gt;="&amp;2)</f>
        <v>0</v>
      </c>
      <c r="AW100" s="6">
        <f>SUMIFS([1]!Resources[Summer Rating],[1]!Resources[COD],"&lt;="&amp;AW$77,[1]!Resources[Retirement Date],"&gt;="&amp;AW$77,[1]!Resources[Unique Key],$AI100,[1]!Resources[Availability '#],"&gt;="&amp;2)</f>
        <v>0</v>
      </c>
      <c r="AX100" s="6">
        <f>SUMIFS([1]!Resources[Summer Rating],[1]!Resources[COD],"&lt;="&amp;AX$77,[1]!Resources[Retirement Date],"&gt;="&amp;AX$77,[1]!Resources[Unique Key],$AI100,[1]!Resources[Availability '#],"&gt;="&amp;2)</f>
        <v>0</v>
      </c>
      <c r="AY100" s="6">
        <f>SUMIFS([1]!Resources[Summer Rating],[1]!Resources[COD],"&lt;="&amp;AY$77,[1]!Resources[Retirement Date],"&gt;="&amp;AY$77,[1]!Resources[Unique Key],$AI100,[1]!Resources[Availability '#],"&gt;="&amp;2)</f>
        <v>0</v>
      </c>
      <c r="AZ100" s="6">
        <f>SUMIFS([1]!Resources[Summer Rating],[1]!Resources[COD],"&lt;="&amp;AZ$77,[1]!Resources[Retirement Date],"&gt;="&amp;AZ$77,[1]!Resources[Unique Key],$AI100,[1]!Resources[Availability '#],"&gt;="&amp;2)</f>
        <v>0</v>
      </c>
      <c r="BA100" s="6">
        <f>SUMIFS([1]!Resources[Summer Rating],[1]!Resources[COD],"&lt;="&amp;BA$77,[1]!Resources[Retirement Date],"&gt;="&amp;BA$77,[1]!Resources[Unique Key],$AI100,[1]!Resources[Availability '#],"&gt;="&amp;2)</f>
        <v>0</v>
      </c>
      <c r="BB100" s="6">
        <f>SUMIFS([1]!Resources[Summer Rating],[1]!Resources[COD],"&lt;="&amp;BB$77,[1]!Resources[Retirement Date],"&gt;="&amp;BB$77,[1]!Resources[Unique Key],$AI100,[1]!Resources[Availability '#],"&gt;="&amp;2)</f>
        <v>0</v>
      </c>
      <c r="BC100" s="6">
        <f>SUMIFS([1]!Resources[Summer Rating],[1]!Resources[COD],"&lt;="&amp;BC$77,[1]!Resources[Retirement Date],"&gt;="&amp;BC$77,[1]!Resources[Unique Key],$AI100,[1]!Resources[Availability '#],"&gt;="&amp;2)</f>
        <v>0</v>
      </c>
      <c r="BD100" s="6">
        <f>SUMIFS([1]!Resources[Summer Rating],[1]!Resources[COD],"&lt;="&amp;BD$77,[1]!Resources[Retirement Date],"&gt;="&amp;BD$77,[1]!Resources[Unique Key],$AI100,[1]!Resources[Availability '#],"&gt;="&amp;2)</f>
        <v>0</v>
      </c>
      <c r="BE100" s="6">
        <f>SUMIFS([1]!Resources[Summer Rating],[1]!Resources[COD],"&lt;="&amp;BE$77,[1]!Resources[Retirement Date],"&gt;="&amp;BE$77,[1]!Resources[Unique Key],$AI100,[1]!Resources[Availability '#],"&gt;="&amp;2)</f>
        <v>0</v>
      </c>
      <c r="BF100" s="6">
        <f>SUMIFS([1]!Resources[Summer Rating],[1]!Resources[COD],"&lt;="&amp;BF$77,[1]!Resources[Retirement Date],"&gt;="&amp;BF$77,[1]!Resources[Unique Key],$AI100,[1]!Resources[Availability '#],"&gt;="&amp;2)</f>
        <v>0</v>
      </c>
      <c r="BG100" s="6">
        <f>SUMIFS([1]!Resources[Summer Rating],[1]!Resources[COD],"&lt;="&amp;BG$77,[1]!Resources[Retirement Date],"&gt;="&amp;BG$77,[1]!Resources[Unique Key],$AI100,[1]!Resources[Availability '#],"&gt;="&amp;2)</f>
        <v>0</v>
      </c>
      <c r="BH100" s="6">
        <f>SUMIFS([1]!Resources[Summer Rating],[1]!Resources[COD],"&lt;="&amp;BH$77,[1]!Resources[Retirement Date],"&gt;="&amp;BH$77,[1]!Resources[Unique Key],$AI100,[1]!Resources[Availability '#],"&gt;="&amp;2)</f>
        <v>0</v>
      </c>
      <c r="BI100" s="6">
        <f>SUMIFS([1]!Resources[Summer Rating],[1]!Resources[COD],"&lt;="&amp;BI$77,[1]!Resources[Retirement Date],"&gt;="&amp;BI$77,[1]!Resources[Unique Key],$AI100,[1]!Resources[Availability '#],"&gt;="&amp;2)</f>
        <v>0</v>
      </c>
      <c r="BK100" s="5" t="s">
        <v>66</v>
      </c>
      <c r="BL100" s="20">
        <v>1.335</v>
      </c>
      <c r="BM100" s="20">
        <v>1.335</v>
      </c>
      <c r="BN100" s="20">
        <v>1.083</v>
      </c>
      <c r="BO100" s="20">
        <v>0.433</v>
      </c>
      <c r="BP100" s="20">
        <v>0.433</v>
      </c>
      <c r="BQ100" s="20">
        <v>0.433</v>
      </c>
      <c r="BR100" s="20">
        <v>0.433</v>
      </c>
      <c r="BS100" s="20">
        <v>0.433</v>
      </c>
      <c r="BT100" s="20">
        <v>0.433</v>
      </c>
      <c r="BU100" s="20">
        <v>0.433</v>
      </c>
      <c r="BV100" s="20">
        <v>0.433</v>
      </c>
      <c r="BW100" s="20">
        <v>0</v>
      </c>
      <c r="BX100" s="20">
        <v>0</v>
      </c>
      <c r="BY100" s="20">
        <v>0</v>
      </c>
      <c r="BZ100" s="20">
        <v>0</v>
      </c>
      <c r="CA100" s="20">
        <v>0</v>
      </c>
      <c r="CB100" s="20">
        <v>0</v>
      </c>
      <c r="CC100" s="20">
        <v>0</v>
      </c>
      <c r="CD100" s="20">
        <v>0</v>
      </c>
      <c r="CE100" s="20">
        <v>0</v>
      </c>
      <c r="CF100" s="20">
        <v>0</v>
      </c>
      <c r="CG100" s="20">
        <v>0</v>
      </c>
      <c r="CH100" s="20">
        <v>0</v>
      </c>
      <c r="CI100" s="20">
        <v>0</v>
      </c>
      <c r="CJ100" s="20">
        <v>0</v>
      </c>
      <c r="CK100" s="20">
        <v>0</v>
      </c>
      <c r="CM100" s="5" t="s">
        <v>66</v>
      </c>
      <c r="CN100" s="21">
        <v>1.359</v>
      </c>
      <c r="CO100" s="22">
        <v>1.359</v>
      </c>
      <c r="CP100" s="22">
        <v>1.103</v>
      </c>
      <c r="CQ100" s="22">
        <v>0.441</v>
      </c>
      <c r="CR100" s="22">
        <v>0.441</v>
      </c>
      <c r="CS100" s="22">
        <v>0.441</v>
      </c>
      <c r="CT100" s="22">
        <v>0.441</v>
      </c>
      <c r="CU100" s="22">
        <v>0.441</v>
      </c>
      <c r="CV100" s="22">
        <v>0.441</v>
      </c>
      <c r="CW100" s="22">
        <v>0.441</v>
      </c>
      <c r="CX100" s="22">
        <v>0.441</v>
      </c>
      <c r="CY100" s="22">
        <v>0</v>
      </c>
      <c r="CZ100" s="22">
        <v>0</v>
      </c>
      <c r="DA100" s="22">
        <v>0</v>
      </c>
      <c r="DB100" s="22">
        <v>0</v>
      </c>
      <c r="DC100" s="22">
        <v>0</v>
      </c>
      <c r="DD100" s="22">
        <v>0</v>
      </c>
      <c r="DE100" s="22">
        <v>0</v>
      </c>
      <c r="DF100" s="22">
        <v>0</v>
      </c>
      <c r="DG100" s="22">
        <v>0</v>
      </c>
      <c r="DH100" s="22">
        <v>0</v>
      </c>
      <c r="DI100" s="22">
        <v>0</v>
      </c>
      <c r="DJ100" s="22">
        <v>0</v>
      </c>
      <c r="DK100" s="22">
        <v>0</v>
      </c>
      <c r="DL100" s="22">
        <v>0</v>
      </c>
      <c r="DM100" s="22">
        <v>0</v>
      </c>
      <c r="DO100" s="5" t="s">
        <v>66</v>
      </c>
      <c r="DP100" s="23">
        <v>0.37</v>
      </c>
      <c r="DQ100" s="23">
        <v>0.37</v>
      </c>
      <c r="DR100" s="23">
        <v>0.3</v>
      </c>
      <c r="DS100" s="23">
        <v>0.12</v>
      </c>
      <c r="DT100" s="23">
        <v>0.12</v>
      </c>
      <c r="DU100" s="23">
        <v>0.12</v>
      </c>
      <c r="DV100" s="23">
        <v>0.12</v>
      </c>
      <c r="DW100" s="23">
        <v>0.12</v>
      </c>
      <c r="DX100" s="23">
        <v>0.12</v>
      </c>
      <c r="DY100" s="23">
        <v>0.12</v>
      </c>
      <c r="DZ100" s="23">
        <v>0.12</v>
      </c>
      <c r="EA100" s="23">
        <v>0</v>
      </c>
      <c r="EB100" s="23">
        <v>0</v>
      </c>
      <c r="EC100" s="23">
        <v>0</v>
      </c>
      <c r="ED100" s="23">
        <v>0</v>
      </c>
      <c r="EE100" s="23">
        <v>0</v>
      </c>
      <c r="EF100" s="23">
        <v>0</v>
      </c>
      <c r="EG100" s="23">
        <v>0</v>
      </c>
      <c r="EH100" s="23">
        <v>0</v>
      </c>
      <c r="EI100" s="23">
        <v>0</v>
      </c>
      <c r="EJ100" s="23">
        <v>0</v>
      </c>
      <c r="EK100" s="23">
        <v>0</v>
      </c>
      <c r="EL100" s="23">
        <v>0</v>
      </c>
      <c r="EM100" s="23">
        <v>0</v>
      </c>
      <c r="EN100" s="23">
        <v>0</v>
      </c>
      <c r="EO100" s="23">
        <v>0</v>
      </c>
      <c r="EP100" s="24">
        <f ca="1">IFERROR(INDEX('[1]GenX Resources'!$AP$10:$AP$46,MATCH(DO100,'[1]GenX Resources'!$B$10:$B$46,0)),0)</f>
        <v>0.12</v>
      </c>
      <c r="EQ100" s="2" t="b">
        <f t="shared" ca="1" si="35"/>
        <v>1</v>
      </c>
      <c r="ES100" s="25">
        <f ca="1">IFERROR(INDEX('[1]GenX Resources'!$AD:$AD,MATCH($G100,'[1]GenX Resources'!$B:$B,0)) - IF(OR(INDEX('[1]GenX Resources'!$L:$L,MATCH($G100,'[1]GenX Resources'!$B:$B,0)),ISNUMBER(SEARCH("New Generic",$G100))),0,INDEX('[1]GenX Resources'!$M:$M,MATCH($G100,'[1]GenX Resources'!$B:$B,0))),0)</f>
        <v>70000</v>
      </c>
      <c r="EU100" s="5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</row>
    <row r="101" spans="6:177" ht="16" x14ac:dyDescent="0.2">
      <c r="F101" s="19" t="str">
        <f>IFERROR(INDEX('[1]GenX Resources'!$A$10:$A$76,MATCH(G101,'[1]GenX Resources'!$B$10:$B$76,0)),"")</f>
        <v>Gas CT</v>
      </c>
      <c r="G101" s="5" t="s">
        <v>67</v>
      </c>
      <c r="H101" s="6">
        <v>614</v>
      </c>
      <c r="I101" s="6">
        <v>614</v>
      </c>
      <c r="J101" s="6">
        <v>614</v>
      </c>
      <c r="K101" s="6">
        <v>614</v>
      </c>
      <c r="L101" s="6">
        <v>614</v>
      </c>
      <c r="M101" s="6">
        <v>614</v>
      </c>
      <c r="N101" s="6">
        <v>614</v>
      </c>
      <c r="O101" s="6">
        <v>614</v>
      </c>
      <c r="P101" s="6">
        <v>614</v>
      </c>
      <c r="Q101" s="6">
        <v>614</v>
      </c>
      <c r="R101" s="6">
        <v>614</v>
      </c>
      <c r="S101" s="6">
        <v>614</v>
      </c>
      <c r="T101" s="6">
        <v>614</v>
      </c>
      <c r="U101" s="6">
        <v>614</v>
      </c>
      <c r="V101" s="6">
        <v>614</v>
      </c>
      <c r="W101" s="6">
        <v>614</v>
      </c>
      <c r="X101" s="6">
        <v>614</v>
      </c>
      <c r="Y101" s="6">
        <v>614</v>
      </c>
      <c r="Z101" s="6">
        <v>614</v>
      </c>
      <c r="AA101" s="6">
        <v>614</v>
      </c>
      <c r="AB101" s="6">
        <v>614</v>
      </c>
      <c r="AC101" s="6">
        <v>614</v>
      </c>
      <c r="AD101" s="6">
        <v>614</v>
      </c>
      <c r="AE101" s="6">
        <v>614</v>
      </c>
      <c r="AF101" s="6">
        <v>614</v>
      </c>
      <c r="AG101" s="6">
        <v>614</v>
      </c>
      <c r="AI101" s="5" t="s">
        <v>67</v>
      </c>
      <c r="AJ101" s="6">
        <f>SUMIFS([1]!Resources[Summer Rating],[1]!Resources[COD],"&lt;="&amp;AJ$77,[1]!Resources[Retirement Date],"&gt;="&amp;AJ$77,[1]!Resources[Unique Key],$AI101,[1]!Resources[Availability '#],"&gt;="&amp;2)</f>
        <v>0</v>
      </c>
      <c r="AK101" s="6">
        <f>SUMIFS([1]!Resources[Summer Rating],[1]!Resources[COD],"&lt;="&amp;AK$77,[1]!Resources[Retirement Date],"&gt;="&amp;AK$77,[1]!Resources[Unique Key],$AI101,[1]!Resources[Availability '#],"&gt;="&amp;2)</f>
        <v>0</v>
      </c>
      <c r="AL101" s="6">
        <f>SUMIFS([1]!Resources[Summer Rating],[1]!Resources[COD],"&lt;="&amp;AL$77,[1]!Resources[Retirement Date],"&gt;="&amp;AL$77,[1]!Resources[Unique Key],$AI101,[1]!Resources[Availability '#],"&gt;="&amp;2)</f>
        <v>0</v>
      </c>
      <c r="AM101" s="6">
        <f>SUMIFS([1]!Resources[Summer Rating],[1]!Resources[COD],"&lt;="&amp;AM$77,[1]!Resources[Retirement Date],"&gt;="&amp;AM$77,[1]!Resources[Unique Key],$AI101,[1]!Resources[Availability '#],"&gt;="&amp;2)</f>
        <v>0</v>
      </c>
      <c r="AN101" s="6">
        <f>SUMIFS([1]!Resources[Summer Rating],[1]!Resources[COD],"&lt;="&amp;AN$77,[1]!Resources[Retirement Date],"&gt;="&amp;AN$77,[1]!Resources[Unique Key],$AI101,[1]!Resources[Availability '#],"&gt;="&amp;2)</f>
        <v>0</v>
      </c>
      <c r="AO101" s="6">
        <f>SUMIFS([1]!Resources[Summer Rating],[1]!Resources[COD],"&lt;="&amp;AO$77,[1]!Resources[Retirement Date],"&gt;="&amp;AO$77,[1]!Resources[Unique Key],$AI101,[1]!Resources[Availability '#],"&gt;="&amp;2)</f>
        <v>0</v>
      </c>
      <c r="AP101" s="6">
        <f>SUMIFS([1]!Resources[Summer Rating],[1]!Resources[COD],"&lt;="&amp;AP$77,[1]!Resources[Retirement Date],"&gt;="&amp;AP$77,[1]!Resources[Unique Key],$AI101,[1]!Resources[Availability '#],"&gt;="&amp;2)</f>
        <v>0</v>
      </c>
      <c r="AQ101" s="6">
        <f>SUMIFS([1]!Resources[Summer Rating],[1]!Resources[COD],"&lt;="&amp;AQ$77,[1]!Resources[Retirement Date],"&gt;="&amp;AQ$77,[1]!Resources[Unique Key],$AI101,[1]!Resources[Availability '#],"&gt;="&amp;2)</f>
        <v>0</v>
      </c>
      <c r="AR101" s="6">
        <f>SUMIFS([1]!Resources[Summer Rating],[1]!Resources[COD],"&lt;="&amp;AR$77,[1]!Resources[Retirement Date],"&gt;="&amp;AR$77,[1]!Resources[Unique Key],$AI101,[1]!Resources[Availability '#],"&gt;="&amp;2)</f>
        <v>0</v>
      </c>
      <c r="AS101" s="6">
        <f>SUMIFS([1]!Resources[Summer Rating],[1]!Resources[COD],"&lt;="&amp;AS$77,[1]!Resources[Retirement Date],"&gt;="&amp;AS$77,[1]!Resources[Unique Key],$AI101,[1]!Resources[Availability '#],"&gt;="&amp;2)</f>
        <v>0</v>
      </c>
      <c r="AT101" s="6">
        <f>SUMIFS([1]!Resources[Summer Rating],[1]!Resources[COD],"&lt;="&amp;AT$77,[1]!Resources[Retirement Date],"&gt;="&amp;AT$77,[1]!Resources[Unique Key],$AI101,[1]!Resources[Availability '#],"&gt;="&amp;2)</f>
        <v>0</v>
      </c>
      <c r="AU101" s="6">
        <f>SUMIFS([1]!Resources[Summer Rating],[1]!Resources[COD],"&lt;="&amp;AU$77,[1]!Resources[Retirement Date],"&gt;="&amp;AU$77,[1]!Resources[Unique Key],$AI101,[1]!Resources[Availability '#],"&gt;="&amp;2)</f>
        <v>0</v>
      </c>
      <c r="AV101" s="6">
        <f>SUMIFS([1]!Resources[Summer Rating],[1]!Resources[COD],"&lt;="&amp;AV$77,[1]!Resources[Retirement Date],"&gt;="&amp;AV$77,[1]!Resources[Unique Key],$AI101,[1]!Resources[Availability '#],"&gt;="&amp;2)</f>
        <v>0</v>
      </c>
      <c r="AW101" s="6">
        <f>SUMIFS([1]!Resources[Summer Rating],[1]!Resources[COD],"&lt;="&amp;AW$77,[1]!Resources[Retirement Date],"&gt;="&amp;AW$77,[1]!Resources[Unique Key],$AI101,[1]!Resources[Availability '#],"&gt;="&amp;2)</f>
        <v>0</v>
      </c>
      <c r="AX101" s="6">
        <f>SUMIFS([1]!Resources[Summer Rating],[1]!Resources[COD],"&lt;="&amp;AX$77,[1]!Resources[Retirement Date],"&gt;="&amp;AX$77,[1]!Resources[Unique Key],$AI101,[1]!Resources[Availability '#],"&gt;="&amp;2)</f>
        <v>0</v>
      </c>
      <c r="AY101" s="6">
        <f>SUMIFS([1]!Resources[Summer Rating],[1]!Resources[COD],"&lt;="&amp;AY$77,[1]!Resources[Retirement Date],"&gt;="&amp;AY$77,[1]!Resources[Unique Key],$AI101,[1]!Resources[Availability '#],"&gt;="&amp;2)</f>
        <v>0</v>
      </c>
      <c r="AZ101" s="6">
        <f>SUMIFS([1]!Resources[Summer Rating],[1]!Resources[COD],"&lt;="&amp;AZ$77,[1]!Resources[Retirement Date],"&gt;="&amp;AZ$77,[1]!Resources[Unique Key],$AI101,[1]!Resources[Availability '#],"&gt;="&amp;2)</f>
        <v>0</v>
      </c>
      <c r="BA101" s="6">
        <f>SUMIFS([1]!Resources[Summer Rating],[1]!Resources[COD],"&lt;="&amp;BA$77,[1]!Resources[Retirement Date],"&gt;="&amp;BA$77,[1]!Resources[Unique Key],$AI101,[1]!Resources[Availability '#],"&gt;="&amp;2)</f>
        <v>0</v>
      </c>
      <c r="BB101" s="6">
        <f>SUMIFS([1]!Resources[Summer Rating],[1]!Resources[COD],"&lt;="&amp;BB$77,[1]!Resources[Retirement Date],"&gt;="&amp;BB$77,[1]!Resources[Unique Key],$AI101,[1]!Resources[Availability '#],"&gt;="&amp;2)</f>
        <v>0</v>
      </c>
      <c r="BC101" s="6">
        <f>SUMIFS([1]!Resources[Summer Rating],[1]!Resources[COD],"&lt;="&amp;BC$77,[1]!Resources[Retirement Date],"&gt;="&amp;BC$77,[1]!Resources[Unique Key],$AI101,[1]!Resources[Availability '#],"&gt;="&amp;2)</f>
        <v>0</v>
      </c>
      <c r="BD101" s="6">
        <f>SUMIFS([1]!Resources[Summer Rating],[1]!Resources[COD],"&lt;="&amp;BD$77,[1]!Resources[Retirement Date],"&gt;="&amp;BD$77,[1]!Resources[Unique Key],$AI101,[1]!Resources[Availability '#],"&gt;="&amp;2)</f>
        <v>0</v>
      </c>
      <c r="BE101" s="6">
        <f>SUMIFS([1]!Resources[Summer Rating],[1]!Resources[COD],"&lt;="&amp;BE$77,[1]!Resources[Retirement Date],"&gt;="&amp;BE$77,[1]!Resources[Unique Key],$AI101,[1]!Resources[Availability '#],"&gt;="&amp;2)</f>
        <v>0</v>
      </c>
      <c r="BF101" s="6">
        <f>SUMIFS([1]!Resources[Summer Rating],[1]!Resources[COD],"&lt;="&amp;BF$77,[1]!Resources[Retirement Date],"&gt;="&amp;BF$77,[1]!Resources[Unique Key],$AI101,[1]!Resources[Availability '#],"&gt;="&amp;2)</f>
        <v>0</v>
      </c>
      <c r="BG101" s="6">
        <f>SUMIFS([1]!Resources[Summer Rating],[1]!Resources[COD],"&lt;="&amp;BG$77,[1]!Resources[Retirement Date],"&gt;="&amp;BG$77,[1]!Resources[Unique Key],$AI101,[1]!Resources[Availability '#],"&gt;="&amp;2)</f>
        <v>0</v>
      </c>
      <c r="BH101" s="6">
        <f>SUMIFS([1]!Resources[Summer Rating],[1]!Resources[COD],"&lt;="&amp;BH$77,[1]!Resources[Retirement Date],"&gt;="&amp;BH$77,[1]!Resources[Unique Key],$AI101,[1]!Resources[Availability '#],"&gt;="&amp;2)</f>
        <v>0</v>
      </c>
      <c r="BI101" s="6">
        <f>SUMIFS([1]!Resources[Summer Rating],[1]!Resources[COD],"&lt;="&amp;BI$77,[1]!Resources[Retirement Date],"&gt;="&amp;BI$77,[1]!Resources[Unique Key],$AI101,[1]!Resources[Availability '#],"&gt;="&amp;2)</f>
        <v>0</v>
      </c>
      <c r="BK101" s="5" t="s">
        <v>67</v>
      </c>
      <c r="BL101" s="20">
        <v>1.99</v>
      </c>
      <c r="BM101" s="20">
        <v>1.99</v>
      </c>
      <c r="BN101" s="20">
        <v>1.99</v>
      </c>
      <c r="BO101" s="20">
        <v>1.99</v>
      </c>
      <c r="BP101" s="20">
        <v>1.99</v>
      </c>
      <c r="BQ101" s="20">
        <v>0.64500000000000002</v>
      </c>
      <c r="BR101" s="20">
        <v>0.64500000000000002</v>
      </c>
      <c r="BS101" s="20">
        <v>0.64500000000000002</v>
      </c>
      <c r="BT101" s="20">
        <v>0.64500000000000002</v>
      </c>
      <c r="BU101" s="20">
        <v>0.64500000000000002</v>
      </c>
      <c r="BV101" s="20">
        <v>0.64500000000000002</v>
      </c>
      <c r="BW101" s="20">
        <v>0.77200000000000002</v>
      </c>
      <c r="BX101" s="20">
        <v>1.2230000000000001</v>
      </c>
      <c r="BY101" s="20">
        <v>1.1759999999999999</v>
      </c>
      <c r="BZ101" s="20">
        <v>0.64500000000000002</v>
      </c>
      <c r="CA101" s="20">
        <v>0.64500000000000002</v>
      </c>
      <c r="CB101" s="20">
        <v>0.64500000000000002</v>
      </c>
      <c r="CC101" s="20">
        <v>0.64500000000000002</v>
      </c>
      <c r="CD101" s="20">
        <v>0.64500000000000002</v>
      </c>
      <c r="CE101" s="20">
        <v>0.64500000000000002</v>
      </c>
      <c r="CF101" s="20">
        <v>0.64500000000000002</v>
      </c>
      <c r="CG101" s="20">
        <v>0.64500000000000002</v>
      </c>
      <c r="CH101" s="20">
        <v>0.64500000000000002</v>
      </c>
      <c r="CI101" s="20">
        <v>0.68400000000000005</v>
      </c>
      <c r="CJ101" s="20">
        <v>0.996</v>
      </c>
      <c r="CK101" s="20">
        <v>0.88500000000000001</v>
      </c>
      <c r="CM101" s="5" t="s">
        <v>67</v>
      </c>
      <c r="CN101" s="21">
        <v>1.4059999999999999</v>
      </c>
      <c r="CO101" s="22">
        <v>1.4059999999999999</v>
      </c>
      <c r="CP101" s="22">
        <v>1.4059999999999999</v>
      </c>
      <c r="CQ101" s="22">
        <v>1.4059999999999999</v>
      </c>
      <c r="CR101" s="22">
        <v>1.4059999999999999</v>
      </c>
      <c r="CS101" s="22">
        <v>0.45600000000000002</v>
      </c>
      <c r="CT101" s="22">
        <v>0.45600000000000002</v>
      </c>
      <c r="CU101" s="22">
        <v>0.45600000000000002</v>
      </c>
      <c r="CV101" s="22">
        <v>0.45600000000000002</v>
      </c>
      <c r="CW101" s="22">
        <v>0.45600000000000002</v>
      </c>
      <c r="CX101" s="22">
        <v>0.45600000000000002</v>
      </c>
      <c r="CY101" s="22">
        <v>0.54500000000000004</v>
      </c>
      <c r="CZ101" s="22">
        <v>0.86399999999999999</v>
      </c>
      <c r="DA101" s="22">
        <v>0.83099999999999996</v>
      </c>
      <c r="DB101" s="22">
        <v>0.45600000000000002</v>
      </c>
      <c r="DC101" s="22">
        <v>0.45600000000000002</v>
      </c>
      <c r="DD101" s="22">
        <v>0.45600000000000002</v>
      </c>
      <c r="DE101" s="22">
        <v>0.45600000000000002</v>
      </c>
      <c r="DF101" s="22">
        <v>0.45600000000000002</v>
      </c>
      <c r="DG101" s="22">
        <v>0.45600000000000002</v>
      </c>
      <c r="DH101" s="22">
        <v>0.45600000000000002</v>
      </c>
      <c r="DI101" s="22">
        <v>0.45600000000000002</v>
      </c>
      <c r="DJ101" s="22">
        <v>0.45600000000000002</v>
      </c>
      <c r="DK101" s="22">
        <v>0.48299999999999998</v>
      </c>
      <c r="DL101" s="22">
        <v>0.70399999999999996</v>
      </c>
      <c r="DM101" s="22">
        <v>0.625</v>
      </c>
      <c r="DO101" s="5" t="s">
        <v>67</v>
      </c>
      <c r="DP101" s="23">
        <v>0.37</v>
      </c>
      <c r="DQ101" s="23">
        <v>0.37</v>
      </c>
      <c r="DR101" s="23">
        <v>0.37</v>
      </c>
      <c r="DS101" s="23">
        <v>0.37</v>
      </c>
      <c r="DT101" s="23">
        <v>0.37</v>
      </c>
      <c r="DU101" s="23">
        <v>0.12</v>
      </c>
      <c r="DV101" s="23">
        <v>0.12</v>
      </c>
      <c r="DW101" s="23">
        <v>0.12</v>
      </c>
      <c r="DX101" s="23">
        <v>0.12</v>
      </c>
      <c r="DY101" s="23">
        <v>0.12</v>
      </c>
      <c r="DZ101" s="23">
        <v>0.12</v>
      </c>
      <c r="EA101" s="23">
        <v>0.14299999999999999</v>
      </c>
      <c r="EB101" s="23">
        <v>0.22700000000000001</v>
      </c>
      <c r="EC101" s="23">
        <v>0.219</v>
      </c>
      <c r="ED101" s="23">
        <v>0.12</v>
      </c>
      <c r="EE101" s="23">
        <v>0.12</v>
      </c>
      <c r="EF101" s="23">
        <v>0.12</v>
      </c>
      <c r="EG101" s="23">
        <v>0.12</v>
      </c>
      <c r="EH101" s="23">
        <v>0.12</v>
      </c>
      <c r="EI101" s="23">
        <v>0.12</v>
      </c>
      <c r="EJ101" s="23">
        <v>0.12</v>
      </c>
      <c r="EK101" s="23">
        <v>0.12</v>
      </c>
      <c r="EL101" s="23">
        <v>0.12</v>
      </c>
      <c r="EM101" s="23">
        <v>0.127</v>
      </c>
      <c r="EN101" s="23">
        <v>0.185</v>
      </c>
      <c r="EO101" s="23">
        <v>0.16500000000000001</v>
      </c>
      <c r="EP101" s="24">
        <f ca="1">IFERROR(INDEX('[1]GenX Resources'!$AP$10:$AP$46,MATCH(DO101,'[1]GenX Resources'!$B$10:$B$46,0)),0)</f>
        <v>0.12</v>
      </c>
      <c r="EQ101" s="2" t="b">
        <f t="shared" ca="1" si="35"/>
        <v>1</v>
      </c>
      <c r="ES101" s="25">
        <f ca="1">IFERROR(INDEX('[1]GenX Resources'!$AD:$AD,MATCH($G101,'[1]GenX Resources'!$B:$B,0)) - IF(OR(INDEX('[1]GenX Resources'!$L:$L,MATCH($G101,'[1]GenX Resources'!$B:$B,0)),ISNUMBER(SEARCH("New Generic",$G101))),0,INDEX('[1]GenX Resources'!$M:$M,MATCH($G101,'[1]GenX Resources'!$B:$B,0))),0)</f>
        <v>25700</v>
      </c>
      <c r="EU101" s="5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</row>
    <row r="102" spans="6:177" ht="16" x14ac:dyDescent="0.2">
      <c r="F102" s="19" t="str">
        <f>IFERROR(INDEX('[1]GenX Resources'!$A$10:$A$76,MATCH(G102,'[1]GenX Resources'!$B$10:$B$76,0)),"")</f>
        <v>Gas CT</v>
      </c>
      <c r="G102" s="5" t="s">
        <v>68</v>
      </c>
      <c r="H102" s="6">
        <v>292</v>
      </c>
      <c r="I102" s="6">
        <v>292</v>
      </c>
      <c r="J102" s="6">
        <v>292</v>
      </c>
      <c r="K102" s="6">
        <v>292</v>
      </c>
      <c r="L102" s="6">
        <v>292</v>
      </c>
      <c r="M102" s="6">
        <v>292</v>
      </c>
      <c r="N102" s="6">
        <v>292</v>
      </c>
      <c r="O102" s="6">
        <v>292</v>
      </c>
      <c r="P102" s="6">
        <v>292</v>
      </c>
      <c r="Q102" s="6">
        <v>292</v>
      </c>
      <c r="R102" s="6">
        <v>292</v>
      </c>
      <c r="S102" s="6">
        <v>292</v>
      </c>
      <c r="T102" s="6">
        <v>292</v>
      </c>
      <c r="U102" s="6">
        <v>292</v>
      </c>
      <c r="V102" s="6">
        <v>292</v>
      </c>
      <c r="W102" s="6">
        <v>292</v>
      </c>
      <c r="X102" s="6">
        <v>292</v>
      </c>
      <c r="Y102" s="6">
        <v>292</v>
      </c>
      <c r="Z102" s="6">
        <v>292</v>
      </c>
      <c r="AA102" s="6">
        <v>292</v>
      </c>
      <c r="AB102" s="6">
        <v>292</v>
      </c>
      <c r="AC102" s="6">
        <v>292</v>
      </c>
      <c r="AD102" s="6">
        <v>292</v>
      </c>
      <c r="AE102" s="6">
        <v>292</v>
      </c>
      <c r="AF102" s="6">
        <v>292</v>
      </c>
      <c r="AG102" s="6">
        <v>292</v>
      </c>
      <c r="AI102" s="5" t="s">
        <v>68</v>
      </c>
      <c r="AJ102" s="6">
        <f>SUMIFS([1]!Resources[Summer Rating],[1]!Resources[COD],"&lt;="&amp;AJ$77,[1]!Resources[Retirement Date],"&gt;="&amp;AJ$77,[1]!Resources[Unique Key],$AI102,[1]!Resources[Availability '#],"&gt;="&amp;2)</f>
        <v>0</v>
      </c>
      <c r="AK102" s="6">
        <f>SUMIFS([1]!Resources[Summer Rating],[1]!Resources[COD],"&lt;="&amp;AK$77,[1]!Resources[Retirement Date],"&gt;="&amp;AK$77,[1]!Resources[Unique Key],$AI102,[1]!Resources[Availability '#],"&gt;="&amp;2)</f>
        <v>0</v>
      </c>
      <c r="AL102" s="6">
        <f>SUMIFS([1]!Resources[Summer Rating],[1]!Resources[COD],"&lt;="&amp;AL$77,[1]!Resources[Retirement Date],"&gt;="&amp;AL$77,[1]!Resources[Unique Key],$AI102,[1]!Resources[Availability '#],"&gt;="&amp;2)</f>
        <v>0</v>
      </c>
      <c r="AM102" s="6">
        <f>SUMIFS([1]!Resources[Summer Rating],[1]!Resources[COD],"&lt;="&amp;AM$77,[1]!Resources[Retirement Date],"&gt;="&amp;AM$77,[1]!Resources[Unique Key],$AI102,[1]!Resources[Availability '#],"&gt;="&amp;2)</f>
        <v>0</v>
      </c>
      <c r="AN102" s="6">
        <f>SUMIFS([1]!Resources[Summer Rating],[1]!Resources[COD],"&lt;="&amp;AN$77,[1]!Resources[Retirement Date],"&gt;="&amp;AN$77,[1]!Resources[Unique Key],$AI102,[1]!Resources[Availability '#],"&gt;="&amp;2)</f>
        <v>0</v>
      </c>
      <c r="AO102" s="6">
        <f>SUMIFS([1]!Resources[Summer Rating],[1]!Resources[COD],"&lt;="&amp;AO$77,[1]!Resources[Retirement Date],"&gt;="&amp;AO$77,[1]!Resources[Unique Key],$AI102,[1]!Resources[Availability '#],"&gt;="&amp;2)</f>
        <v>0</v>
      </c>
      <c r="AP102" s="6">
        <f>SUMIFS([1]!Resources[Summer Rating],[1]!Resources[COD],"&lt;="&amp;AP$77,[1]!Resources[Retirement Date],"&gt;="&amp;AP$77,[1]!Resources[Unique Key],$AI102,[1]!Resources[Availability '#],"&gt;="&amp;2)</f>
        <v>0</v>
      </c>
      <c r="AQ102" s="6">
        <f>SUMIFS([1]!Resources[Summer Rating],[1]!Resources[COD],"&lt;="&amp;AQ$77,[1]!Resources[Retirement Date],"&gt;="&amp;AQ$77,[1]!Resources[Unique Key],$AI102,[1]!Resources[Availability '#],"&gt;="&amp;2)</f>
        <v>0</v>
      </c>
      <c r="AR102" s="6">
        <f>SUMIFS([1]!Resources[Summer Rating],[1]!Resources[COD],"&lt;="&amp;AR$77,[1]!Resources[Retirement Date],"&gt;="&amp;AR$77,[1]!Resources[Unique Key],$AI102,[1]!Resources[Availability '#],"&gt;="&amp;2)</f>
        <v>0</v>
      </c>
      <c r="AS102" s="6">
        <f>SUMIFS([1]!Resources[Summer Rating],[1]!Resources[COD],"&lt;="&amp;AS$77,[1]!Resources[Retirement Date],"&gt;="&amp;AS$77,[1]!Resources[Unique Key],$AI102,[1]!Resources[Availability '#],"&gt;="&amp;2)</f>
        <v>0</v>
      </c>
      <c r="AT102" s="6">
        <f>SUMIFS([1]!Resources[Summer Rating],[1]!Resources[COD],"&lt;="&amp;AT$77,[1]!Resources[Retirement Date],"&gt;="&amp;AT$77,[1]!Resources[Unique Key],$AI102,[1]!Resources[Availability '#],"&gt;="&amp;2)</f>
        <v>0</v>
      </c>
      <c r="AU102" s="6">
        <f>SUMIFS([1]!Resources[Summer Rating],[1]!Resources[COD],"&lt;="&amp;AU$77,[1]!Resources[Retirement Date],"&gt;="&amp;AU$77,[1]!Resources[Unique Key],$AI102,[1]!Resources[Availability '#],"&gt;="&amp;2)</f>
        <v>0</v>
      </c>
      <c r="AV102" s="6">
        <f>SUMIFS([1]!Resources[Summer Rating],[1]!Resources[COD],"&lt;="&amp;AV$77,[1]!Resources[Retirement Date],"&gt;="&amp;AV$77,[1]!Resources[Unique Key],$AI102,[1]!Resources[Availability '#],"&gt;="&amp;2)</f>
        <v>0</v>
      </c>
      <c r="AW102" s="6">
        <f>SUMIFS([1]!Resources[Summer Rating],[1]!Resources[COD],"&lt;="&amp;AW$77,[1]!Resources[Retirement Date],"&gt;="&amp;AW$77,[1]!Resources[Unique Key],$AI102,[1]!Resources[Availability '#],"&gt;="&amp;2)</f>
        <v>0</v>
      </c>
      <c r="AX102" s="6">
        <f>SUMIFS([1]!Resources[Summer Rating],[1]!Resources[COD],"&lt;="&amp;AX$77,[1]!Resources[Retirement Date],"&gt;="&amp;AX$77,[1]!Resources[Unique Key],$AI102,[1]!Resources[Availability '#],"&gt;="&amp;2)</f>
        <v>0</v>
      </c>
      <c r="AY102" s="6">
        <f>SUMIFS([1]!Resources[Summer Rating],[1]!Resources[COD],"&lt;="&amp;AY$77,[1]!Resources[Retirement Date],"&gt;="&amp;AY$77,[1]!Resources[Unique Key],$AI102,[1]!Resources[Availability '#],"&gt;="&amp;2)</f>
        <v>0</v>
      </c>
      <c r="AZ102" s="6">
        <f>SUMIFS([1]!Resources[Summer Rating],[1]!Resources[COD],"&lt;="&amp;AZ$77,[1]!Resources[Retirement Date],"&gt;="&amp;AZ$77,[1]!Resources[Unique Key],$AI102,[1]!Resources[Availability '#],"&gt;="&amp;2)</f>
        <v>0</v>
      </c>
      <c r="BA102" s="6">
        <f>SUMIFS([1]!Resources[Summer Rating],[1]!Resources[COD],"&lt;="&amp;BA$77,[1]!Resources[Retirement Date],"&gt;="&amp;BA$77,[1]!Resources[Unique Key],$AI102,[1]!Resources[Availability '#],"&gt;="&amp;2)</f>
        <v>0</v>
      </c>
      <c r="BB102" s="6">
        <f>SUMIFS([1]!Resources[Summer Rating],[1]!Resources[COD],"&lt;="&amp;BB$77,[1]!Resources[Retirement Date],"&gt;="&amp;BB$77,[1]!Resources[Unique Key],$AI102,[1]!Resources[Availability '#],"&gt;="&amp;2)</f>
        <v>0</v>
      </c>
      <c r="BC102" s="6">
        <f>SUMIFS([1]!Resources[Summer Rating],[1]!Resources[COD],"&lt;="&amp;BC$77,[1]!Resources[Retirement Date],"&gt;="&amp;BC$77,[1]!Resources[Unique Key],$AI102,[1]!Resources[Availability '#],"&gt;="&amp;2)</f>
        <v>0</v>
      </c>
      <c r="BD102" s="6">
        <f>SUMIFS([1]!Resources[Summer Rating],[1]!Resources[COD],"&lt;="&amp;BD$77,[1]!Resources[Retirement Date],"&gt;="&amp;BD$77,[1]!Resources[Unique Key],$AI102,[1]!Resources[Availability '#],"&gt;="&amp;2)</f>
        <v>0</v>
      </c>
      <c r="BE102" s="6">
        <f>SUMIFS([1]!Resources[Summer Rating],[1]!Resources[COD],"&lt;="&amp;BE$77,[1]!Resources[Retirement Date],"&gt;="&amp;BE$77,[1]!Resources[Unique Key],$AI102,[1]!Resources[Availability '#],"&gt;="&amp;2)</f>
        <v>0</v>
      </c>
      <c r="BF102" s="6">
        <f>SUMIFS([1]!Resources[Summer Rating],[1]!Resources[COD],"&lt;="&amp;BF$77,[1]!Resources[Retirement Date],"&gt;="&amp;BF$77,[1]!Resources[Unique Key],$AI102,[1]!Resources[Availability '#],"&gt;="&amp;2)</f>
        <v>0</v>
      </c>
      <c r="BG102" s="6">
        <f>SUMIFS([1]!Resources[Summer Rating],[1]!Resources[COD],"&lt;="&amp;BG$77,[1]!Resources[Retirement Date],"&gt;="&amp;BG$77,[1]!Resources[Unique Key],$AI102,[1]!Resources[Availability '#],"&gt;="&amp;2)</f>
        <v>0</v>
      </c>
      <c r="BH102" s="6">
        <f>SUMIFS([1]!Resources[Summer Rating],[1]!Resources[COD],"&lt;="&amp;BH$77,[1]!Resources[Retirement Date],"&gt;="&amp;BH$77,[1]!Resources[Unique Key],$AI102,[1]!Resources[Availability '#],"&gt;="&amp;2)</f>
        <v>0</v>
      </c>
      <c r="BI102" s="6">
        <f>SUMIFS([1]!Resources[Summer Rating],[1]!Resources[COD],"&lt;="&amp;BI$77,[1]!Resources[Retirement Date],"&gt;="&amp;BI$77,[1]!Resources[Unique Key],$AI102,[1]!Resources[Availability '#],"&gt;="&amp;2)</f>
        <v>0</v>
      </c>
      <c r="BK102" s="5" t="s">
        <v>68</v>
      </c>
      <c r="BL102" s="20">
        <v>0.94599999999999995</v>
      </c>
      <c r="BM102" s="20">
        <v>0.94599999999999995</v>
      </c>
      <c r="BN102" s="20">
        <v>0.94599999999999995</v>
      </c>
      <c r="BO102" s="20">
        <v>0.94599999999999995</v>
      </c>
      <c r="BP102" s="20">
        <v>0.94599999999999995</v>
      </c>
      <c r="BQ102" s="20">
        <v>0.94599999999999995</v>
      </c>
      <c r="BR102" s="20">
        <v>0.94599999999999995</v>
      </c>
      <c r="BS102" s="20">
        <v>0.94599999999999995</v>
      </c>
      <c r="BT102" s="20">
        <v>0.94599999999999995</v>
      </c>
      <c r="BU102" s="20">
        <v>0.94599999999999995</v>
      </c>
      <c r="BV102" s="20">
        <v>0.94599999999999995</v>
      </c>
      <c r="BW102" s="20">
        <v>0.94599999999999995</v>
      </c>
      <c r="BX102" s="20">
        <v>0.94599999999999995</v>
      </c>
      <c r="BY102" s="20">
        <v>0.94599999999999995</v>
      </c>
      <c r="BZ102" s="20">
        <v>0.94599999999999995</v>
      </c>
      <c r="CA102" s="20">
        <v>0.94599999999999995</v>
      </c>
      <c r="CB102" s="20">
        <v>0.94599999999999995</v>
      </c>
      <c r="CC102" s="20">
        <v>0.94599999999999995</v>
      </c>
      <c r="CD102" s="20">
        <v>0.94599999999999995</v>
      </c>
      <c r="CE102" s="20">
        <v>0.94599999999999995</v>
      </c>
      <c r="CF102" s="20">
        <v>0.94599999999999995</v>
      </c>
      <c r="CG102" s="20">
        <v>0.94599999999999995</v>
      </c>
      <c r="CH102" s="20">
        <v>0.94599999999999995</v>
      </c>
      <c r="CI102" s="20">
        <v>0.94599999999999995</v>
      </c>
      <c r="CJ102" s="20">
        <v>0.94599999999999995</v>
      </c>
      <c r="CK102" s="20">
        <v>0.94599999999999995</v>
      </c>
      <c r="CM102" s="5" t="s">
        <v>68</v>
      </c>
      <c r="CN102" s="21">
        <v>0.54800000000000004</v>
      </c>
      <c r="CO102" s="22">
        <v>0.54800000000000004</v>
      </c>
      <c r="CP102" s="22">
        <v>0.54800000000000004</v>
      </c>
      <c r="CQ102" s="22">
        <v>0.54800000000000004</v>
      </c>
      <c r="CR102" s="22">
        <v>0.54800000000000004</v>
      </c>
      <c r="CS102" s="22">
        <v>0.54800000000000004</v>
      </c>
      <c r="CT102" s="22">
        <v>0.54800000000000004</v>
      </c>
      <c r="CU102" s="22">
        <v>0.54800000000000004</v>
      </c>
      <c r="CV102" s="22">
        <v>0.54800000000000004</v>
      </c>
      <c r="CW102" s="22">
        <v>0.54800000000000004</v>
      </c>
      <c r="CX102" s="22">
        <v>0.54800000000000004</v>
      </c>
      <c r="CY102" s="22">
        <v>0.54800000000000004</v>
      </c>
      <c r="CZ102" s="22">
        <v>0.54800000000000004</v>
      </c>
      <c r="DA102" s="22">
        <v>0.54800000000000004</v>
      </c>
      <c r="DB102" s="22">
        <v>0.54800000000000004</v>
      </c>
      <c r="DC102" s="22">
        <v>0.54800000000000004</v>
      </c>
      <c r="DD102" s="22">
        <v>0.54800000000000004</v>
      </c>
      <c r="DE102" s="22">
        <v>0.54800000000000004</v>
      </c>
      <c r="DF102" s="22">
        <v>0.54800000000000004</v>
      </c>
      <c r="DG102" s="22">
        <v>0.54800000000000004</v>
      </c>
      <c r="DH102" s="22">
        <v>0.54800000000000004</v>
      </c>
      <c r="DI102" s="22">
        <v>0.54800000000000004</v>
      </c>
      <c r="DJ102" s="22">
        <v>0.54800000000000004</v>
      </c>
      <c r="DK102" s="22">
        <v>0.54800000000000004</v>
      </c>
      <c r="DL102" s="22">
        <v>0.54800000000000004</v>
      </c>
      <c r="DM102" s="22">
        <v>0.54800000000000004</v>
      </c>
      <c r="DO102" s="5" t="s">
        <v>68</v>
      </c>
      <c r="DP102" s="23">
        <v>0.37</v>
      </c>
      <c r="DQ102" s="23">
        <v>0.37</v>
      </c>
      <c r="DR102" s="23">
        <v>0.37</v>
      </c>
      <c r="DS102" s="23">
        <v>0.37</v>
      </c>
      <c r="DT102" s="23">
        <v>0.37</v>
      </c>
      <c r="DU102" s="23">
        <v>0.37</v>
      </c>
      <c r="DV102" s="23">
        <v>0.37</v>
      </c>
      <c r="DW102" s="23">
        <v>0.37</v>
      </c>
      <c r="DX102" s="23">
        <v>0.37</v>
      </c>
      <c r="DY102" s="23">
        <v>0.37</v>
      </c>
      <c r="DZ102" s="23">
        <v>0.37</v>
      </c>
      <c r="EA102" s="23">
        <v>0.37</v>
      </c>
      <c r="EB102" s="23">
        <v>0.37</v>
      </c>
      <c r="EC102" s="23">
        <v>0.37</v>
      </c>
      <c r="ED102" s="23">
        <v>0.37</v>
      </c>
      <c r="EE102" s="23">
        <v>0.37</v>
      </c>
      <c r="EF102" s="23">
        <v>0.37</v>
      </c>
      <c r="EG102" s="23">
        <v>0.37</v>
      </c>
      <c r="EH102" s="23">
        <v>0.37</v>
      </c>
      <c r="EI102" s="23">
        <v>0.37</v>
      </c>
      <c r="EJ102" s="23">
        <v>0.37</v>
      </c>
      <c r="EK102" s="23">
        <v>0.37</v>
      </c>
      <c r="EL102" s="23">
        <v>0.37</v>
      </c>
      <c r="EM102" s="23">
        <v>0.37</v>
      </c>
      <c r="EN102" s="23">
        <v>0.37</v>
      </c>
      <c r="EO102" s="23">
        <v>0.37</v>
      </c>
      <c r="EP102" s="24">
        <f ca="1">IFERROR(INDEX('[1]GenX Resources'!$AP$10:$AP$46,MATCH(DO102,'[1]GenX Resources'!$B$10:$B$46,0)),0)</f>
        <v>0.12</v>
      </c>
      <c r="EQ102" s="2" t="b">
        <f t="shared" ca="1" si="35"/>
        <v>1</v>
      </c>
      <c r="ES102" s="25">
        <f ca="1">IFERROR(INDEX('[1]GenX Resources'!$AD:$AD,MATCH($G102,'[1]GenX Resources'!$B:$B,0)) - IF(OR(INDEX('[1]GenX Resources'!$L:$L,MATCH($G102,'[1]GenX Resources'!$B:$B,0)),ISNUMBER(SEARCH("New Generic",$G102))),0,INDEX('[1]GenX Resources'!$M:$M,MATCH($G102,'[1]GenX Resources'!$B:$B,0))),0)</f>
        <v>25700</v>
      </c>
      <c r="EU102" s="5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</row>
    <row r="103" spans="6:177" ht="16" x14ac:dyDescent="0.2">
      <c r="F103" s="19" t="str">
        <f>IFERROR(INDEX('[1]GenX Resources'!$A$10:$A$76,MATCH(G103,'[1]GenX Resources'!$B$10:$B$76,0)),"")</f>
        <v>Gas CT</v>
      </c>
      <c r="G103" s="5" t="s">
        <v>69</v>
      </c>
      <c r="H103" s="6">
        <v>691</v>
      </c>
      <c r="I103" s="6">
        <v>691</v>
      </c>
      <c r="J103" s="6">
        <v>691</v>
      </c>
      <c r="K103" s="6">
        <v>691</v>
      </c>
      <c r="L103" s="6">
        <v>691</v>
      </c>
      <c r="M103" s="6">
        <v>691</v>
      </c>
      <c r="N103" s="6">
        <v>691</v>
      </c>
      <c r="O103" s="6">
        <v>691</v>
      </c>
      <c r="P103" s="6">
        <v>691</v>
      </c>
      <c r="Q103" s="6">
        <v>691</v>
      </c>
      <c r="R103" s="6">
        <v>691</v>
      </c>
      <c r="S103" s="6">
        <v>691</v>
      </c>
      <c r="T103" s="6">
        <v>691</v>
      </c>
      <c r="U103" s="6">
        <v>691</v>
      </c>
      <c r="V103" s="6">
        <v>691</v>
      </c>
      <c r="W103" s="6">
        <v>691</v>
      </c>
      <c r="X103" s="6">
        <v>691</v>
      </c>
      <c r="Y103" s="6">
        <v>691</v>
      </c>
      <c r="Z103" s="6">
        <v>691</v>
      </c>
      <c r="AA103" s="6">
        <v>691</v>
      </c>
      <c r="AB103" s="6">
        <v>691</v>
      </c>
      <c r="AC103" s="6">
        <v>691</v>
      </c>
      <c r="AD103" s="6">
        <v>691</v>
      </c>
      <c r="AE103" s="6">
        <v>691</v>
      </c>
      <c r="AF103" s="6">
        <v>691</v>
      </c>
      <c r="AG103" s="6">
        <v>691</v>
      </c>
      <c r="AI103" s="5" t="s">
        <v>69</v>
      </c>
      <c r="AJ103" s="6">
        <f>SUMIFS([1]!Resources[Summer Rating],[1]!Resources[COD],"&lt;="&amp;AJ$77,[1]!Resources[Retirement Date],"&gt;="&amp;AJ$77,[1]!Resources[Unique Key],$AI103,[1]!Resources[Availability '#],"&gt;="&amp;2)</f>
        <v>0</v>
      </c>
      <c r="AK103" s="6">
        <f>SUMIFS([1]!Resources[Summer Rating],[1]!Resources[COD],"&lt;="&amp;AK$77,[1]!Resources[Retirement Date],"&gt;="&amp;AK$77,[1]!Resources[Unique Key],$AI103,[1]!Resources[Availability '#],"&gt;="&amp;2)</f>
        <v>0</v>
      </c>
      <c r="AL103" s="6">
        <f>SUMIFS([1]!Resources[Summer Rating],[1]!Resources[COD],"&lt;="&amp;AL$77,[1]!Resources[Retirement Date],"&gt;="&amp;AL$77,[1]!Resources[Unique Key],$AI103,[1]!Resources[Availability '#],"&gt;="&amp;2)</f>
        <v>0</v>
      </c>
      <c r="AM103" s="6">
        <f>SUMIFS([1]!Resources[Summer Rating],[1]!Resources[COD],"&lt;="&amp;AM$77,[1]!Resources[Retirement Date],"&gt;="&amp;AM$77,[1]!Resources[Unique Key],$AI103,[1]!Resources[Availability '#],"&gt;="&amp;2)</f>
        <v>0</v>
      </c>
      <c r="AN103" s="6">
        <f>SUMIFS([1]!Resources[Summer Rating],[1]!Resources[COD],"&lt;="&amp;AN$77,[1]!Resources[Retirement Date],"&gt;="&amp;AN$77,[1]!Resources[Unique Key],$AI103,[1]!Resources[Availability '#],"&gt;="&amp;2)</f>
        <v>0</v>
      </c>
      <c r="AO103" s="6">
        <f>SUMIFS([1]!Resources[Summer Rating],[1]!Resources[COD],"&lt;="&amp;AO$77,[1]!Resources[Retirement Date],"&gt;="&amp;AO$77,[1]!Resources[Unique Key],$AI103,[1]!Resources[Availability '#],"&gt;="&amp;2)</f>
        <v>0</v>
      </c>
      <c r="AP103" s="6">
        <f>SUMIFS([1]!Resources[Summer Rating],[1]!Resources[COD],"&lt;="&amp;AP$77,[1]!Resources[Retirement Date],"&gt;="&amp;AP$77,[1]!Resources[Unique Key],$AI103,[1]!Resources[Availability '#],"&gt;="&amp;2)</f>
        <v>0</v>
      </c>
      <c r="AQ103" s="6">
        <f>SUMIFS([1]!Resources[Summer Rating],[1]!Resources[COD],"&lt;="&amp;AQ$77,[1]!Resources[Retirement Date],"&gt;="&amp;AQ$77,[1]!Resources[Unique Key],$AI103,[1]!Resources[Availability '#],"&gt;="&amp;2)</f>
        <v>0</v>
      </c>
      <c r="AR103" s="6">
        <f>SUMIFS([1]!Resources[Summer Rating],[1]!Resources[COD],"&lt;="&amp;AR$77,[1]!Resources[Retirement Date],"&gt;="&amp;AR$77,[1]!Resources[Unique Key],$AI103,[1]!Resources[Availability '#],"&gt;="&amp;2)</f>
        <v>0</v>
      </c>
      <c r="AS103" s="6">
        <f>SUMIFS([1]!Resources[Summer Rating],[1]!Resources[COD],"&lt;="&amp;AS$77,[1]!Resources[Retirement Date],"&gt;="&amp;AS$77,[1]!Resources[Unique Key],$AI103,[1]!Resources[Availability '#],"&gt;="&amp;2)</f>
        <v>0</v>
      </c>
      <c r="AT103" s="6">
        <f>SUMIFS([1]!Resources[Summer Rating],[1]!Resources[COD],"&lt;="&amp;AT$77,[1]!Resources[Retirement Date],"&gt;="&amp;AT$77,[1]!Resources[Unique Key],$AI103,[1]!Resources[Availability '#],"&gt;="&amp;2)</f>
        <v>0</v>
      </c>
      <c r="AU103" s="6">
        <f>SUMIFS([1]!Resources[Summer Rating],[1]!Resources[COD],"&lt;="&amp;AU$77,[1]!Resources[Retirement Date],"&gt;="&amp;AU$77,[1]!Resources[Unique Key],$AI103,[1]!Resources[Availability '#],"&gt;="&amp;2)</f>
        <v>0</v>
      </c>
      <c r="AV103" s="6">
        <f>SUMIFS([1]!Resources[Summer Rating],[1]!Resources[COD],"&lt;="&amp;AV$77,[1]!Resources[Retirement Date],"&gt;="&amp;AV$77,[1]!Resources[Unique Key],$AI103,[1]!Resources[Availability '#],"&gt;="&amp;2)</f>
        <v>0</v>
      </c>
      <c r="AW103" s="6">
        <f>SUMIFS([1]!Resources[Summer Rating],[1]!Resources[COD],"&lt;="&amp;AW$77,[1]!Resources[Retirement Date],"&gt;="&amp;AW$77,[1]!Resources[Unique Key],$AI103,[1]!Resources[Availability '#],"&gt;="&amp;2)</f>
        <v>0</v>
      </c>
      <c r="AX103" s="6">
        <f>SUMIFS([1]!Resources[Summer Rating],[1]!Resources[COD],"&lt;="&amp;AX$77,[1]!Resources[Retirement Date],"&gt;="&amp;AX$77,[1]!Resources[Unique Key],$AI103,[1]!Resources[Availability '#],"&gt;="&amp;2)</f>
        <v>0</v>
      </c>
      <c r="AY103" s="6">
        <f>SUMIFS([1]!Resources[Summer Rating],[1]!Resources[COD],"&lt;="&amp;AY$77,[1]!Resources[Retirement Date],"&gt;="&amp;AY$77,[1]!Resources[Unique Key],$AI103,[1]!Resources[Availability '#],"&gt;="&amp;2)</f>
        <v>0</v>
      </c>
      <c r="AZ103" s="6">
        <f>SUMIFS([1]!Resources[Summer Rating],[1]!Resources[COD],"&lt;="&amp;AZ$77,[1]!Resources[Retirement Date],"&gt;="&amp;AZ$77,[1]!Resources[Unique Key],$AI103,[1]!Resources[Availability '#],"&gt;="&amp;2)</f>
        <v>0</v>
      </c>
      <c r="BA103" s="6">
        <f>SUMIFS([1]!Resources[Summer Rating],[1]!Resources[COD],"&lt;="&amp;BA$77,[1]!Resources[Retirement Date],"&gt;="&amp;BA$77,[1]!Resources[Unique Key],$AI103,[1]!Resources[Availability '#],"&gt;="&amp;2)</f>
        <v>0</v>
      </c>
      <c r="BB103" s="6">
        <f>SUMIFS([1]!Resources[Summer Rating],[1]!Resources[COD],"&lt;="&amp;BB$77,[1]!Resources[Retirement Date],"&gt;="&amp;BB$77,[1]!Resources[Unique Key],$AI103,[1]!Resources[Availability '#],"&gt;="&amp;2)</f>
        <v>0</v>
      </c>
      <c r="BC103" s="6">
        <f>SUMIFS([1]!Resources[Summer Rating],[1]!Resources[COD],"&lt;="&amp;BC$77,[1]!Resources[Retirement Date],"&gt;="&amp;BC$77,[1]!Resources[Unique Key],$AI103,[1]!Resources[Availability '#],"&gt;="&amp;2)</f>
        <v>0</v>
      </c>
      <c r="BD103" s="6">
        <f>SUMIFS([1]!Resources[Summer Rating],[1]!Resources[COD],"&lt;="&amp;BD$77,[1]!Resources[Retirement Date],"&gt;="&amp;BD$77,[1]!Resources[Unique Key],$AI103,[1]!Resources[Availability '#],"&gt;="&amp;2)</f>
        <v>0</v>
      </c>
      <c r="BE103" s="6">
        <f>SUMIFS([1]!Resources[Summer Rating],[1]!Resources[COD],"&lt;="&amp;BE$77,[1]!Resources[Retirement Date],"&gt;="&amp;BE$77,[1]!Resources[Unique Key],$AI103,[1]!Resources[Availability '#],"&gt;="&amp;2)</f>
        <v>0</v>
      </c>
      <c r="BF103" s="6">
        <f>SUMIFS([1]!Resources[Summer Rating],[1]!Resources[COD],"&lt;="&amp;BF$77,[1]!Resources[Retirement Date],"&gt;="&amp;BF$77,[1]!Resources[Unique Key],$AI103,[1]!Resources[Availability '#],"&gt;="&amp;2)</f>
        <v>0</v>
      </c>
      <c r="BG103" s="6">
        <f>SUMIFS([1]!Resources[Summer Rating],[1]!Resources[COD],"&lt;="&amp;BG$77,[1]!Resources[Retirement Date],"&gt;="&amp;BG$77,[1]!Resources[Unique Key],$AI103,[1]!Resources[Availability '#],"&gt;="&amp;2)</f>
        <v>0</v>
      </c>
      <c r="BH103" s="6">
        <f>SUMIFS([1]!Resources[Summer Rating],[1]!Resources[COD],"&lt;="&amp;BH$77,[1]!Resources[Retirement Date],"&gt;="&amp;BH$77,[1]!Resources[Unique Key],$AI103,[1]!Resources[Availability '#],"&gt;="&amp;2)</f>
        <v>0</v>
      </c>
      <c r="BI103" s="6">
        <f>SUMIFS([1]!Resources[Summer Rating],[1]!Resources[COD],"&lt;="&amp;BI$77,[1]!Resources[Retirement Date],"&gt;="&amp;BI$77,[1]!Resources[Unique Key],$AI103,[1]!Resources[Availability '#],"&gt;="&amp;2)</f>
        <v>0</v>
      </c>
      <c r="BK103" s="5" t="s">
        <v>69</v>
      </c>
      <c r="BL103" s="20">
        <v>4.1159999999999997</v>
      </c>
      <c r="BM103" s="20">
        <v>4.1159999999999997</v>
      </c>
      <c r="BN103" s="20">
        <v>4.1159999999999997</v>
      </c>
      <c r="BO103" s="20">
        <v>4.1159999999999997</v>
      </c>
      <c r="BP103" s="20">
        <v>4.1159999999999997</v>
      </c>
      <c r="BQ103" s="20">
        <v>4.1159999999999997</v>
      </c>
      <c r="BR103" s="20">
        <v>4.1159999999999997</v>
      </c>
      <c r="BS103" s="20">
        <v>4.1159999999999997</v>
      </c>
      <c r="BT103" s="20">
        <v>4.1159999999999997</v>
      </c>
      <c r="BU103" s="20">
        <v>4.1159999999999997</v>
      </c>
      <c r="BV103" s="20">
        <v>4.1159999999999997</v>
      </c>
      <c r="BW103" s="20">
        <v>4.1159999999999997</v>
      </c>
      <c r="BX103" s="20">
        <v>4.1159999999999997</v>
      </c>
      <c r="BY103" s="20">
        <v>4.1159999999999997</v>
      </c>
      <c r="BZ103" s="20">
        <v>4.1159999999999997</v>
      </c>
      <c r="CA103" s="20">
        <v>4.1159999999999997</v>
      </c>
      <c r="CB103" s="20">
        <v>4.1159999999999997</v>
      </c>
      <c r="CC103" s="20">
        <v>4.1159999999999997</v>
      </c>
      <c r="CD103" s="20">
        <v>4.1159999999999997</v>
      </c>
      <c r="CE103" s="20">
        <v>4.1159999999999997</v>
      </c>
      <c r="CF103" s="20">
        <v>4.1159999999999997</v>
      </c>
      <c r="CG103" s="20">
        <v>4.1159999999999997</v>
      </c>
      <c r="CH103" s="20">
        <v>4.1159999999999997</v>
      </c>
      <c r="CI103" s="20">
        <v>4.1159999999999997</v>
      </c>
      <c r="CJ103" s="20">
        <v>4.1159999999999997</v>
      </c>
      <c r="CK103" s="20">
        <v>4.1159999999999997</v>
      </c>
      <c r="CM103" s="5" t="s">
        <v>69</v>
      </c>
      <c r="CN103" s="21">
        <v>1.37</v>
      </c>
      <c r="CO103" s="22">
        <v>1.37</v>
      </c>
      <c r="CP103" s="22">
        <v>1.37</v>
      </c>
      <c r="CQ103" s="22">
        <v>1.37</v>
      </c>
      <c r="CR103" s="22">
        <v>1.37</v>
      </c>
      <c r="CS103" s="22">
        <v>1.37</v>
      </c>
      <c r="CT103" s="22">
        <v>1.37</v>
      </c>
      <c r="CU103" s="22">
        <v>1.37</v>
      </c>
      <c r="CV103" s="22">
        <v>1.37</v>
      </c>
      <c r="CW103" s="22">
        <v>1.37</v>
      </c>
      <c r="CX103" s="22">
        <v>1.37</v>
      </c>
      <c r="CY103" s="22">
        <v>1.37</v>
      </c>
      <c r="CZ103" s="22">
        <v>1.37</v>
      </c>
      <c r="DA103" s="22">
        <v>1.37</v>
      </c>
      <c r="DB103" s="22">
        <v>1.37</v>
      </c>
      <c r="DC103" s="22">
        <v>1.37</v>
      </c>
      <c r="DD103" s="22">
        <v>1.37</v>
      </c>
      <c r="DE103" s="22">
        <v>1.37</v>
      </c>
      <c r="DF103" s="22">
        <v>1.37</v>
      </c>
      <c r="DG103" s="22">
        <v>1.37</v>
      </c>
      <c r="DH103" s="22">
        <v>1.37</v>
      </c>
      <c r="DI103" s="22">
        <v>1.37</v>
      </c>
      <c r="DJ103" s="22">
        <v>1.37</v>
      </c>
      <c r="DK103" s="22">
        <v>1.37</v>
      </c>
      <c r="DL103" s="22">
        <v>1.37</v>
      </c>
      <c r="DM103" s="22">
        <v>1.37</v>
      </c>
      <c r="DO103" s="5" t="s">
        <v>69</v>
      </c>
      <c r="DP103" s="23">
        <v>0.68</v>
      </c>
      <c r="DQ103" s="23">
        <v>0.68</v>
      </c>
      <c r="DR103" s="23">
        <v>0.68</v>
      </c>
      <c r="DS103" s="23">
        <v>0.68</v>
      </c>
      <c r="DT103" s="23">
        <v>0.68</v>
      </c>
      <c r="DU103" s="23">
        <v>0.68</v>
      </c>
      <c r="DV103" s="23">
        <v>0.68</v>
      </c>
      <c r="DW103" s="23">
        <v>0.68</v>
      </c>
      <c r="DX103" s="23">
        <v>0.68</v>
      </c>
      <c r="DY103" s="23">
        <v>0.68</v>
      </c>
      <c r="DZ103" s="23">
        <v>0.68</v>
      </c>
      <c r="EA103" s="23">
        <v>0.68</v>
      </c>
      <c r="EB103" s="23">
        <v>0.68</v>
      </c>
      <c r="EC103" s="23">
        <v>0.68</v>
      </c>
      <c r="ED103" s="23">
        <v>0.68</v>
      </c>
      <c r="EE103" s="23">
        <v>0.68</v>
      </c>
      <c r="EF103" s="23">
        <v>0.68</v>
      </c>
      <c r="EG103" s="23">
        <v>0.68</v>
      </c>
      <c r="EH103" s="23">
        <v>0.68</v>
      </c>
      <c r="EI103" s="23">
        <v>0.68</v>
      </c>
      <c r="EJ103" s="23">
        <v>0.68</v>
      </c>
      <c r="EK103" s="23">
        <v>0.68</v>
      </c>
      <c r="EL103" s="23">
        <v>0.68</v>
      </c>
      <c r="EM103" s="23">
        <v>0.68</v>
      </c>
      <c r="EN103" s="23">
        <v>0.68</v>
      </c>
      <c r="EO103" s="23">
        <v>0.68</v>
      </c>
      <c r="EP103" s="24">
        <f ca="1">IFERROR(INDEX('[1]GenX Resources'!$AP$10:$AP$46,MATCH(DO103,'[1]GenX Resources'!$B$10:$B$46,0)),0)</f>
        <v>0.43</v>
      </c>
      <c r="EQ103" s="2" t="b">
        <f t="shared" ca="1" si="35"/>
        <v>1</v>
      </c>
      <c r="ES103" s="25">
        <f ca="1">IFERROR(INDEX('[1]GenX Resources'!$AD:$AD,MATCH($G103,'[1]GenX Resources'!$B:$B,0)) - IF(OR(INDEX('[1]GenX Resources'!$L:$L,MATCH($G103,'[1]GenX Resources'!$B:$B,0)),ISNUMBER(SEARCH("New Generic",$G103))),0,INDEX('[1]GenX Resources'!$M:$M,MATCH($G103,'[1]GenX Resources'!$B:$B,0))),0)</f>
        <v>25700</v>
      </c>
      <c r="EU103" s="5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</row>
    <row r="104" spans="6:177" ht="16" x14ac:dyDescent="0.2">
      <c r="F104" s="19" t="str">
        <f>IFERROR(INDEX('[1]GenX Resources'!$A$10:$A$76,MATCH(G104,'[1]GenX Resources'!$B$10:$B$76,0)),"")</f>
        <v>Coal</v>
      </c>
      <c r="G104" s="5" t="s">
        <v>70</v>
      </c>
      <c r="H104" s="6">
        <v>1919</v>
      </c>
      <c r="I104" s="6">
        <v>1919</v>
      </c>
      <c r="J104" s="6">
        <v>1919</v>
      </c>
      <c r="K104" s="6">
        <v>1919</v>
      </c>
      <c r="L104" s="6">
        <v>1919</v>
      </c>
      <c r="M104" s="6">
        <v>1919</v>
      </c>
      <c r="N104" s="6">
        <v>1919</v>
      </c>
      <c r="O104" s="6">
        <v>1919</v>
      </c>
      <c r="P104" s="6">
        <v>1919</v>
      </c>
      <c r="Q104" s="6">
        <v>1919</v>
      </c>
      <c r="R104" s="6">
        <v>1919</v>
      </c>
      <c r="S104" s="6">
        <v>1919</v>
      </c>
      <c r="T104" s="6">
        <v>1919</v>
      </c>
      <c r="U104" s="6">
        <v>1919</v>
      </c>
      <c r="V104" s="6">
        <v>1919</v>
      </c>
      <c r="W104" s="6">
        <v>1919</v>
      </c>
      <c r="X104" s="6">
        <v>1919</v>
      </c>
      <c r="Y104" s="6">
        <v>1919</v>
      </c>
      <c r="Z104" s="6">
        <v>1919</v>
      </c>
      <c r="AA104" s="6">
        <v>1919</v>
      </c>
      <c r="AB104" s="6">
        <v>1919</v>
      </c>
      <c r="AC104" s="6">
        <v>1919</v>
      </c>
      <c r="AD104" s="6">
        <v>1919</v>
      </c>
      <c r="AE104" s="6">
        <v>1919</v>
      </c>
      <c r="AF104" s="6">
        <v>1919</v>
      </c>
      <c r="AG104" s="6">
        <v>1919</v>
      </c>
      <c r="AI104" s="5" t="s">
        <v>70</v>
      </c>
      <c r="AJ104" s="6">
        <f>SUMIFS([1]!Resources[Summer Rating],[1]!Resources[COD],"&lt;="&amp;AJ$77,[1]!Resources[Retirement Date],"&gt;="&amp;AJ$77,[1]!Resources[Unique Key],$AI104,[1]!Resources[Availability '#],"&gt;="&amp;2)</f>
        <v>0</v>
      </c>
      <c r="AK104" s="6">
        <f>SUMIFS([1]!Resources[Summer Rating],[1]!Resources[COD],"&lt;="&amp;AK$77,[1]!Resources[Retirement Date],"&gt;="&amp;AK$77,[1]!Resources[Unique Key],$AI104,[1]!Resources[Availability '#],"&gt;="&amp;2)</f>
        <v>0</v>
      </c>
      <c r="AL104" s="6">
        <f>SUMIFS([1]!Resources[Summer Rating],[1]!Resources[COD],"&lt;="&amp;AL$77,[1]!Resources[Retirement Date],"&gt;="&amp;AL$77,[1]!Resources[Unique Key],$AI104,[1]!Resources[Availability '#],"&gt;="&amp;2)</f>
        <v>0</v>
      </c>
      <c r="AM104" s="6">
        <f>SUMIFS([1]!Resources[Summer Rating],[1]!Resources[COD],"&lt;="&amp;AM$77,[1]!Resources[Retirement Date],"&gt;="&amp;AM$77,[1]!Resources[Unique Key],$AI104,[1]!Resources[Availability '#],"&gt;="&amp;2)</f>
        <v>0</v>
      </c>
      <c r="AN104" s="6">
        <f>SUMIFS([1]!Resources[Summer Rating],[1]!Resources[COD],"&lt;="&amp;AN$77,[1]!Resources[Retirement Date],"&gt;="&amp;AN$77,[1]!Resources[Unique Key],$AI104,[1]!Resources[Availability '#],"&gt;="&amp;2)</f>
        <v>0</v>
      </c>
      <c r="AO104" s="6">
        <f>SUMIFS([1]!Resources[Summer Rating],[1]!Resources[COD],"&lt;="&amp;AO$77,[1]!Resources[Retirement Date],"&gt;="&amp;AO$77,[1]!Resources[Unique Key],$AI104,[1]!Resources[Availability '#],"&gt;="&amp;2)</f>
        <v>0</v>
      </c>
      <c r="AP104" s="6">
        <f>SUMIFS([1]!Resources[Summer Rating],[1]!Resources[COD],"&lt;="&amp;AP$77,[1]!Resources[Retirement Date],"&gt;="&amp;AP$77,[1]!Resources[Unique Key],$AI104,[1]!Resources[Availability '#],"&gt;="&amp;2)</f>
        <v>0</v>
      </c>
      <c r="AQ104" s="6">
        <f>SUMIFS([1]!Resources[Summer Rating],[1]!Resources[COD],"&lt;="&amp;AQ$77,[1]!Resources[Retirement Date],"&gt;="&amp;AQ$77,[1]!Resources[Unique Key],$AI104,[1]!Resources[Availability '#],"&gt;="&amp;2)</f>
        <v>0</v>
      </c>
      <c r="AR104" s="6">
        <f>SUMIFS([1]!Resources[Summer Rating],[1]!Resources[COD],"&lt;="&amp;AR$77,[1]!Resources[Retirement Date],"&gt;="&amp;AR$77,[1]!Resources[Unique Key],$AI104,[1]!Resources[Availability '#],"&gt;="&amp;2)</f>
        <v>0</v>
      </c>
      <c r="AS104" s="6">
        <f>SUMIFS([1]!Resources[Summer Rating],[1]!Resources[COD],"&lt;="&amp;AS$77,[1]!Resources[Retirement Date],"&gt;="&amp;AS$77,[1]!Resources[Unique Key],$AI104,[1]!Resources[Availability '#],"&gt;="&amp;2)</f>
        <v>0</v>
      </c>
      <c r="AT104" s="6">
        <f>SUMIFS([1]!Resources[Summer Rating],[1]!Resources[COD],"&lt;="&amp;AT$77,[1]!Resources[Retirement Date],"&gt;="&amp;AT$77,[1]!Resources[Unique Key],$AI104,[1]!Resources[Availability '#],"&gt;="&amp;2)</f>
        <v>0</v>
      </c>
      <c r="AU104" s="6">
        <f>SUMIFS([1]!Resources[Summer Rating],[1]!Resources[COD],"&lt;="&amp;AU$77,[1]!Resources[Retirement Date],"&gt;="&amp;AU$77,[1]!Resources[Unique Key],$AI104,[1]!Resources[Availability '#],"&gt;="&amp;2)</f>
        <v>0</v>
      </c>
      <c r="AV104" s="6">
        <f>SUMIFS([1]!Resources[Summer Rating],[1]!Resources[COD],"&lt;="&amp;AV$77,[1]!Resources[Retirement Date],"&gt;="&amp;AV$77,[1]!Resources[Unique Key],$AI104,[1]!Resources[Availability '#],"&gt;="&amp;2)</f>
        <v>0</v>
      </c>
      <c r="AW104" s="6">
        <f>SUMIFS([1]!Resources[Summer Rating],[1]!Resources[COD],"&lt;="&amp;AW$77,[1]!Resources[Retirement Date],"&gt;="&amp;AW$77,[1]!Resources[Unique Key],$AI104,[1]!Resources[Availability '#],"&gt;="&amp;2)</f>
        <v>0</v>
      </c>
      <c r="AX104" s="6">
        <f>SUMIFS([1]!Resources[Summer Rating],[1]!Resources[COD],"&lt;="&amp;AX$77,[1]!Resources[Retirement Date],"&gt;="&amp;AX$77,[1]!Resources[Unique Key],$AI104,[1]!Resources[Availability '#],"&gt;="&amp;2)</f>
        <v>0</v>
      </c>
      <c r="AY104" s="6">
        <f>SUMIFS([1]!Resources[Summer Rating],[1]!Resources[COD],"&lt;="&amp;AY$77,[1]!Resources[Retirement Date],"&gt;="&amp;AY$77,[1]!Resources[Unique Key],$AI104,[1]!Resources[Availability '#],"&gt;="&amp;2)</f>
        <v>0</v>
      </c>
      <c r="AZ104" s="6">
        <f>SUMIFS([1]!Resources[Summer Rating],[1]!Resources[COD],"&lt;="&amp;AZ$77,[1]!Resources[Retirement Date],"&gt;="&amp;AZ$77,[1]!Resources[Unique Key],$AI104,[1]!Resources[Availability '#],"&gt;="&amp;2)</f>
        <v>0</v>
      </c>
      <c r="BA104" s="6">
        <f>SUMIFS([1]!Resources[Summer Rating],[1]!Resources[COD],"&lt;="&amp;BA$77,[1]!Resources[Retirement Date],"&gt;="&amp;BA$77,[1]!Resources[Unique Key],$AI104,[1]!Resources[Availability '#],"&gt;="&amp;2)</f>
        <v>0</v>
      </c>
      <c r="BB104" s="6">
        <f>SUMIFS([1]!Resources[Summer Rating],[1]!Resources[COD],"&lt;="&amp;BB$77,[1]!Resources[Retirement Date],"&gt;="&amp;BB$77,[1]!Resources[Unique Key],$AI104,[1]!Resources[Availability '#],"&gt;="&amp;2)</f>
        <v>0</v>
      </c>
      <c r="BC104" s="6">
        <f>SUMIFS([1]!Resources[Summer Rating],[1]!Resources[COD],"&lt;="&amp;BC$77,[1]!Resources[Retirement Date],"&gt;="&amp;BC$77,[1]!Resources[Unique Key],$AI104,[1]!Resources[Availability '#],"&gt;="&amp;2)</f>
        <v>0</v>
      </c>
      <c r="BD104" s="6">
        <f>SUMIFS([1]!Resources[Summer Rating],[1]!Resources[COD],"&lt;="&amp;BD$77,[1]!Resources[Retirement Date],"&gt;="&amp;BD$77,[1]!Resources[Unique Key],$AI104,[1]!Resources[Availability '#],"&gt;="&amp;2)</f>
        <v>0</v>
      </c>
      <c r="BE104" s="6">
        <f>SUMIFS([1]!Resources[Summer Rating],[1]!Resources[COD],"&lt;="&amp;BE$77,[1]!Resources[Retirement Date],"&gt;="&amp;BE$77,[1]!Resources[Unique Key],$AI104,[1]!Resources[Availability '#],"&gt;="&amp;2)</f>
        <v>0</v>
      </c>
      <c r="BF104" s="6">
        <f>SUMIFS([1]!Resources[Summer Rating],[1]!Resources[COD],"&lt;="&amp;BF$77,[1]!Resources[Retirement Date],"&gt;="&amp;BF$77,[1]!Resources[Unique Key],$AI104,[1]!Resources[Availability '#],"&gt;="&amp;2)</f>
        <v>0</v>
      </c>
      <c r="BG104" s="6">
        <f>SUMIFS([1]!Resources[Summer Rating],[1]!Resources[COD],"&lt;="&amp;BG$77,[1]!Resources[Retirement Date],"&gt;="&amp;BG$77,[1]!Resources[Unique Key],$AI104,[1]!Resources[Availability '#],"&gt;="&amp;2)</f>
        <v>0</v>
      </c>
      <c r="BH104" s="6">
        <f>SUMIFS([1]!Resources[Summer Rating],[1]!Resources[COD],"&lt;="&amp;BH$77,[1]!Resources[Retirement Date],"&gt;="&amp;BH$77,[1]!Resources[Unique Key],$AI104,[1]!Resources[Availability '#],"&gt;="&amp;2)</f>
        <v>0</v>
      </c>
      <c r="BI104" s="6">
        <f>SUMIFS([1]!Resources[Summer Rating],[1]!Resources[COD],"&lt;="&amp;BI$77,[1]!Resources[Retirement Date],"&gt;="&amp;BI$77,[1]!Resources[Unique Key],$AI104,[1]!Resources[Availability '#],"&gt;="&amp;2)</f>
        <v>0</v>
      </c>
      <c r="BK104" s="5" t="s">
        <v>70</v>
      </c>
      <c r="BL104" s="20">
        <v>11.183999999999999</v>
      </c>
      <c r="BM104" s="20">
        <v>10.516</v>
      </c>
      <c r="BN104" s="20">
        <v>10.086</v>
      </c>
      <c r="BO104" s="20">
        <v>10.086</v>
      </c>
      <c r="BP104" s="20">
        <v>10.086</v>
      </c>
      <c r="BQ104" s="20">
        <v>10.086</v>
      </c>
      <c r="BR104" s="20">
        <v>10.086</v>
      </c>
      <c r="BS104" s="20">
        <v>10.086</v>
      </c>
      <c r="BT104" s="20">
        <v>10.086</v>
      </c>
      <c r="BU104" s="20">
        <v>10.086</v>
      </c>
      <c r="BV104" s="20">
        <v>10.086</v>
      </c>
      <c r="BW104" s="20">
        <v>10.086</v>
      </c>
      <c r="BX104" s="20">
        <v>10.086</v>
      </c>
      <c r="BY104" s="20">
        <v>10.086</v>
      </c>
      <c r="BZ104" s="20">
        <v>10.086</v>
      </c>
      <c r="CA104" s="20">
        <v>10.086</v>
      </c>
      <c r="CB104" s="20">
        <v>10.086</v>
      </c>
      <c r="CC104" s="20">
        <v>10.086</v>
      </c>
      <c r="CD104" s="20">
        <v>10.086</v>
      </c>
      <c r="CE104" s="20">
        <v>10.086</v>
      </c>
      <c r="CF104" s="20">
        <v>10.086</v>
      </c>
      <c r="CG104" s="20">
        <v>10.086</v>
      </c>
      <c r="CH104" s="20">
        <v>10.086</v>
      </c>
      <c r="CI104" s="20">
        <v>10.086</v>
      </c>
      <c r="CJ104" s="20">
        <v>10.086</v>
      </c>
      <c r="CK104" s="20">
        <v>10.086</v>
      </c>
      <c r="CM104" s="5" t="s">
        <v>70</v>
      </c>
      <c r="CN104" s="21">
        <v>10.092000000000001</v>
      </c>
      <c r="CO104" s="22">
        <v>9.49</v>
      </c>
      <c r="CP104" s="22">
        <v>9.1020000000000003</v>
      </c>
      <c r="CQ104" s="22">
        <v>9.1020000000000003</v>
      </c>
      <c r="CR104" s="22">
        <v>9.1020000000000003</v>
      </c>
      <c r="CS104" s="22">
        <v>9.1020000000000003</v>
      </c>
      <c r="CT104" s="22">
        <v>9.1020000000000003</v>
      </c>
      <c r="CU104" s="22">
        <v>9.1020000000000003</v>
      </c>
      <c r="CV104" s="22">
        <v>9.1020000000000003</v>
      </c>
      <c r="CW104" s="22">
        <v>9.1020000000000003</v>
      </c>
      <c r="CX104" s="22">
        <v>9.1020000000000003</v>
      </c>
      <c r="CY104" s="22">
        <v>9.1020000000000003</v>
      </c>
      <c r="CZ104" s="22">
        <v>9.1020000000000003</v>
      </c>
      <c r="DA104" s="22">
        <v>9.1020000000000003</v>
      </c>
      <c r="DB104" s="22">
        <v>9.1020000000000003</v>
      </c>
      <c r="DC104" s="22">
        <v>9.1020000000000003</v>
      </c>
      <c r="DD104" s="22">
        <v>9.1020000000000003</v>
      </c>
      <c r="DE104" s="22">
        <v>9.1020000000000003</v>
      </c>
      <c r="DF104" s="22">
        <v>9.1020000000000003</v>
      </c>
      <c r="DG104" s="22">
        <v>9.1020000000000003</v>
      </c>
      <c r="DH104" s="22">
        <v>9.1020000000000003</v>
      </c>
      <c r="DI104" s="22">
        <v>9.1020000000000003</v>
      </c>
      <c r="DJ104" s="22">
        <v>9.1020000000000003</v>
      </c>
      <c r="DK104" s="22">
        <v>9.1020000000000003</v>
      </c>
      <c r="DL104" s="22">
        <v>9.1020000000000003</v>
      </c>
      <c r="DM104" s="22">
        <v>9.1020000000000003</v>
      </c>
      <c r="DO104" s="5" t="s">
        <v>70</v>
      </c>
      <c r="DP104" s="23">
        <v>0.66500000000000004</v>
      </c>
      <c r="DQ104" s="23">
        <v>0.626</v>
      </c>
      <c r="DR104" s="23">
        <v>0.6</v>
      </c>
      <c r="DS104" s="23">
        <v>0.6</v>
      </c>
      <c r="DT104" s="23">
        <v>0.6</v>
      </c>
      <c r="DU104" s="23">
        <v>0.6</v>
      </c>
      <c r="DV104" s="23">
        <v>0.6</v>
      </c>
      <c r="DW104" s="23">
        <v>0.6</v>
      </c>
      <c r="DX104" s="23">
        <v>0.6</v>
      </c>
      <c r="DY104" s="23">
        <v>0.6</v>
      </c>
      <c r="DZ104" s="23">
        <v>0.6</v>
      </c>
      <c r="EA104" s="23">
        <v>0.6</v>
      </c>
      <c r="EB104" s="23">
        <v>0.6</v>
      </c>
      <c r="EC104" s="23">
        <v>0.6</v>
      </c>
      <c r="ED104" s="23">
        <v>0.6</v>
      </c>
      <c r="EE104" s="23">
        <v>0.6</v>
      </c>
      <c r="EF104" s="23">
        <v>0.6</v>
      </c>
      <c r="EG104" s="23">
        <v>0.6</v>
      </c>
      <c r="EH104" s="23">
        <v>0.6</v>
      </c>
      <c r="EI104" s="23">
        <v>0.6</v>
      </c>
      <c r="EJ104" s="23">
        <v>0.6</v>
      </c>
      <c r="EK104" s="23">
        <v>0.6</v>
      </c>
      <c r="EL104" s="23">
        <v>0.6</v>
      </c>
      <c r="EM104" s="23">
        <v>0.6</v>
      </c>
      <c r="EN104" s="23">
        <v>0.6</v>
      </c>
      <c r="EO104" s="23">
        <v>0.6</v>
      </c>
      <c r="EP104" s="24">
        <f ca="1">IFERROR(INDEX('[1]GenX Resources'!$AP$10:$AP$46,MATCH(DO104,'[1]GenX Resources'!$B$10:$B$46,0)),0)</f>
        <v>0.6</v>
      </c>
      <c r="EQ104" s="2" t="b">
        <f t="shared" ca="1" si="35"/>
        <v>1</v>
      </c>
      <c r="ES104" s="25">
        <f ca="1">IFERROR(INDEX('[1]GenX Resources'!$AD:$AD,MATCH($G104,'[1]GenX Resources'!$B:$B,0)) - IF(OR(INDEX('[1]GenX Resources'!$L:$L,MATCH($G104,'[1]GenX Resources'!$B:$B,0)),ISNUMBER(SEARCH("New Generic",$G104))),0,INDEX('[1]GenX Resources'!$M:$M,MATCH($G104,'[1]GenX Resources'!$B:$B,0))),0)</f>
        <v>70000</v>
      </c>
      <c r="EU104" s="5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</row>
    <row r="105" spans="6:177" ht="16" x14ac:dyDescent="0.2">
      <c r="F105" s="19" t="str">
        <f>IFERROR(INDEX('[1]GenX Resources'!$A$10:$A$76,MATCH(G105,'[1]GenX Resources'!$B$10:$B$76,0)),"")</f>
        <v>Gas CT</v>
      </c>
      <c r="G105" s="5" t="s">
        <v>71</v>
      </c>
      <c r="H105" s="6">
        <v>48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I105" s="5" t="s">
        <v>71</v>
      </c>
      <c r="AJ105" s="6">
        <f>SUMIFS([1]!Resources[Summer Rating],[1]!Resources[COD],"&lt;="&amp;AJ$77,[1]!Resources[Retirement Date],"&gt;="&amp;AJ$77,[1]!Resources[Unique Key],$AI105,[1]!Resources[Availability '#],"&gt;="&amp;2)</f>
        <v>0</v>
      </c>
      <c r="AK105" s="6">
        <f>SUMIFS([1]!Resources[Summer Rating],[1]!Resources[COD],"&lt;="&amp;AK$77,[1]!Resources[Retirement Date],"&gt;="&amp;AK$77,[1]!Resources[Unique Key],$AI105,[1]!Resources[Availability '#],"&gt;="&amp;2)</f>
        <v>0</v>
      </c>
      <c r="AL105" s="6">
        <f>SUMIFS([1]!Resources[Summer Rating],[1]!Resources[COD],"&lt;="&amp;AL$77,[1]!Resources[Retirement Date],"&gt;="&amp;AL$77,[1]!Resources[Unique Key],$AI105,[1]!Resources[Availability '#],"&gt;="&amp;2)</f>
        <v>0</v>
      </c>
      <c r="AM105" s="6">
        <f>SUMIFS([1]!Resources[Summer Rating],[1]!Resources[COD],"&lt;="&amp;AM$77,[1]!Resources[Retirement Date],"&gt;="&amp;AM$77,[1]!Resources[Unique Key],$AI105,[1]!Resources[Availability '#],"&gt;="&amp;2)</f>
        <v>0</v>
      </c>
      <c r="AN105" s="6">
        <f>SUMIFS([1]!Resources[Summer Rating],[1]!Resources[COD],"&lt;="&amp;AN$77,[1]!Resources[Retirement Date],"&gt;="&amp;AN$77,[1]!Resources[Unique Key],$AI105,[1]!Resources[Availability '#],"&gt;="&amp;2)</f>
        <v>0</v>
      </c>
      <c r="AO105" s="6">
        <f>SUMIFS([1]!Resources[Summer Rating],[1]!Resources[COD],"&lt;="&amp;AO$77,[1]!Resources[Retirement Date],"&gt;="&amp;AO$77,[1]!Resources[Unique Key],$AI105,[1]!Resources[Availability '#],"&gt;="&amp;2)</f>
        <v>0</v>
      </c>
      <c r="AP105" s="6">
        <f>SUMIFS([1]!Resources[Summer Rating],[1]!Resources[COD],"&lt;="&amp;AP$77,[1]!Resources[Retirement Date],"&gt;="&amp;AP$77,[1]!Resources[Unique Key],$AI105,[1]!Resources[Availability '#],"&gt;="&amp;2)</f>
        <v>0</v>
      </c>
      <c r="AQ105" s="6">
        <f>SUMIFS([1]!Resources[Summer Rating],[1]!Resources[COD],"&lt;="&amp;AQ$77,[1]!Resources[Retirement Date],"&gt;="&amp;AQ$77,[1]!Resources[Unique Key],$AI105,[1]!Resources[Availability '#],"&gt;="&amp;2)</f>
        <v>0</v>
      </c>
      <c r="AR105" s="6">
        <f>SUMIFS([1]!Resources[Summer Rating],[1]!Resources[COD],"&lt;="&amp;AR$77,[1]!Resources[Retirement Date],"&gt;="&amp;AR$77,[1]!Resources[Unique Key],$AI105,[1]!Resources[Availability '#],"&gt;="&amp;2)</f>
        <v>0</v>
      </c>
      <c r="AS105" s="6">
        <f>SUMIFS([1]!Resources[Summer Rating],[1]!Resources[COD],"&lt;="&amp;AS$77,[1]!Resources[Retirement Date],"&gt;="&amp;AS$77,[1]!Resources[Unique Key],$AI105,[1]!Resources[Availability '#],"&gt;="&amp;2)</f>
        <v>0</v>
      </c>
      <c r="AT105" s="6">
        <f>SUMIFS([1]!Resources[Summer Rating],[1]!Resources[COD],"&lt;="&amp;AT$77,[1]!Resources[Retirement Date],"&gt;="&amp;AT$77,[1]!Resources[Unique Key],$AI105,[1]!Resources[Availability '#],"&gt;="&amp;2)</f>
        <v>0</v>
      </c>
      <c r="AU105" s="6">
        <f>SUMIFS([1]!Resources[Summer Rating],[1]!Resources[COD],"&lt;="&amp;AU$77,[1]!Resources[Retirement Date],"&gt;="&amp;AU$77,[1]!Resources[Unique Key],$AI105,[1]!Resources[Availability '#],"&gt;="&amp;2)</f>
        <v>0</v>
      </c>
      <c r="AV105" s="6">
        <f>SUMIFS([1]!Resources[Summer Rating],[1]!Resources[COD],"&lt;="&amp;AV$77,[1]!Resources[Retirement Date],"&gt;="&amp;AV$77,[1]!Resources[Unique Key],$AI105,[1]!Resources[Availability '#],"&gt;="&amp;2)</f>
        <v>0</v>
      </c>
      <c r="AW105" s="6">
        <f>SUMIFS([1]!Resources[Summer Rating],[1]!Resources[COD],"&lt;="&amp;AW$77,[1]!Resources[Retirement Date],"&gt;="&amp;AW$77,[1]!Resources[Unique Key],$AI105,[1]!Resources[Availability '#],"&gt;="&amp;2)</f>
        <v>0</v>
      </c>
      <c r="AX105" s="6">
        <f>SUMIFS([1]!Resources[Summer Rating],[1]!Resources[COD],"&lt;="&amp;AX$77,[1]!Resources[Retirement Date],"&gt;="&amp;AX$77,[1]!Resources[Unique Key],$AI105,[1]!Resources[Availability '#],"&gt;="&amp;2)</f>
        <v>0</v>
      </c>
      <c r="AY105" s="6">
        <f>SUMIFS([1]!Resources[Summer Rating],[1]!Resources[COD],"&lt;="&amp;AY$77,[1]!Resources[Retirement Date],"&gt;="&amp;AY$77,[1]!Resources[Unique Key],$AI105,[1]!Resources[Availability '#],"&gt;="&amp;2)</f>
        <v>0</v>
      </c>
      <c r="AZ105" s="6">
        <f>SUMIFS([1]!Resources[Summer Rating],[1]!Resources[COD],"&lt;="&amp;AZ$77,[1]!Resources[Retirement Date],"&gt;="&amp;AZ$77,[1]!Resources[Unique Key],$AI105,[1]!Resources[Availability '#],"&gt;="&amp;2)</f>
        <v>0</v>
      </c>
      <c r="BA105" s="6">
        <f>SUMIFS([1]!Resources[Summer Rating],[1]!Resources[COD],"&lt;="&amp;BA$77,[1]!Resources[Retirement Date],"&gt;="&amp;BA$77,[1]!Resources[Unique Key],$AI105,[1]!Resources[Availability '#],"&gt;="&amp;2)</f>
        <v>0</v>
      </c>
      <c r="BB105" s="6">
        <f>SUMIFS([1]!Resources[Summer Rating],[1]!Resources[COD],"&lt;="&amp;BB$77,[1]!Resources[Retirement Date],"&gt;="&amp;BB$77,[1]!Resources[Unique Key],$AI105,[1]!Resources[Availability '#],"&gt;="&amp;2)</f>
        <v>0</v>
      </c>
      <c r="BC105" s="6">
        <f>SUMIFS([1]!Resources[Summer Rating],[1]!Resources[COD],"&lt;="&amp;BC$77,[1]!Resources[Retirement Date],"&gt;="&amp;BC$77,[1]!Resources[Unique Key],$AI105,[1]!Resources[Availability '#],"&gt;="&amp;2)</f>
        <v>0</v>
      </c>
      <c r="BD105" s="6">
        <f>SUMIFS([1]!Resources[Summer Rating],[1]!Resources[COD],"&lt;="&amp;BD$77,[1]!Resources[Retirement Date],"&gt;="&amp;BD$77,[1]!Resources[Unique Key],$AI105,[1]!Resources[Availability '#],"&gt;="&amp;2)</f>
        <v>0</v>
      </c>
      <c r="BE105" s="6">
        <f>SUMIFS([1]!Resources[Summer Rating],[1]!Resources[COD],"&lt;="&amp;BE$77,[1]!Resources[Retirement Date],"&gt;="&amp;BE$77,[1]!Resources[Unique Key],$AI105,[1]!Resources[Availability '#],"&gt;="&amp;2)</f>
        <v>0</v>
      </c>
      <c r="BF105" s="6">
        <f>SUMIFS([1]!Resources[Summer Rating],[1]!Resources[COD],"&lt;="&amp;BF$77,[1]!Resources[Retirement Date],"&gt;="&amp;BF$77,[1]!Resources[Unique Key],$AI105,[1]!Resources[Availability '#],"&gt;="&amp;2)</f>
        <v>0</v>
      </c>
      <c r="BG105" s="6">
        <f>SUMIFS([1]!Resources[Summer Rating],[1]!Resources[COD],"&lt;="&amp;BG$77,[1]!Resources[Retirement Date],"&gt;="&amp;BG$77,[1]!Resources[Unique Key],$AI105,[1]!Resources[Availability '#],"&gt;="&amp;2)</f>
        <v>0</v>
      </c>
      <c r="BH105" s="6">
        <f>SUMIFS([1]!Resources[Summer Rating],[1]!Resources[COD],"&lt;="&amp;BH$77,[1]!Resources[Retirement Date],"&gt;="&amp;BH$77,[1]!Resources[Unique Key],$AI105,[1]!Resources[Availability '#],"&gt;="&amp;2)</f>
        <v>0</v>
      </c>
      <c r="BI105" s="6">
        <f>SUMIFS([1]!Resources[Summer Rating],[1]!Resources[COD],"&lt;="&amp;BI$77,[1]!Resources[Retirement Date],"&gt;="&amp;BI$77,[1]!Resources[Unique Key],$AI105,[1]!Resources[Availability '#],"&gt;="&amp;2)</f>
        <v>0</v>
      </c>
      <c r="BK105" s="5" t="s">
        <v>71</v>
      </c>
      <c r="BL105" s="20">
        <v>0.105</v>
      </c>
      <c r="BM105" s="20">
        <v>0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0">
        <v>0</v>
      </c>
      <c r="CA105" s="20">
        <v>0</v>
      </c>
      <c r="CB105" s="20">
        <v>0</v>
      </c>
      <c r="CC105" s="20">
        <v>0</v>
      </c>
      <c r="CD105" s="20">
        <v>0</v>
      </c>
      <c r="CE105" s="20">
        <v>0</v>
      </c>
      <c r="CF105" s="20">
        <v>0</v>
      </c>
      <c r="CG105" s="20">
        <v>0</v>
      </c>
      <c r="CH105" s="20">
        <v>0</v>
      </c>
      <c r="CI105" s="20">
        <v>0</v>
      </c>
      <c r="CJ105" s="20">
        <v>0</v>
      </c>
      <c r="CK105" s="20">
        <v>0</v>
      </c>
      <c r="CM105" s="5" t="s">
        <v>71</v>
      </c>
      <c r="CN105" s="21">
        <v>5.3999999999999999E-2</v>
      </c>
      <c r="CO105" s="22">
        <v>0</v>
      </c>
      <c r="CP105" s="22">
        <v>0</v>
      </c>
      <c r="CQ105" s="22">
        <v>0</v>
      </c>
      <c r="CR105" s="22">
        <v>0</v>
      </c>
      <c r="CS105" s="22">
        <v>0</v>
      </c>
      <c r="CT105" s="22">
        <v>0</v>
      </c>
      <c r="CU105" s="22">
        <v>0</v>
      </c>
      <c r="CV105" s="22">
        <v>0</v>
      </c>
      <c r="CW105" s="22">
        <v>0</v>
      </c>
      <c r="CX105" s="22">
        <v>0</v>
      </c>
      <c r="CY105" s="22">
        <v>0</v>
      </c>
      <c r="CZ105" s="22">
        <v>0</v>
      </c>
      <c r="DA105" s="22">
        <v>0</v>
      </c>
      <c r="DB105" s="22">
        <v>0</v>
      </c>
      <c r="DC105" s="22">
        <v>0</v>
      </c>
      <c r="DD105" s="22">
        <v>0</v>
      </c>
      <c r="DE105" s="22">
        <v>0</v>
      </c>
      <c r="DF105" s="22">
        <v>0</v>
      </c>
      <c r="DG105" s="22">
        <v>0</v>
      </c>
      <c r="DH105" s="22">
        <v>0</v>
      </c>
      <c r="DI105" s="22">
        <v>0</v>
      </c>
      <c r="DJ105" s="22">
        <v>0</v>
      </c>
      <c r="DK105" s="22">
        <v>0</v>
      </c>
      <c r="DL105" s="22">
        <v>0</v>
      </c>
      <c r="DM105" s="22">
        <v>0</v>
      </c>
      <c r="DO105" s="5" t="s">
        <v>71</v>
      </c>
      <c r="DP105" s="23">
        <v>0.25</v>
      </c>
      <c r="DQ105" s="23">
        <v>0</v>
      </c>
      <c r="DR105" s="23">
        <v>0</v>
      </c>
      <c r="DS105" s="23">
        <v>0</v>
      </c>
      <c r="DT105" s="23">
        <v>0</v>
      </c>
      <c r="DU105" s="23">
        <v>0</v>
      </c>
      <c r="DV105" s="23">
        <v>0</v>
      </c>
      <c r="DW105" s="23">
        <v>0</v>
      </c>
      <c r="DX105" s="23">
        <v>0</v>
      </c>
      <c r="DY105" s="23">
        <v>0</v>
      </c>
      <c r="DZ105" s="23">
        <v>0</v>
      </c>
      <c r="EA105" s="23">
        <v>0</v>
      </c>
      <c r="EB105" s="23">
        <v>0</v>
      </c>
      <c r="EC105" s="23">
        <v>0</v>
      </c>
      <c r="ED105" s="23">
        <v>0</v>
      </c>
      <c r="EE105" s="23">
        <v>0</v>
      </c>
      <c r="EF105" s="23">
        <v>0</v>
      </c>
      <c r="EG105" s="23">
        <v>0</v>
      </c>
      <c r="EH105" s="23">
        <v>0</v>
      </c>
      <c r="EI105" s="23">
        <v>0</v>
      </c>
      <c r="EJ105" s="23">
        <v>0</v>
      </c>
      <c r="EK105" s="23">
        <v>0</v>
      </c>
      <c r="EL105" s="23">
        <v>0</v>
      </c>
      <c r="EM105" s="23">
        <v>0</v>
      </c>
      <c r="EN105" s="23">
        <v>0</v>
      </c>
      <c r="EO105" s="23">
        <v>0</v>
      </c>
      <c r="EP105" s="24">
        <f ca="1">IFERROR(INDEX('[1]GenX Resources'!$AP$10:$AP$46,MATCH(DO105,'[1]GenX Resources'!$B$10:$B$46,0)),0)</f>
        <v>0</v>
      </c>
      <c r="EQ105" s="2" t="b">
        <f t="shared" ca="1" si="35"/>
        <v>1</v>
      </c>
      <c r="ES105" s="25">
        <f ca="1">IFERROR(INDEX('[1]GenX Resources'!$AD:$AD,MATCH($G105,'[1]GenX Resources'!$B:$B,0)) - IF(OR(INDEX('[1]GenX Resources'!$L:$L,MATCH($G105,'[1]GenX Resources'!$B:$B,0)),ISNUMBER(SEARCH("New Generic",$G105))),0,INDEX('[1]GenX Resources'!$M:$M,MATCH($G105,'[1]GenX Resources'!$B:$B,0))),0)</f>
        <v>25700</v>
      </c>
      <c r="EU105" s="5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</row>
    <row r="106" spans="6:177" ht="16" x14ac:dyDescent="0.2">
      <c r="F106" s="19" t="str">
        <f>IFERROR(INDEX('[1]GenX Resources'!$A$10:$A$76,MATCH(G106,'[1]GenX Resources'!$B$10:$B$76,0)),"")</f>
        <v>Coal</v>
      </c>
      <c r="G106" s="5" t="s">
        <v>72</v>
      </c>
      <c r="H106" s="6">
        <v>1165</v>
      </c>
      <c r="I106" s="6">
        <v>1165</v>
      </c>
      <c r="J106" s="6">
        <v>1165</v>
      </c>
      <c r="K106" s="6">
        <v>868</v>
      </c>
      <c r="L106" s="6">
        <v>868</v>
      </c>
      <c r="M106" s="6">
        <v>868</v>
      </c>
      <c r="N106" s="6">
        <v>868</v>
      </c>
      <c r="O106" s="6">
        <v>868</v>
      </c>
      <c r="P106" s="6">
        <v>868</v>
      </c>
      <c r="Q106" s="6">
        <v>868</v>
      </c>
      <c r="R106" s="6">
        <v>868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I106" s="5" t="s">
        <v>72</v>
      </c>
      <c r="AJ106" s="6">
        <f>SUMIFS([1]!Resources[Summer Rating],[1]!Resources[COD],"&lt;="&amp;AJ$77,[1]!Resources[Retirement Date],"&gt;="&amp;AJ$77,[1]!Resources[Unique Key],$AI106,[1]!Resources[Availability '#],"&gt;="&amp;2)</f>
        <v>0</v>
      </c>
      <c r="AK106" s="6">
        <f>SUMIFS([1]!Resources[Summer Rating],[1]!Resources[COD],"&lt;="&amp;AK$77,[1]!Resources[Retirement Date],"&gt;="&amp;AK$77,[1]!Resources[Unique Key],$AI106,[1]!Resources[Availability '#],"&gt;="&amp;2)</f>
        <v>0</v>
      </c>
      <c r="AL106" s="6">
        <f>SUMIFS([1]!Resources[Summer Rating],[1]!Resources[COD],"&lt;="&amp;AL$77,[1]!Resources[Retirement Date],"&gt;="&amp;AL$77,[1]!Resources[Unique Key],$AI106,[1]!Resources[Availability '#],"&gt;="&amp;2)</f>
        <v>0</v>
      </c>
      <c r="AM106" s="6">
        <f>SUMIFS([1]!Resources[Summer Rating],[1]!Resources[COD],"&lt;="&amp;AM$77,[1]!Resources[Retirement Date],"&gt;="&amp;AM$77,[1]!Resources[Unique Key],$AI106,[1]!Resources[Availability '#],"&gt;="&amp;2)</f>
        <v>0</v>
      </c>
      <c r="AN106" s="6">
        <f>SUMIFS([1]!Resources[Summer Rating],[1]!Resources[COD],"&lt;="&amp;AN$77,[1]!Resources[Retirement Date],"&gt;="&amp;AN$77,[1]!Resources[Unique Key],$AI106,[1]!Resources[Availability '#],"&gt;="&amp;2)</f>
        <v>0</v>
      </c>
      <c r="AO106" s="6">
        <f>SUMIFS([1]!Resources[Summer Rating],[1]!Resources[COD],"&lt;="&amp;AO$77,[1]!Resources[Retirement Date],"&gt;="&amp;AO$77,[1]!Resources[Unique Key],$AI106,[1]!Resources[Availability '#],"&gt;="&amp;2)</f>
        <v>0</v>
      </c>
      <c r="AP106" s="6">
        <f>SUMIFS([1]!Resources[Summer Rating],[1]!Resources[COD],"&lt;="&amp;AP$77,[1]!Resources[Retirement Date],"&gt;="&amp;AP$77,[1]!Resources[Unique Key],$AI106,[1]!Resources[Availability '#],"&gt;="&amp;2)</f>
        <v>0</v>
      </c>
      <c r="AQ106" s="6">
        <f>SUMIFS([1]!Resources[Summer Rating],[1]!Resources[COD],"&lt;="&amp;AQ$77,[1]!Resources[Retirement Date],"&gt;="&amp;AQ$77,[1]!Resources[Unique Key],$AI106,[1]!Resources[Availability '#],"&gt;="&amp;2)</f>
        <v>0</v>
      </c>
      <c r="AR106" s="6">
        <f>SUMIFS([1]!Resources[Summer Rating],[1]!Resources[COD],"&lt;="&amp;AR$77,[1]!Resources[Retirement Date],"&gt;="&amp;AR$77,[1]!Resources[Unique Key],$AI106,[1]!Resources[Availability '#],"&gt;="&amp;2)</f>
        <v>0</v>
      </c>
      <c r="AS106" s="6">
        <f>SUMIFS([1]!Resources[Summer Rating],[1]!Resources[COD],"&lt;="&amp;AS$77,[1]!Resources[Retirement Date],"&gt;="&amp;AS$77,[1]!Resources[Unique Key],$AI106,[1]!Resources[Availability '#],"&gt;="&amp;2)</f>
        <v>0</v>
      </c>
      <c r="AT106" s="6">
        <f>SUMIFS([1]!Resources[Summer Rating],[1]!Resources[COD],"&lt;="&amp;AT$77,[1]!Resources[Retirement Date],"&gt;="&amp;AT$77,[1]!Resources[Unique Key],$AI106,[1]!Resources[Availability '#],"&gt;="&amp;2)</f>
        <v>0</v>
      </c>
      <c r="AU106" s="6">
        <f>SUMIFS([1]!Resources[Summer Rating],[1]!Resources[COD],"&lt;="&amp;AU$77,[1]!Resources[Retirement Date],"&gt;="&amp;AU$77,[1]!Resources[Unique Key],$AI106,[1]!Resources[Availability '#],"&gt;="&amp;2)</f>
        <v>0</v>
      </c>
      <c r="AV106" s="6">
        <f>SUMIFS([1]!Resources[Summer Rating],[1]!Resources[COD],"&lt;="&amp;AV$77,[1]!Resources[Retirement Date],"&gt;="&amp;AV$77,[1]!Resources[Unique Key],$AI106,[1]!Resources[Availability '#],"&gt;="&amp;2)</f>
        <v>0</v>
      </c>
      <c r="AW106" s="6">
        <f>SUMIFS([1]!Resources[Summer Rating],[1]!Resources[COD],"&lt;="&amp;AW$77,[1]!Resources[Retirement Date],"&gt;="&amp;AW$77,[1]!Resources[Unique Key],$AI106,[1]!Resources[Availability '#],"&gt;="&amp;2)</f>
        <v>0</v>
      </c>
      <c r="AX106" s="6">
        <f>SUMIFS([1]!Resources[Summer Rating],[1]!Resources[COD],"&lt;="&amp;AX$77,[1]!Resources[Retirement Date],"&gt;="&amp;AX$77,[1]!Resources[Unique Key],$AI106,[1]!Resources[Availability '#],"&gt;="&amp;2)</f>
        <v>0</v>
      </c>
      <c r="AY106" s="6">
        <f>SUMIFS([1]!Resources[Summer Rating],[1]!Resources[COD],"&lt;="&amp;AY$77,[1]!Resources[Retirement Date],"&gt;="&amp;AY$77,[1]!Resources[Unique Key],$AI106,[1]!Resources[Availability '#],"&gt;="&amp;2)</f>
        <v>0</v>
      </c>
      <c r="AZ106" s="6">
        <f>SUMIFS([1]!Resources[Summer Rating],[1]!Resources[COD],"&lt;="&amp;AZ$77,[1]!Resources[Retirement Date],"&gt;="&amp;AZ$77,[1]!Resources[Unique Key],$AI106,[1]!Resources[Availability '#],"&gt;="&amp;2)</f>
        <v>0</v>
      </c>
      <c r="BA106" s="6">
        <f>SUMIFS([1]!Resources[Summer Rating],[1]!Resources[COD],"&lt;="&amp;BA$77,[1]!Resources[Retirement Date],"&gt;="&amp;BA$77,[1]!Resources[Unique Key],$AI106,[1]!Resources[Availability '#],"&gt;="&amp;2)</f>
        <v>0</v>
      </c>
      <c r="BB106" s="6">
        <f>SUMIFS([1]!Resources[Summer Rating],[1]!Resources[COD],"&lt;="&amp;BB$77,[1]!Resources[Retirement Date],"&gt;="&amp;BB$77,[1]!Resources[Unique Key],$AI106,[1]!Resources[Availability '#],"&gt;="&amp;2)</f>
        <v>0</v>
      </c>
      <c r="BC106" s="6">
        <f>SUMIFS([1]!Resources[Summer Rating],[1]!Resources[COD],"&lt;="&amp;BC$77,[1]!Resources[Retirement Date],"&gt;="&amp;BC$77,[1]!Resources[Unique Key],$AI106,[1]!Resources[Availability '#],"&gt;="&amp;2)</f>
        <v>0</v>
      </c>
      <c r="BD106" s="6">
        <f>SUMIFS([1]!Resources[Summer Rating],[1]!Resources[COD],"&lt;="&amp;BD$77,[1]!Resources[Retirement Date],"&gt;="&amp;BD$77,[1]!Resources[Unique Key],$AI106,[1]!Resources[Availability '#],"&gt;="&amp;2)</f>
        <v>0</v>
      </c>
      <c r="BE106" s="6">
        <f>SUMIFS([1]!Resources[Summer Rating],[1]!Resources[COD],"&lt;="&amp;BE$77,[1]!Resources[Retirement Date],"&gt;="&amp;BE$77,[1]!Resources[Unique Key],$AI106,[1]!Resources[Availability '#],"&gt;="&amp;2)</f>
        <v>0</v>
      </c>
      <c r="BF106" s="6">
        <f>SUMIFS([1]!Resources[Summer Rating],[1]!Resources[COD],"&lt;="&amp;BF$77,[1]!Resources[Retirement Date],"&gt;="&amp;BF$77,[1]!Resources[Unique Key],$AI106,[1]!Resources[Availability '#],"&gt;="&amp;2)</f>
        <v>0</v>
      </c>
      <c r="BG106" s="6">
        <f>SUMIFS([1]!Resources[Summer Rating],[1]!Resources[COD],"&lt;="&amp;BG$77,[1]!Resources[Retirement Date],"&gt;="&amp;BG$77,[1]!Resources[Unique Key],$AI106,[1]!Resources[Availability '#],"&gt;="&amp;2)</f>
        <v>0</v>
      </c>
      <c r="BH106" s="6">
        <f>SUMIFS([1]!Resources[Summer Rating],[1]!Resources[COD],"&lt;="&amp;BH$77,[1]!Resources[Retirement Date],"&gt;="&amp;BH$77,[1]!Resources[Unique Key],$AI106,[1]!Resources[Availability '#],"&gt;="&amp;2)</f>
        <v>0</v>
      </c>
      <c r="BI106" s="6">
        <f>SUMIFS([1]!Resources[Summer Rating],[1]!Resources[COD],"&lt;="&amp;BI$77,[1]!Resources[Retirement Date],"&gt;="&amp;BI$77,[1]!Resources[Unique Key],$AI106,[1]!Resources[Availability '#],"&gt;="&amp;2)</f>
        <v>0</v>
      </c>
      <c r="BK106" s="5" t="s">
        <v>72</v>
      </c>
      <c r="BL106" s="20">
        <v>8.4700000000000006</v>
      </c>
      <c r="BM106" s="20">
        <v>8.4700000000000006</v>
      </c>
      <c r="BN106" s="20">
        <v>8.4700000000000006</v>
      </c>
      <c r="BO106" s="20">
        <v>6.3109999999999999</v>
      </c>
      <c r="BP106" s="20">
        <v>6.3109999999999999</v>
      </c>
      <c r="BQ106" s="20">
        <v>6.3109999999999999</v>
      </c>
      <c r="BR106" s="20">
        <v>6.3109999999999999</v>
      </c>
      <c r="BS106" s="20">
        <v>6.3109999999999999</v>
      </c>
      <c r="BT106" s="20">
        <v>6.3109999999999999</v>
      </c>
      <c r="BU106" s="20">
        <v>6.3109999999999999</v>
      </c>
      <c r="BV106" s="20">
        <v>6.3109999999999999</v>
      </c>
      <c r="BW106" s="20">
        <v>0</v>
      </c>
      <c r="BX106" s="20">
        <v>0</v>
      </c>
      <c r="BY106" s="20">
        <v>0</v>
      </c>
      <c r="BZ106" s="20">
        <v>0</v>
      </c>
      <c r="CA106" s="20">
        <v>0</v>
      </c>
      <c r="CB106" s="20">
        <v>0</v>
      </c>
      <c r="CC106" s="20">
        <v>0</v>
      </c>
      <c r="CD106" s="20">
        <v>0</v>
      </c>
      <c r="CE106" s="20">
        <v>0</v>
      </c>
      <c r="CF106" s="20">
        <v>0</v>
      </c>
      <c r="CG106" s="20">
        <v>0</v>
      </c>
      <c r="CH106" s="20">
        <v>0</v>
      </c>
      <c r="CI106" s="20">
        <v>0</v>
      </c>
      <c r="CJ106" s="20">
        <v>0</v>
      </c>
      <c r="CK106" s="20">
        <v>0</v>
      </c>
      <c r="CM106" s="5" t="s">
        <v>72</v>
      </c>
      <c r="CN106" s="21">
        <v>7.516</v>
      </c>
      <c r="CO106" s="22">
        <v>7.516</v>
      </c>
      <c r="CP106" s="22">
        <v>7.516</v>
      </c>
      <c r="CQ106" s="22">
        <v>5.7069999999999999</v>
      </c>
      <c r="CR106" s="22">
        <v>5.7069999999999999</v>
      </c>
      <c r="CS106" s="22">
        <v>5.7069999999999999</v>
      </c>
      <c r="CT106" s="22">
        <v>5.7069999999999999</v>
      </c>
      <c r="CU106" s="22">
        <v>5.7069999999999999</v>
      </c>
      <c r="CV106" s="22">
        <v>5.7069999999999999</v>
      </c>
      <c r="CW106" s="22">
        <v>5.7069999999999999</v>
      </c>
      <c r="CX106" s="22">
        <v>5.7069999999999999</v>
      </c>
      <c r="CY106" s="22">
        <v>0</v>
      </c>
      <c r="CZ106" s="22">
        <v>0</v>
      </c>
      <c r="DA106" s="22">
        <v>0</v>
      </c>
      <c r="DB106" s="22">
        <v>0</v>
      </c>
      <c r="DC106" s="22">
        <v>0</v>
      </c>
      <c r="DD106" s="22">
        <v>0</v>
      </c>
      <c r="DE106" s="22">
        <v>0</v>
      </c>
      <c r="DF106" s="22">
        <v>0</v>
      </c>
      <c r="DG106" s="22">
        <v>0</v>
      </c>
      <c r="DH106" s="22">
        <v>0</v>
      </c>
      <c r="DI106" s="22">
        <v>0</v>
      </c>
      <c r="DJ106" s="22">
        <v>0</v>
      </c>
      <c r="DK106" s="22">
        <v>0</v>
      </c>
      <c r="DL106" s="22">
        <v>0</v>
      </c>
      <c r="DM106" s="22">
        <v>0</v>
      </c>
      <c r="DO106" s="5" t="s">
        <v>72</v>
      </c>
      <c r="DP106" s="23">
        <v>0.83</v>
      </c>
      <c r="DQ106" s="23">
        <v>0.83</v>
      </c>
      <c r="DR106" s="23">
        <v>0.83</v>
      </c>
      <c r="DS106" s="23">
        <v>0.83</v>
      </c>
      <c r="DT106" s="23">
        <v>0.83</v>
      </c>
      <c r="DU106" s="23">
        <v>0.83</v>
      </c>
      <c r="DV106" s="23">
        <v>0.83</v>
      </c>
      <c r="DW106" s="23">
        <v>0.83</v>
      </c>
      <c r="DX106" s="23">
        <v>0.83</v>
      </c>
      <c r="DY106" s="23">
        <v>0.83</v>
      </c>
      <c r="DZ106" s="23">
        <v>0.83</v>
      </c>
      <c r="EA106" s="23">
        <v>0</v>
      </c>
      <c r="EB106" s="23">
        <v>0</v>
      </c>
      <c r="EC106" s="23">
        <v>0</v>
      </c>
      <c r="ED106" s="23">
        <v>0</v>
      </c>
      <c r="EE106" s="23">
        <v>0</v>
      </c>
      <c r="EF106" s="23">
        <v>0</v>
      </c>
      <c r="EG106" s="23">
        <v>0</v>
      </c>
      <c r="EH106" s="23">
        <v>0</v>
      </c>
      <c r="EI106" s="23">
        <v>0</v>
      </c>
      <c r="EJ106" s="23">
        <v>0</v>
      </c>
      <c r="EK106" s="23">
        <v>0</v>
      </c>
      <c r="EL106" s="23">
        <v>0</v>
      </c>
      <c r="EM106" s="23">
        <v>0</v>
      </c>
      <c r="EN106" s="23">
        <v>0</v>
      </c>
      <c r="EO106" s="23">
        <v>0</v>
      </c>
      <c r="EP106" s="24">
        <f ca="1">IFERROR(INDEX('[1]GenX Resources'!$AP$10:$AP$46,MATCH(DO106,'[1]GenX Resources'!$B$10:$B$46,0)),0)</f>
        <v>0.57999999999999996</v>
      </c>
      <c r="EQ106" s="2" t="b">
        <f t="shared" ca="1" si="35"/>
        <v>1</v>
      </c>
      <c r="ES106" s="25">
        <f ca="1">IFERROR(INDEX('[1]GenX Resources'!$AD:$AD,MATCH($G106,'[1]GenX Resources'!$B:$B,0)) - IF(OR(INDEX('[1]GenX Resources'!$L:$L,MATCH($G106,'[1]GenX Resources'!$B:$B,0)),ISNUMBER(SEARCH("New Generic",$G106))),0,INDEX('[1]GenX Resources'!$M:$M,MATCH($G106,'[1]GenX Resources'!$B:$B,0))),0)</f>
        <v>70000</v>
      </c>
      <c r="EU106" s="5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</row>
    <row r="107" spans="6:177" ht="16" x14ac:dyDescent="0.2">
      <c r="F107" s="19" t="str">
        <f>IFERROR(INDEX('[1]GenX Resources'!$A$10:$A$76,MATCH(G107,'[1]GenX Resources'!$B$10:$B$76,0)),"")</f>
        <v>Gas CCGT</v>
      </c>
      <c r="G107" s="5" t="s">
        <v>73</v>
      </c>
      <c r="H107" s="6">
        <v>0</v>
      </c>
      <c r="I107" s="6">
        <v>0</v>
      </c>
      <c r="J107" s="6">
        <v>645</v>
      </c>
      <c r="K107" s="6">
        <v>645</v>
      </c>
      <c r="L107" s="6">
        <v>645</v>
      </c>
      <c r="M107" s="6">
        <v>645</v>
      </c>
      <c r="N107" s="6">
        <v>645</v>
      </c>
      <c r="O107" s="6">
        <v>645</v>
      </c>
      <c r="P107" s="6">
        <v>645</v>
      </c>
      <c r="Q107" s="6">
        <v>645</v>
      </c>
      <c r="R107" s="6">
        <v>645</v>
      </c>
      <c r="S107" s="6">
        <v>645</v>
      </c>
      <c r="T107" s="6">
        <v>645</v>
      </c>
      <c r="U107" s="6">
        <v>645</v>
      </c>
      <c r="V107" s="6">
        <v>645</v>
      </c>
      <c r="W107" s="6">
        <v>645</v>
      </c>
      <c r="X107" s="6">
        <v>645</v>
      </c>
      <c r="Y107" s="6">
        <v>645</v>
      </c>
      <c r="Z107" s="6">
        <v>645</v>
      </c>
      <c r="AA107" s="6">
        <v>645</v>
      </c>
      <c r="AB107" s="6">
        <v>645</v>
      </c>
      <c r="AC107" s="6">
        <v>645</v>
      </c>
      <c r="AD107" s="6">
        <v>645</v>
      </c>
      <c r="AE107" s="6">
        <v>645</v>
      </c>
      <c r="AF107" s="6">
        <v>645</v>
      </c>
      <c r="AG107" s="6">
        <v>645</v>
      </c>
      <c r="AI107" s="5" t="s">
        <v>73</v>
      </c>
      <c r="AJ107" s="6">
        <f>SUMIFS([1]!Resources[Summer Rating],[1]!Resources[COD],"&lt;="&amp;AJ$77,[1]!Resources[Retirement Date],"&gt;="&amp;AJ$77,[1]!Resources[Unique Key],$AI107,[1]!Resources[Availability '#],"&gt;="&amp;2)</f>
        <v>0</v>
      </c>
      <c r="AK107" s="6">
        <f>SUMIFS([1]!Resources[Summer Rating],[1]!Resources[COD],"&lt;="&amp;AK$77,[1]!Resources[Retirement Date],"&gt;="&amp;AK$77,[1]!Resources[Unique Key],$AI107,[1]!Resources[Availability '#],"&gt;="&amp;2)</f>
        <v>0</v>
      </c>
      <c r="AL107" s="6">
        <f>SUMIFS([1]!Resources[Summer Rating],[1]!Resources[COD],"&lt;="&amp;AL$77,[1]!Resources[Retirement Date],"&gt;="&amp;AL$77,[1]!Resources[Unique Key],$AI107,[1]!Resources[Availability '#],"&gt;="&amp;2)</f>
        <v>0</v>
      </c>
      <c r="AM107" s="6">
        <f>SUMIFS([1]!Resources[Summer Rating],[1]!Resources[COD],"&lt;="&amp;AM$77,[1]!Resources[Retirement Date],"&gt;="&amp;AM$77,[1]!Resources[Unique Key],$AI107,[1]!Resources[Availability '#],"&gt;="&amp;2)</f>
        <v>0</v>
      </c>
      <c r="AN107" s="6">
        <f>SUMIFS([1]!Resources[Summer Rating],[1]!Resources[COD],"&lt;="&amp;AN$77,[1]!Resources[Retirement Date],"&gt;="&amp;AN$77,[1]!Resources[Unique Key],$AI107,[1]!Resources[Availability '#],"&gt;="&amp;2)</f>
        <v>0</v>
      </c>
      <c r="AO107" s="6">
        <f>SUMIFS([1]!Resources[Summer Rating],[1]!Resources[COD],"&lt;="&amp;AO$77,[1]!Resources[Retirement Date],"&gt;="&amp;AO$77,[1]!Resources[Unique Key],$AI107,[1]!Resources[Availability '#],"&gt;="&amp;2)</f>
        <v>0</v>
      </c>
      <c r="AP107" s="6">
        <f>SUMIFS([1]!Resources[Summer Rating],[1]!Resources[COD],"&lt;="&amp;AP$77,[1]!Resources[Retirement Date],"&gt;="&amp;AP$77,[1]!Resources[Unique Key],$AI107,[1]!Resources[Availability '#],"&gt;="&amp;2)</f>
        <v>0</v>
      </c>
      <c r="AQ107" s="6">
        <f>SUMIFS([1]!Resources[Summer Rating],[1]!Resources[COD],"&lt;="&amp;AQ$77,[1]!Resources[Retirement Date],"&gt;="&amp;AQ$77,[1]!Resources[Unique Key],$AI107,[1]!Resources[Availability '#],"&gt;="&amp;2)</f>
        <v>0</v>
      </c>
      <c r="AR107" s="6">
        <f>SUMIFS([1]!Resources[Summer Rating],[1]!Resources[COD],"&lt;="&amp;AR$77,[1]!Resources[Retirement Date],"&gt;="&amp;AR$77,[1]!Resources[Unique Key],$AI107,[1]!Resources[Availability '#],"&gt;="&amp;2)</f>
        <v>0</v>
      </c>
      <c r="AS107" s="6">
        <f>SUMIFS([1]!Resources[Summer Rating],[1]!Resources[COD],"&lt;="&amp;AS$77,[1]!Resources[Retirement Date],"&gt;="&amp;AS$77,[1]!Resources[Unique Key],$AI107,[1]!Resources[Availability '#],"&gt;="&amp;2)</f>
        <v>0</v>
      </c>
      <c r="AT107" s="6">
        <f>SUMIFS([1]!Resources[Summer Rating],[1]!Resources[COD],"&lt;="&amp;AT$77,[1]!Resources[Retirement Date],"&gt;="&amp;AT$77,[1]!Resources[Unique Key],$AI107,[1]!Resources[Availability '#],"&gt;="&amp;2)</f>
        <v>0</v>
      </c>
      <c r="AU107" s="6">
        <f>SUMIFS([1]!Resources[Summer Rating],[1]!Resources[COD],"&lt;="&amp;AU$77,[1]!Resources[Retirement Date],"&gt;="&amp;AU$77,[1]!Resources[Unique Key],$AI107,[1]!Resources[Availability '#],"&gt;="&amp;2)</f>
        <v>0</v>
      </c>
      <c r="AV107" s="6">
        <f>SUMIFS([1]!Resources[Summer Rating],[1]!Resources[COD],"&lt;="&amp;AV$77,[1]!Resources[Retirement Date],"&gt;="&amp;AV$77,[1]!Resources[Unique Key],$AI107,[1]!Resources[Availability '#],"&gt;="&amp;2)</f>
        <v>0</v>
      </c>
      <c r="AW107" s="6">
        <f>SUMIFS([1]!Resources[Summer Rating],[1]!Resources[COD],"&lt;="&amp;AW$77,[1]!Resources[Retirement Date],"&gt;="&amp;AW$77,[1]!Resources[Unique Key],$AI107,[1]!Resources[Availability '#],"&gt;="&amp;2)</f>
        <v>0</v>
      </c>
      <c r="AX107" s="6">
        <f>SUMIFS([1]!Resources[Summer Rating],[1]!Resources[COD],"&lt;="&amp;AX$77,[1]!Resources[Retirement Date],"&gt;="&amp;AX$77,[1]!Resources[Unique Key],$AI107,[1]!Resources[Availability '#],"&gt;="&amp;2)</f>
        <v>0</v>
      </c>
      <c r="AY107" s="6">
        <f>SUMIFS([1]!Resources[Summer Rating],[1]!Resources[COD],"&lt;="&amp;AY$77,[1]!Resources[Retirement Date],"&gt;="&amp;AY$77,[1]!Resources[Unique Key],$AI107,[1]!Resources[Availability '#],"&gt;="&amp;2)</f>
        <v>0</v>
      </c>
      <c r="AZ107" s="6">
        <f>SUMIFS([1]!Resources[Summer Rating],[1]!Resources[COD],"&lt;="&amp;AZ$77,[1]!Resources[Retirement Date],"&gt;="&amp;AZ$77,[1]!Resources[Unique Key],$AI107,[1]!Resources[Availability '#],"&gt;="&amp;2)</f>
        <v>0</v>
      </c>
      <c r="BA107" s="6">
        <f>SUMIFS([1]!Resources[Summer Rating],[1]!Resources[COD],"&lt;="&amp;BA$77,[1]!Resources[Retirement Date],"&gt;="&amp;BA$77,[1]!Resources[Unique Key],$AI107,[1]!Resources[Availability '#],"&gt;="&amp;2)</f>
        <v>0</v>
      </c>
      <c r="BB107" s="6">
        <f>SUMIFS([1]!Resources[Summer Rating],[1]!Resources[COD],"&lt;="&amp;BB$77,[1]!Resources[Retirement Date],"&gt;="&amp;BB$77,[1]!Resources[Unique Key],$AI107,[1]!Resources[Availability '#],"&gt;="&amp;2)</f>
        <v>0</v>
      </c>
      <c r="BC107" s="6">
        <f>SUMIFS([1]!Resources[Summer Rating],[1]!Resources[COD],"&lt;="&amp;BC$77,[1]!Resources[Retirement Date],"&gt;="&amp;BC$77,[1]!Resources[Unique Key],$AI107,[1]!Resources[Availability '#],"&gt;="&amp;2)</f>
        <v>0</v>
      </c>
      <c r="BD107" s="6">
        <f>SUMIFS([1]!Resources[Summer Rating],[1]!Resources[COD],"&lt;="&amp;BD$77,[1]!Resources[Retirement Date],"&gt;="&amp;BD$77,[1]!Resources[Unique Key],$AI107,[1]!Resources[Availability '#],"&gt;="&amp;2)</f>
        <v>0</v>
      </c>
      <c r="BE107" s="6">
        <f>SUMIFS([1]!Resources[Summer Rating],[1]!Resources[COD],"&lt;="&amp;BE$77,[1]!Resources[Retirement Date],"&gt;="&amp;BE$77,[1]!Resources[Unique Key],$AI107,[1]!Resources[Availability '#],"&gt;="&amp;2)</f>
        <v>0</v>
      </c>
      <c r="BF107" s="6">
        <f>SUMIFS([1]!Resources[Summer Rating],[1]!Resources[COD],"&lt;="&amp;BF$77,[1]!Resources[Retirement Date],"&gt;="&amp;BF$77,[1]!Resources[Unique Key],$AI107,[1]!Resources[Availability '#],"&gt;="&amp;2)</f>
        <v>0</v>
      </c>
      <c r="BG107" s="6">
        <f>SUMIFS([1]!Resources[Summer Rating],[1]!Resources[COD],"&lt;="&amp;BG$77,[1]!Resources[Retirement Date],"&gt;="&amp;BG$77,[1]!Resources[Unique Key],$AI107,[1]!Resources[Availability '#],"&gt;="&amp;2)</f>
        <v>0</v>
      </c>
      <c r="BH107" s="6">
        <f>SUMIFS([1]!Resources[Summer Rating],[1]!Resources[COD],"&lt;="&amp;BH$77,[1]!Resources[Retirement Date],"&gt;="&amp;BH$77,[1]!Resources[Unique Key],$AI107,[1]!Resources[Availability '#],"&gt;="&amp;2)</f>
        <v>0</v>
      </c>
      <c r="BI107" s="6">
        <f>SUMIFS([1]!Resources[Summer Rating],[1]!Resources[COD],"&lt;="&amp;BI$77,[1]!Resources[Retirement Date],"&gt;="&amp;BI$77,[1]!Resources[Unique Key],$AI107,[1]!Resources[Availability '#],"&gt;="&amp;2)</f>
        <v>0</v>
      </c>
      <c r="BK107" s="5" t="s">
        <v>73</v>
      </c>
      <c r="BL107" s="20">
        <v>0</v>
      </c>
      <c r="BM107" s="20">
        <v>0</v>
      </c>
      <c r="BN107" s="20">
        <v>1.413</v>
      </c>
      <c r="BO107" s="20">
        <v>1.413</v>
      </c>
      <c r="BP107" s="20">
        <v>1.413</v>
      </c>
      <c r="BQ107" s="20">
        <v>1.413</v>
      </c>
      <c r="BR107" s="20">
        <v>1.413</v>
      </c>
      <c r="BS107" s="20">
        <v>1.413</v>
      </c>
      <c r="BT107" s="20">
        <v>1.413</v>
      </c>
      <c r="BU107" s="20">
        <v>1.413</v>
      </c>
      <c r="BV107" s="20">
        <v>1.413</v>
      </c>
      <c r="BW107" s="20">
        <v>1.413</v>
      </c>
      <c r="BX107" s="20">
        <v>1.413</v>
      </c>
      <c r="BY107" s="20">
        <v>1.413</v>
      </c>
      <c r="BZ107" s="20">
        <v>1.413</v>
      </c>
      <c r="CA107" s="20">
        <v>1.413</v>
      </c>
      <c r="CB107" s="20">
        <v>1.413</v>
      </c>
      <c r="CC107" s="20">
        <v>1.413</v>
      </c>
      <c r="CD107" s="20">
        <v>1.413</v>
      </c>
      <c r="CE107" s="20">
        <v>1.413</v>
      </c>
      <c r="CF107" s="20">
        <v>1.413</v>
      </c>
      <c r="CG107" s="20">
        <v>1.413</v>
      </c>
      <c r="CH107" s="20">
        <v>1.413</v>
      </c>
      <c r="CI107" s="20">
        <v>1.413</v>
      </c>
      <c r="CJ107" s="20">
        <v>1.413</v>
      </c>
      <c r="CK107" s="20">
        <v>1.413</v>
      </c>
      <c r="CM107" s="5" t="s">
        <v>73</v>
      </c>
      <c r="CN107" s="21">
        <v>0</v>
      </c>
      <c r="CO107" s="22">
        <v>0</v>
      </c>
      <c r="CP107" s="22">
        <v>0.47199999999999998</v>
      </c>
      <c r="CQ107" s="22">
        <v>0.47199999999999998</v>
      </c>
      <c r="CR107" s="22">
        <v>0.47199999999999998</v>
      </c>
      <c r="CS107" s="22">
        <v>0.47199999999999998</v>
      </c>
      <c r="CT107" s="22">
        <v>0.47199999999999998</v>
      </c>
      <c r="CU107" s="22">
        <v>0.47199999999999998</v>
      </c>
      <c r="CV107" s="22">
        <v>0.47199999999999998</v>
      </c>
      <c r="CW107" s="22">
        <v>0.47199999999999998</v>
      </c>
      <c r="CX107" s="22">
        <v>0.47199999999999998</v>
      </c>
      <c r="CY107" s="22">
        <v>0.47199999999999998</v>
      </c>
      <c r="CZ107" s="22">
        <v>0.47199999999999998</v>
      </c>
      <c r="DA107" s="22">
        <v>0.47199999999999998</v>
      </c>
      <c r="DB107" s="22">
        <v>0.47199999999999998</v>
      </c>
      <c r="DC107" s="22">
        <v>0.47199999999999998</v>
      </c>
      <c r="DD107" s="22">
        <v>0.47199999999999998</v>
      </c>
      <c r="DE107" s="22">
        <v>0.47199999999999998</v>
      </c>
      <c r="DF107" s="22">
        <v>0.47199999999999998</v>
      </c>
      <c r="DG107" s="22">
        <v>0.47199999999999998</v>
      </c>
      <c r="DH107" s="22">
        <v>0.47199999999999998</v>
      </c>
      <c r="DI107" s="22">
        <v>0.47199999999999998</v>
      </c>
      <c r="DJ107" s="22">
        <v>0.47199999999999998</v>
      </c>
      <c r="DK107" s="22">
        <v>0.47199999999999998</v>
      </c>
      <c r="DL107" s="22">
        <v>0.47199999999999998</v>
      </c>
      <c r="DM107" s="22">
        <v>0.47199999999999998</v>
      </c>
      <c r="DO107" s="5" t="s">
        <v>73</v>
      </c>
      <c r="DP107" s="23">
        <v>0</v>
      </c>
      <c r="DQ107" s="23">
        <v>0</v>
      </c>
      <c r="DR107" s="23">
        <v>0.25</v>
      </c>
      <c r="DS107" s="23">
        <v>0.25</v>
      </c>
      <c r="DT107" s="23">
        <v>0.25</v>
      </c>
      <c r="DU107" s="23">
        <v>0.25</v>
      </c>
      <c r="DV107" s="23">
        <v>0.25</v>
      </c>
      <c r="DW107" s="23">
        <v>0.25</v>
      </c>
      <c r="DX107" s="23">
        <v>0.25</v>
      </c>
      <c r="DY107" s="23">
        <v>0.25</v>
      </c>
      <c r="DZ107" s="23">
        <v>0.25</v>
      </c>
      <c r="EA107" s="23">
        <v>0.25</v>
      </c>
      <c r="EB107" s="23">
        <v>0.25</v>
      </c>
      <c r="EC107" s="23">
        <v>0.25</v>
      </c>
      <c r="ED107" s="23">
        <v>0.25</v>
      </c>
      <c r="EE107" s="23">
        <v>0.25</v>
      </c>
      <c r="EF107" s="23">
        <v>0.25</v>
      </c>
      <c r="EG107" s="23">
        <v>0.25</v>
      </c>
      <c r="EH107" s="23">
        <v>0.25</v>
      </c>
      <c r="EI107" s="23">
        <v>0.25</v>
      </c>
      <c r="EJ107" s="23">
        <v>0.25</v>
      </c>
      <c r="EK107" s="23">
        <v>0.25</v>
      </c>
      <c r="EL107" s="23">
        <v>0.25</v>
      </c>
      <c r="EM107" s="23">
        <v>0.25</v>
      </c>
      <c r="EN107" s="23">
        <v>0.25</v>
      </c>
      <c r="EO107" s="23">
        <v>0.25</v>
      </c>
      <c r="EP107" s="24">
        <f ca="1">IFERROR(INDEX('[1]GenX Resources'!$AP$10:$AP$46,MATCH(DO107,'[1]GenX Resources'!$B$10:$B$46,0)),0)</f>
        <v>0</v>
      </c>
      <c r="EQ107" s="2" t="b">
        <f t="shared" ca="1" si="35"/>
        <v>1</v>
      </c>
      <c r="ES107" s="25">
        <f ca="1">IFERROR(INDEX('[1]GenX Resources'!$AD:$AD,MATCH($G107,'[1]GenX Resources'!$B:$B,0)) - IF(OR(INDEX('[1]GenX Resources'!$L:$L,MATCH($G107,'[1]GenX Resources'!$B:$B,0)),ISNUMBER(SEARCH("New Generic",$G107))),0,INDEX('[1]GenX Resources'!$M:$M,MATCH($G107,'[1]GenX Resources'!$B:$B,0))),0)</f>
        <v>0</v>
      </c>
      <c r="EU107" s="5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</row>
    <row r="108" spans="6:177" ht="16" x14ac:dyDescent="0.2">
      <c r="F108" s="19" t="str">
        <f>IFERROR(INDEX('[1]GenX Resources'!$A$10:$A$76,MATCH(G108,'[1]GenX Resources'!$B$10:$B$76,0)),"")</f>
        <v>Gas CT</v>
      </c>
      <c r="G108" s="5" t="s">
        <v>74</v>
      </c>
      <c r="H108" s="6">
        <v>170</v>
      </c>
      <c r="I108" s="6">
        <v>147</v>
      </c>
      <c r="J108" s="6">
        <v>147</v>
      </c>
      <c r="K108" s="6">
        <v>147</v>
      </c>
      <c r="L108" s="6">
        <v>147</v>
      </c>
      <c r="M108" s="6">
        <v>147</v>
      </c>
      <c r="N108" s="6">
        <v>147</v>
      </c>
      <c r="O108" s="6">
        <v>147</v>
      </c>
      <c r="P108" s="6">
        <v>147</v>
      </c>
      <c r="Q108" s="6">
        <v>147</v>
      </c>
      <c r="R108" s="6">
        <v>147</v>
      </c>
      <c r="S108" s="6">
        <v>147</v>
      </c>
      <c r="T108" s="6">
        <v>147</v>
      </c>
      <c r="U108" s="6">
        <v>147</v>
      </c>
      <c r="V108" s="6">
        <v>147</v>
      </c>
      <c r="W108" s="6">
        <v>147</v>
      </c>
      <c r="X108" s="6">
        <v>147</v>
      </c>
      <c r="Y108" s="6">
        <v>147</v>
      </c>
      <c r="Z108" s="6">
        <v>147</v>
      </c>
      <c r="AA108" s="6">
        <v>147</v>
      </c>
      <c r="AB108" s="6">
        <v>147</v>
      </c>
      <c r="AC108" s="6">
        <v>147</v>
      </c>
      <c r="AD108" s="6">
        <v>147</v>
      </c>
      <c r="AE108" s="6">
        <v>147</v>
      </c>
      <c r="AF108" s="6">
        <v>147</v>
      </c>
      <c r="AG108" s="6">
        <v>147</v>
      </c>
      <c r="AI108" s="5" t="s">
        <v>74</v>
      </c>
      <c r="AJ108" s="6">
        <f>SUMIFS([1]!Resources[Summer Rating],[1]!Resources[COD],"&lt;="&amp;AJ$77,[1]!Resources[Retirement Date],"&gt;="&amp;AJ$77,[1]!Resources[Unique Key],$AI108,[1]!Resources[Availability '#],"&gt;="&amp;2)</f>
        <v>0</v>
      </c>
      <c r="AK108" s="6">
        <f>SUMIFS([1]!Resources[Summer Rating],[1]!Resources[COD],"&lt;="&amp;AK$77,[1]!Resources[Retirement Date],"&gt;="&amp;AK$77,[1]!Resources[Unique Key],$AI108,[1]!Resources[Availability '#],"&gt;="&amp;2)</f>
        <v>0</v>
      </c>
      <c r="AL108" s="6">
        <f>SUMIFS([1]!Resources[Summer Rating],[1]!Resources[COD],"&lt;="&amp;AL$77,[1]!Resources[Retirement Date],"&gt;="&amp;AL$77,[1]!Resources[Unique Key],$AI108,[1]!Resources[Availability '#],"&gt;="&amp;2)</f>
        <v>0</v>
      </c>
      <c r="AM108" s="6">
        <f>SUMIFS([1]!Resources[Summer Rating],[1]!Resources[COD],"&lt;="&amp;AM$77,[1]!Resources[Retirement Date],"&gt;="&amp;AM$77,[1]!Resources[Unique Key],$AI108,[1]!Resources[Availability '#],"&gt;="&amp;2)</f>
        <v>0</v>
      </c>
      <c r="AN108" s="6">
        <f>SUMIFS([1]!Resources[Summer Rating],[1]!Resources[COD],"&lt;="&amp;AN$77,[1]!Resources[Retirement Date],"&gt;="&amp;AN$77,[1]!Resources[Unique Key],$AI108,[1]!Resources[Availability '#],"&gt;="&amp;2)</f>
        <v>0</v>
      </c>
      <c r="AO108" s="6">
        <f>SUMIFS([1]!Resources[Summer Rating],[1]!Resources[COD],"&lt;="&amp;AO$77,[1]!Resources[Retirement Date],"&gt;="&amp;AO$77,[1]!Resources[Unique Key],$AI108,[1]!Resources[Availability '#],"&gt;="&amp;2)</f>
        <v>0</v>
      </c>
      <c r="AP108" s="6">
        <f>SUMIFS([1]!Resources[Summer Rating],[1]!Resources[COD],"&lt;="&amp;AP$77,[1]!Resources[Retirement Date],"&gt;="&amp;AP$77,[1]!Resources[Unique Key],$AI108,[1]!Resources[Availability '#],"&gt;="&amp;2)</f>
        <v>0</v>
      </c>
      <c r="AQ108" s="6">
        <f>SUMIFS([1]!Resources[Summer Rating],[1]!Resources[COD],"&lt;="&amp;AQ$77,[1]!Resources[Retirement Date],"&gt;="&amp;AQ$77,[1]!Resources[Unique Key],$AI108,[1]!Resources[Availability '#],"&gt;="&amp;2)</f>
        <v>0</v>
      </c>
      <c r="AR108" s="6">
        <f>SUMIFS([1]!Resources[Summer Rating],[1]!Resources[COD],"&lt;="&amp;AR$77,[1]!Resources[Retirement Date],"&gt;="&amp;AR$77,[1]!Resources[Unique Key],$AI108,[1]!Resources[Availability '#],"&gt;="&amp;2)</f>
        <v>0</v>
      </c>
      <c r="AS108" s="6">
        <f>SUMIFS([1]!Resources[Summer Rating],[1]!Resources[COD],"&lt;="&amp;AS$77,[1]!Resources[Retirement Date],"&gt;="&amp;AS$77,[1]!Resources[Unique Key],$AI108,[1]!Resources[Availability '#],"&gt;="&amp;2)</f>
        <v>0</v>
      </c>
      <c r="AT108" s="6">
        <f>SUMIFS([1]!Resources[Summer Rating],[1]!Resources[COD],"&lt;="&amp;AT$77,[1]!Resources[Retirement Date],"&gt;="&amp;AT$77,[1]!Resources[Unique Key],$AI108,[1]!Resources[Availability '#],"&gt;="&amp;2)</f>
        <v>0</v>
      </c>
      <c r="AU108" s="6">
        <f>SUMIFS([1]!Resources[Summer Rating],[1]!Resources[COD],"&lt;="&amp;AU$77,[1]!Resources[Retirement Date],"&gt;="&amp;AU$77,[1]!Resources[Unique Key],$AI108,[1]!Resources[Availability '#],"&gt;="&amp;2)</f>
        <v>0</v>
      </c>
      <c r="AV108" s="6">
        <f>SUMIFS([1]!Resources[Summer Rating],[1]!Resources[COD],"&lt;="&amp;AV$77,[1]!Resources[Retirement Date],"&gt;="&amp;AV$77,[1]!Resources[Unique Key],$AI108,[1]!Resources[Availability '#],"&gt;="&amp;2)</f>
        <v>0</v>
      </c>
      <c r="AW108" s="6">
        <f>SUMIFS([1]!Resources[Summer Rating],[1]!Resources[COD],"&lt;="&amp;AW$77,[1]!Resources[Retirement Date],"&gt;="&amp;AW$77,[1]!Resources[Unique Key],$AI108,[1]!Resources[Availability '#],"&gt;="&amp;2)</f>
        <v>0</v>
      </c>
      <c r="AX108" s="6">
        <f>SUMIFS([1]!Resources[Summer Rating],[1]!Resources[COD],"&lt;="&amp;AX$77,[1]!Resources[Retirement Date],"&gt;="&amp;AX$77,[1]!Resources[Unique Key],$AI108,[1]!Resources[Availability '#],"&gt;="&amp;2)</f>
        <v>0</v>
      </c>
      <c r="AY108" s="6">
        <f>SUMIFS([1]!Resources[Summer Rating],[1]!Resources[COD],"&lt;="&amp;AY$77,[1]!Resources[Retirement Date],"&gt;="&amp;AY$77,[1]!Resources[Unique Key],$AI108,[1]!Resources[Availability '#],"&gt;="&amp;2)</f>
        <v>0</v>
      </c>
      <c r="AZ108" s="6">
        <f>SUMIFS([1]!Resources[Summer Rating],[1]!Resources[COD],"&lt;="&amp;AZ$77,[1]!Resources[Retirement Date],"&gt;="&amp;AZ$77,[1]!Resources[Unique Key],$AI108,[1]!Resources[Availability '#],"&gt;="&amp;2)</f>
        <v>0</v>
      </c>
      <c r="BA108" s="6">
        <f>SUMIFS([1]!Resources[Summer Rating],[1]!Resources[COD],"&lt;="&amp;BA$77,[1]!Resources[Retirement Date],"&gt;="&amp;BA$77,[1]!Resources[Unique Key],$AI108,[1]!Resources[Availability '#],"&gt;="&amp;2)</f>
        <v>0</v>
      </c>
      <c r="BB108" s="6">
        <f>SUMIFS([1]!Resources[Summer Rating],[1]!Resources[COD],"&lt;="&amp;BB$77,[1]!Resources[Retirement Date],"&gt;="&amp;BB$77,[1]!Resources[Unique Key],$AI108,[1]!Resources[Availability '#],"&gt;="&amp;2)</f>
        <v>0</v>
      </c>
      <c r="BC108" s="6">
        <f>SUMIFS([1]!Resources[Summer Rating],[1]!Resources[COD],"&lt;="&amp;BC$77,[1]!Resources[Retirement Date],"&gt;="&amp;BC$77,[1]!Resources[Unique Key],$AI108,[1]!Resources[Availability '#],"&gt;="&amp;2)</f>
        <v>0</v>
      </c>
      <c r="BD108" s="6">
        <f>SUMIFS([1]!Resources[Summer Rating],[1]!Resources[COD],"&lt;="&amp;BD$77,[1]!Resources[Retirement Date],"&gt;="&amp;BD$77,[1]!Resources[Unique Key],$AI108,[1]!Resources[Availability '#],"&gt;="&amp;2)</f>
        <v>0</v>
      </c>
      <c r="BE108" s="6">
        <f>SUMIFS([1]!Resources[Summer Rating],[1]!Resources[COD],"&lt;="&amp;BE$77,[1]!Resources[Retirement Date],"&gt;="&amp;BE$77,[1]!Resources[Unique Key],$AI108,[1]!Resources[Availability '#],"&gt;="&amp;2)</f>
        <v>0</v>
      </c>
      <c r="BF108" s="6">
        <f>SUMIFS([1]!Resources[Summer Rating],[1]!Resources[COD],"&lt;="&amp;BF$77,[1]!Resources[Retirement Date],"&gt;="&amp;BF$77,[1]!Resources[Unique Key],$AI108,[1]!Resources[Availability '#],"&gt;="&amp;2)</f>
        <v>0</v>
      </c>
      <c r="BG108" s="6">
        <f>SUMIFS([1]!Resources[Summer Rating],[1]!Resources[COD],"&lt;="&amp;BG$77,[1]!Resources[Retirement Date],"&gt;="&amp;BG$77,[1]!Resources[Unique Key],$AI108,[1]!Resources[Availability '#],"&gt;="&amp;2)</f>
        <v>0</v>
      </c>
      <c r="BH108" s="6">
        <f>SUMIFS([1]!Resources[Summer Rating],[1]!Resources[COD],"&lt;="&amp;BH$77,[1]!Resources[Retirement Date],"&gt;="&amp;BH$77,[1]!Resources[Unique Key],$AI108,[1]!Resources[Availability '#],"&gt;="&amp;2)</f>
        <v>0</v>
      </c>
      <c r="BI108" s="6">
        <f>SUMIFS([1]!Resources[Summer Rating],[1]!Resources[COD],"&lt;="&amp;BI$77,[1]!Resources[Retirement Date],"&gt;="&amp;BI$77,[1]!Resources[Unique Key],$AI108,[1]!Resources[Availability '#],"&gt;="&amp;2)</f>
        <v>0</v>
      </c>
      <c r="BK108" s="5" t="s">
        <v>74</v>
      </c>
      <c r="BL108" s="20">
        <v>0.41699999999999998</v>
      </c>
      <c r="BM108" s="20">
        <v>0.36099999999999999</v>
      </c>
      <c r="BN108" s="20">
        <v>0.36099999999999999</v>
      </c>
      <c r="BO108" s="20">
        <v>0.36099999999999999</v>
      </c>
      <c r="BP108" s="20">
        <v>0.36099999999999999</v>
      </c>
      <c r="BQ108" s="20">
        <v>0.36099999999999999</v>
      </c>
      <c r="BR108" s="20">
        <v>0.36099999999999999</v>
      </c>
      <c r="BS108" s="20">
        <v>0.36099999999999999</v>
      </c>
      <c r="BT108" s="20">
        <v>0.36099999999999999</v>
      </c>
      <c r="BU108" s="20">
        <v>0.36099999999999999</v>
      </c>
      <c r="BV108" s="20">
        <v>0.36099999999999999</v>
      </c>
      <c r="BW108" s="20">
        <v>0.36099999999999999</v>
      </c>
      <c r="BX108" s="20">
        <v>0.36099999999999999</v>
      </c>
      <c r="BY108" s="20">
        <v>0.36099999999999999</v>
      </c>
      <c r="BZ108" s="20">
        <v>0.36099999999999999</v>
      </c>
      <c r="CA108" s="20">
        <v>0.36099999999999999</v>
      </c>
      <c r="CB108" s="20">
        <v>0.36099999999999999</v>
      </c>
      <c r="CC108" s="20">
        <v>0.36099999999999999</v>
      </c>
      <c r="CD108" s="20">
        <v>0.36099999999999999</v>
      </c>
      <c r="CE108" s="20">
        <v>0.36099999999999999</v>
      </c>
      <c r="CF108" s="20">
        <v>0.36099999999999999</v>
      </c>
      <c r="CG108" s="20">
        <v>0.36099999999999999</v>
      </c>
      <c r="CH108" s="20">
        <v>0.36099999999999999</v>
      </c>
      <c r="CI108" s="20">
        <v>0.36099999999999999</v>
      </c>
      <c r="CJ108" s="20">
        <v>0.36099999999999999</v>
      </c>
      <c r="CK108" s="20">
        <v>0.36099999999999999</v>
      </c>
      <c r="CM108" s="5" t="s">
        <v>74</v>
      </c>
      <c r="CN108" s="21">
        <v>0.217</v>
      </c>
      <c r="CO108" s="22">
        <v>0.191</v>
      </c>
      <c r="CP108" s="22">
        <v>0.191</v>
      </c>
      <c r="CQ108" s="22">
        <v>0.191</v>
      </c>
      <c r="CR108" s="22">
        <v>0.191</v>
      </c>
      <c r="CS108" s="22">
        <v>0.191</v>
      </c>
      <c r="CT108" s="22">
        <v>0.191</v>
      </c>
      <c r="CU108" s="22">
        <v>0.191</v>
      </c>
      <c r="CV108" s="22">
        <v>0.191</v>
      </c>
      <c r="CW108" s="22">
        <v>0.191</v>
      </c>
      <c r="CX108" s="22">
        <v>0.191</v>
      </c>
      <c r="CY108" s="22">
        <v>0.191</v>
      </c>
      <c r="CZ108" s="22">
        <v>0.191</v>
      </c>
      <c r="DA108" s="22">
        <v>0.191</v>
      </c>
      <c r="DB108" s="22">
        <v>0.191</v>
      </c>
      <c r="DC108" s="22">
        <v>0.191</v>
      </c>
      <c r="DD108" s="22">
        <v>0.191</v>
      </c>
      <c r="DE108" s="22">
        <v>0.191</v>
      </c>
      <c r="DF108" s="22">
        <v>0.191</v>
      </c>
      <c r="DG108" s="22">
        <v>0.191</v>
      </c>
      <c r="DH108" s="22">
        <v>0.191</v>
      </c>
      <c r="DI108" s="22">
        <v>0.191</v>
      </c>
      <c r="DJ108" s="22">
        <v>0.191</v>
      </c>
      <c r="DK108" s="22">
        <v>0.191</v>
      </c>
      <c r="DL108" s="22">
        <v>0.191</v>
      </c>
      <c r="DM108" s="22">
        <v>0.191</v>
      </c>
      <c r="DO108" s="5" t="s">
        <v>74</v>
      </c>
      <c r="DP108" s="23">
        <v>0.28000000000000003</v>
      </c>
      <c r="DQ108" s="23">
        <v>0.28000000000000003</v>
      </c>
      <c r="DR108" s="23">
        <v>0.28000000000000003</v>
      </c>
      <c r="DS108" s="23">
        <v>0.28000000000000003</v>
      </c>
      <c r="DT108" s="23">
        <v>0.28000000000000003</v>
      </c>
      <c r="DU108" s="23">
        <v>0.28000000000000003</v>
      </c>
      <c r="DV108" s="23">
        <v>0.28000000000000003</v>
      </c>
      <c r="DW108" s="23">
        <v>0.28000000000000003</v>
      </c>
      <c r="DX108" s="23">
        <v>0.28000000000000003</v>
      </c>
      <c r="DY108" s="23">
        <v>0.28000000000000003</v>
      </c>
      <c r="DZ108" s="23">
        <v>0.28000000000000003</v>
      </c>
      <c r="EA108" s="23">
        <v>0.28000000000000003</v>
      </c>
      <c r="EB108" s="23">
        <v>0.28000000000000003</v>
      </c>
      <c r="EC108" s="23">
        <v>0.28000000000000003</v>
      </c>
      <c r="ED108" s="23">
        <v>0.28000000000000003</v>
      </c>
      <c r="EE108" s="23">
        <v>0.28000000000000003</v>
      </c>
      <c r="EF108" s="23">
        <v>0.28000000000000003</v>
      </c>
      <c r="EG108" s="23">
        <v>0.28000000000000003</v>
      </c>
      <c r="EH108" s="23">
        <v>0.28000000000000003</v>
      </c>
      <c r="EI108" s="23">
        <v>0.28000000000000003</v>
      </c>
      <c r="EJ108" s="23">
        <v>0.28000000000000003</v>
      </c>
      <c r="EK108" s="23">
        <v>0.28000000000000003</v>
      </c>
      <c r="EL108" s="23">
        <v>0.28000000000000003</v>
      </c>
      <c r="EM108" s="23">
        <v>0.28000000000000003</v>
      </c>
      <c r="EN108" s="23">
        <v>0.28000000000000003</v>
      </c>
      <c r="EO108" s="23">
        <v>0.28000000000000003</v>
      </c>
      <c r="EP108" s="24">
        <f ca="1">IFERROR(INDEX('[1]GenX Resources'!$AP$10:$AP$46,MATCH(DO108,'[1]GenX Resources'!$B$10:$B$46,0)),0)</f>
        <v>0.03</v>
      </c>
      <c r="EQ108" s="2" t="b">
        <f t="shared" ca="1" si="35"/>
        <v>1</v>
      </c>
      <c r="ES108" s="25">
        <f ca="1">IFERROR(INDEX('[1]GenX Resources'!$AD:$AD,MATCH($G108,'[1]GenX Resources'!$B:$B,0)) - IF(OR(INDEX('[1]GenX Resources'!$L:$L,MATCH($G108,'[1]GenX Resources'!$B:$B,0)),ISNUMBER(SEARCH("New Generic",$G108))),0,INDEX('[1]GenX Resources'!$M:$M,MATCH($G108,'[1]GenX Resources'!$B:$B,0))),0)</f>
        <v>25700</v>
      </c>
      <c r="EU108" s="5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</row>
    <row r="109" spans="6:177" ht="16" x14ac:dyDescent="0.2">
      <c r="F109" s="19" t="str">
        <f>IFERROR(INDEX('[1]GenX Resources'!$A$10:$A$76,MATCH(G109,'[1]GenX Resources'!$B$10:$B$76,0)),"")</f>
        <v>Coal</v>
      </c>
      <c r="G109" s="5" t="s">
        <v>75</v>
      </c>
      <c r="H109" s="6">
        <v>919</v>
      </c>
      <c r="I109" s="6">
        <v>919</v>
      </c>
      <c r="J109" s="6">
        <v>919</v>
      </c>
      <c r="K109" s="6">
        <v>919</v>
      </c>
      <c r="L109" s="6">
        <v>919</v>
      </c>
      <c r="M109" s="6">
        <v>919</v>
      </c>
      <c r="N109" s="6">
        <v>919</v>
      </c>
      <c r="O109" s="6">
        <v>919</v>
      </c>
      <c r="P109" s="6">
        <v>919</v>
      </c>
      <c r="Q109" s="6">
        <v>919</v>
      </c>
      <c r="R109" s="6">
        <v>919</v>
      </c>
      <c r="S109" s="6">
        <v>919</v>
      </c>
      <c r="T109" s="6">
        <v>919</v>
      </c>
      <c r="U109" s="6">
        <v>919</v>
      </c>
      <c r="V109" s="6">
        <v>919</v>
      </c>
      <c r="W109" s="6">
        <v>919</v>
      </c>
      <c r="X109" s="6">
        <v>919</v>
      </c>
      <c r="Y109" s="6">
        <v>919</v>
      </c>
      <c r="Z109" s="6">
        <v>919</v>
      </c>
      <c r="AA109" s="6">
        <v>919</v>
      </c>
      <c r="AB109" s="6">
        <v>919</v>
      </c>
      <c r="AC109" s="6">
        <v>919</v>
      </c>
      <c r="AD109" s="6">
        <v>919</v>
      </c>
      <c r="AE109" s="6">
        <v>919</v>
      </c>
      <c r="AF109" s="6">
        <v>919</v>
      </c>
      <c r="AG109" s="6">
        <v>919</v>
      </c>
      <c r="AI109" s="5" t="s">
        <v>75</v>
      </c>
      <c r="AJ109" s="6">
        <f>SUMIFS([1]!Resources[Summer Rating],[1]!Resources[COD],"&lt;="&amp;AJ$77,[1]!Resources[Retirement Date],"&gt;="&amp;AJ$77,[1]!Resources[Unique Key],$AI109,[1]!Resources[Availability '#],"&gt;="&amp;2)</f>
        <v>0</v>
      </c>
      <c r="AK109" s="6">
        <f>SUMIFS([1]!Resources[Summer Rating],[1]!Resources[COD],"&lt;="&amp;AK$77,[1]!Resources[Retirement Date],"&gt;="&amp;AK$77,[1]!Resources[Unique Key],$AI109,[1]!Resources[Availability '#],"&gt;="&amp;2)</f>
        <v>0</v>
      </c>
      <c r="AL109" s="6">
        <f>SUMIFS([1]!Resources[Summer Rating],[1]!Resources[COD],"&lt;="&amp;AL$77,[1]!Resources[Retirement Date],"&gt;="&amp;AL$77,[1]!Resources[Unique Key],$AI109,[1]!Resources[Availability '#],"&gt;="&amp;2)</f>
        <v>0</v>
      </c>
      <c r="AM109" s="6">
        <f>SUMIFS([1]!Resources[Summer Rating],[1]!Resources[COD],"&lt;="&amp;AM$77,[1]!Resources[Retirement Date],"&gt;="&amp;AM$77,[1]!Resources[Unique Key],$AI109,[1]!Resources[Availability '#],"&gt;="&amp;2)</f>
        <v>0</v>
      </c>
      <c r="AN109" s="6">
        <f>SUMIFS([1]!Resources[Summer Rating],[1]!Resources[COD],"&lt;="&amp;AN$77,[1]!Resources[Retirement Date],"&gt;="&amp;AN$77,[1]!Resources[Unique Key],$AI109,[1]!Resources[Availability '#],"&gt;="&amp;2)</f>
        <v>0</v>
      </c>
      <c r="AO109" s="6">
        <f>SUMIFS([1]!Resources[Summer Rating],[1]!Resources[COD],"&lt;="&amp;AO$77,[1]!Resources[Retirement Date],"&gt;="&amp;AO$77,[1]!Resources[Unique Key],$AI109,[1]!Resources[Availability '#],"&gt;="&amp;2)</f>
        <v>0</v>
      </c>
      <c r="AP109" s="6">
        <f>SUMIFS([1]!Resources[Summer Rating],[1]!Resources[COD],"&lt;="&amp;AP$77,[1]!Resources[Retirement Date],"&gt;="&amp;AP$77,[1]!Resources[Unique Key],$AI109,[1]!Resources[Availability '#],"&gt;="&amp;2)</f>
        <v>0</v>
      </c>
      <c r="AQ109" s="6">
        <f>SUMIFS([1]!Resources[Summer Rating],[1]!Resources[COD],"&lt;="&amp;AQ$77,[1]!Resources[Retirement Date],"&gt;="&amp;AQ$77,[1]!Resources[Unique Key],$AI109,[1]!Resources[Availability '#],"&gt;="&amp;2)</f>
        <v>0</v>
      </c>
      <c r="AR109" s="6">
        <f>SUMIFS([1]!Resources[Summer Rating],[1]!Resources[COD],"&lt;="&amp;AR$77,[1]!Resources[Retirement Date],"&gt;="&amp;AR$77,[1]!Resources[Unique Key],$AI109,[1]!Resources[Availability '#],"&gt;="&amp;2)</f>
        <v>0</v>
      </c>
      <c r="AS109" s="6">
        <f>SUMIFS([1]!Resources[Summer Rating],[1]!Resources[COD],"&lt;="&amp;AS$77,[1]!Resources[Retirement Date],"&gt;="&amp;AS$77,[1]!Resources[Unique Key],$AI109,[1]!Resources[Availability '#],"&gt;="&amp;2)</f>
        <v>0</v>
      </c>
      <c r="AT109" s="6">
        <f>SUMIFS([1]!Resources[Summer Rating],[1]!Resources[COD],"&lt;="&amp;AT$77,[1]!Resources[Retirement Date],"&gt;="&amp;AT$77,[1]!Resources[Unique Key],$AI109,[1]!Resources[Availability '#],"&gt;="&amp;2)</f>
        <v>0</v>
      </c>
      <c r="AU109" s="6">
        <f>SUMIFS([1]!Resources[Summer Rating],[1]!Resources[COD],"&lt;="&amp;AU$77,[1]!Resources[Retirement Date],"&gt;="&amp;AU$77,[1]!Resources[Unique Key],$AI109,[1]!Resources[Availability '#],"&gt;="&amp;2)</f>
        <v>0</v>
      </c>
      <c r="AV109" s="6">
        <f>SUMIFS([1]!Resources[Summer Rating],[1]!Resources[COD],"&lt;="&amp;AV$77,[1]!Resources[Retirement Date],"&gt;="&amp;AV$77,[1]!Resources[Unique Key],$AI109,[1]!Resources[Availability '#],"&gt;="&amp;2)</f>
        <v>0</v>
      </c>
      <c r="AW109" s="6">
        <f>SUMIFS([1]!Resources[Summer Rating],[1]!Resources[COD],"&lt;="&amp;AW$77,[1]!Resources[Retirement Date],"&gt;="&amp;AW$77,[1]!Resources[Unique Key],$AI109,[1]!Resources[Availability '#],"&gt;="&amp;2)</f>
        <v>0</v>
      </c>
      <c r="AX109" s="6">
        <f>SUMIFS([1]!Resources[Summer Rating],[1]!Resources[COD],"&lt;="&amp;AX$77,[1]!Resources[Retirement Date],"&gt;="&amp;AX$77,[1]!Resources[Unique Key],$AI109,[1]!Resources[Availability '#],"&gt;="&amp;2)</f>
        <v>0</v>
      </c>
      <c r="AY109" s="6">
        <f>SUMIFS([1]!Resources[Summer Rating],[1]!Resources[COD],"&lt;="&amp;AY$77,[1]!Resources[Retirement Date],"&gt;="&amp;AY$77,[1]!Resources[Unique Key],$AI109,[1]!Resources[Availability '#],"&gt;="&amp;2)</f>
        <v>0</v>
      </c>
      <c r="AZ109" s="6">
        <f>SUMIFS([1]!Resources[Summer Rating],[1]!Resources[COD],"&lt;="&amp;AZ$77,[1]!Resources[Retirement Date],"&gt;="&amp;AZ$77,[1]!Resources[Unique Key],$AI109,[1]!Resources[Availability '#],"&gt;="&amp;2)</f>
        <v>0</v>
      </c>
      <c r="BA109" s="6">
        <f>SUMIFS([1]!Resources[Summer Rating],[1]!Resources[COD],"&lt;="&amp;BA$77,[1]!Resources[Retirement Date],"&gt;="&amp;BA$77,[1]!Resources[Unique Key],$AI109,[1]!Resources[Availability '#],"&gt;="&amp;2)</f>
        <v>0</v>
      </c>
      <c r="BB109" s="6">
        <f>SUMIFS([1]!Resources[Summer Rating],[1]!Resources[COD],"&lt;="&amp;BB$77,[1]!Resources[Retirement Date],"&gt;="&amp;BB$77,[1]!Resources[Unique Key],$AI109,[1]!Resources[Availability '#],"&gt;="&amp;2)</f>
        <v>0</v>
      </c>
      <c r="BC109" s="6">
        <f>SUMIFS([1]!Resources[Summer Rating],[1]!Resources[COD],"&lt;="&amp;BC$77,[1]!Resources[Retirement Date],"&gt;="&amp;BC$77,[1]!Resources[Unique Key],$AI109,[1]!Resources[Availability '#],"&gt;="&amp;2)</f>
        <v>0</v>
      </c>
      <c r="BD109" s="6">
        <f>SUMIFS([1]!Resources[Summer Rating],[1]!Resources[COD],"&lt;="&amp;BD$77,[1]!Resources[Retirement Date],"&gt;="&amp;BD$77,[1]!Resources[Unique Key],$AI109,[1]!Resources[Availability '#],"&gt;="&amp;2)</f>
        <v>0</v>
      </c>
      <c r="BE109" s="6">
        <f>SUMIFS([1]!Resources[Summer Rating],[1]!Resources[COD],"&lt;="&amp;BE$77,[1]!Resources[Retirement Date],"&gt;="&amp;BE$77,[1]!Resources[Unique Key],$AI109,[1]!Resources[Availability '#],"&gt;="&amp;2)</f>
        <v>0</v>
      </c>
      <c r="BF109" s="6">
        <f>SUMIFS([1]!Resources[Summer Rating],[1]!Resources[COD],"&lt;="&amp;BF$77,[1]!Resources[Retirement Date],"&gt;="&amp;BF$77,[1]!Resources[Unique Key],$AI109,[1]!Resources[Availability '#],"&gt;="&amp;2)</f>
        <v>0</v>
      </c>
      <c r="BG109" s="6">
        <f>SUMIFS([1]!Resources[Summer Rating],[1]!Resources[COD],"&lt;="&amp;BG$77,[1]!Resources[Retirement Date],"&gt;="&amp;BG$77,[1]!Resources[Unique Key],$AI109,[1]!Resources[Availability '#],"&gt;="&amp;2)</f>
        <v>0</v>
      </c>
      <c r="BH109" s="6">
        <f>SUMIFS([1]!Resources[Summer Rating],[1]!Resources[COD],"&lt;="&amp;BH$77,[1]!Resources[Retirement Date],"&gt;="&amp;BH$77,[1]!Resources[Unique Key],$AI109,[1]!Resources[Availability '#],"&gt;="&amp;2)</f>
        <v>0</v>
      </c>
      <c r="BI109" s="6">
        <f>SUMIFS([1]!Resources[Summer Rating],[1]!Resources[COD],"&lt;="&amp;BI$77,[1]!Resources[Retirement Date],"&gt;="&amp;BI$77,[1]!Resources[Unique Key],$AI109,[1]!Resources[Availability '#],"&gt;="&amp;2)</f>
        <v>0</v>
      </c>
      <c r="BK109" s="5" t="s">
        <v>75</v>
      </c>
      <c r="BL109" s="20">
        <v>3.6230000000000002</v>
      </c>
      <c r="BM109" s="20">
        <v>3.6230000000000002</v>
      </c>
      <c r="BN109" s="20">
        <v>3.6230000000000002</v>
      </c>
      <c r="BO109" s="20">
        <v>3.206</v>
      </c>
      <c r="BP109" s="20">
        <v>1.61</v>
      </c>
      <c r="BQ109" s="20">
        <v>1.61</v>
      </c>
      <c r="BR109" s="20">
        <v>1.61</v>
      </c>
      <c r="BS109" s="20">
        <v>1.61</v>
      </c>
      <c r="BT109" s="20">
        <v>1.61</v>
      </c>
      <c r="BU109" s="20">
        <v>1.61</v>
      </c>
      <c r="BV109" s="20">
        <v>1.61</v>
      </c>
      <c r="BW109" s="20">
        <v>1.61</v>
      </c>
      <c r="BX109" s="20">
        <v>1.61</v>
      </c>
      <c r="BY109" s="20">
        <v>1.61</v>
      </c>
      <c r="BZ109" s="20">
        <v>1.61</v>
      </c>
      <c r="CA109" s="20">
        <v>1.61</v>
      </c>
      <c r="CB109" s="20">
        <v>1.61</v>
      </c>
      <c r="CC109" s="20">
        <v>1.61</v>
      </c>
      <c r="CD109" s="20">
        <v>1.61</v>
      </c>
      <c r="CE109" s="20">
        <v>1.61</v>
      </c>
      <c r="CF109" s="20">
        <v>1.61</v>
      </c>
      <c r="CG109" s="20">
        <v>1.61</v>
      </c>
      <c r="CH109" s="20">
        <v>1.61</v>
      </c>
      <c r="CI109" s="20">
        <v>1.61</v>
      </c>
      <c r="CJ109" s="20">
        <v>1.61</v>
      </c>
      <c r="CK109" s="20">
        <v>1.61</v>
      </c>
      <c r="CM109" s="5" t="s">
        <v>75</v>
      </c>
      <c r="CN109" s="21">
        <v>2.9689999999999999</v>
      </c>
      <c r="CO109" s="22">
        <v>2.9689999999999999</v>
      </c>
      <c r="CP109" s="22">
        <v>2.9689999999999999</v>
      </c>
      <c r="CQ109" s="22">
        <v>2.6280000000000001</v>
      </c>
      <c r="CR109" s="22">
        <v>1.32</v>
      </c>
      <c r="CS109" s="22">
        <v>1.32</v>
      </c>
      <c r="CT109" s="22">
        <v>1.32</v>
      </c>
      <c r="CU109" s="22">
        <v>1.32</v>
      </c>
      <c r="CV109" s="22">
        <v>1.32</v>
      </c>
      <c r="CW109" s="22">
        <v>1.32</v>
      </c>
      <c r="CX109" s="22">
        <v>1.32</v>
      </c>
      <c r="CY109" s="22">
        <v>1.32</v>
      </c>
      <c r="CZ109" s="22">
        <v>1.32</v>
      </c>
      <c r="DA109" s="22">
        <v>1.32</v>
      </c>
      <c r="DB109" s="22">
        <v>1.32</v>
      </c>
      <c r="DC109" s="22">
        <v>1.32</v>
      </c>
      <c r="DD109" s="22">
        <v>1.32</v>
      </c>
      <c r="DE109" s="22">
        <v>1.32</v>
      </c>
      <c r="DF109" s="22">
        <v>1.32</v>
      </c>
      <c r="DG109" s="22">
        <v>1.32</v>
      </c>
      <c r="DH109" s="22">
        <v>1.32</v>
      </c>
      <c r="DI109" s="22">
        <v>1.32</v>
      </c>
      <c r="DJ109" s="22">
        <v>1.32</v>
      </c>
      <c r="DK109" s="22">
        <v>1.32</v>
      </c>
      <c r="DL109" s="22">
        <v>1.32</v>
      </c>
      <c r="DM109" s="22">
        <v>1.32</v>
      </c>
      <c r="DO109" s="5" t="s">
        <v>75</v>
      </c>
      <c r="DP109" s="23">
        <v>0.45</v>
      </c>
      <c r="DQ109" s="23">
        <v>0.45</v>
      </c>
      <c r="DR109" s="23">
        <v>0.45</v>
      </c>
      <c r="DS109" s="23">
        <v>0.39800000000000002</v>
      </c>
      <c r="DT109" s="23">
        <v>0.2</v>
      </c>
      <c r="DU109" s="23">
        <v>0.2</v>
      </c>
      <c r="DV109" s="23">
        <v>0.2</v>
      </c>
      <c r="DW109" s="23">
        <v>0.2</v>
      </c>
      <c r="DX109" s="23">
        <v>0.2</v>
      </c>
      <c r="DY109" s="23">
        <v>0.2</v>
      </c>
      <c r="DZ109" s="23">
        <v>0.2</v>
      </c>
      <c r="EA109" s="23">
        <v>0.2</v>
      </c>
      <c r="EB109" s="23">
        <v>0.2</v>
      </c>
      <c r="EC109" s="23">
        <v>0.2</v>
      </c>
      <c r="ED109" s="23">
        <v>0.2</v>
      </c>
      <c r="EE109" s="23">
        <v>0.2</v>
      </c>
      <c r="EF109" s="23">
        <v>0.2</v>
      </c>
      <c r="EG109" s="23">
        <v>0.2</v>
      </c>
      <c r="EH109" s="23">
        <v>0.2</v>
      </c>
      <c r="EI109" s="23">
        <v>0.2</v>
      </c>
      <c r="EJ109" s="23">
        <v>0.2</v>
      </c>
      <c r="EK109" s="23">
        <v>0.2</v>
      </c>
      <c r="EL109" s="23">
        <v>0.2</v>
      </c>
      <c r="EM109" s="23">
        <v>0.2</v>
      </c>
      <c r="EN109" s="23">
        <v>0.2</v>
      </c>
      <c r="EO109" s="23">
        <v>0.2</v>
      </c>
      <c r="EP109" s="24">
        <f ca="1">IFERROR(INDEX('[1]GenX Resources'!$AP$10:$AP$46,MATCH(DO109,'[1]GenX Resources'!$B$10:$B$46,0)),0)</f>
        <v>0.2</v>
      </c>
      <c r="EQ109" s="2" t="b">
        <f t="shared" ca="1" si="35"/>
        <v>1</v>
      </c>
      <c r="ES109" s="25">
        <f ca="1">IFERROR(INDEX('[1]GenX Resources'!$AD:$AD,MATCH($G109,'[1]GenX Resources'!$B:$B,0)) - IF(OR(INDEX('[1]GenX Resources'!$L:$L,MATCH($G109,'[1]GenX Resources'!$B:$B,0)),ISNUMBER(SEARCH("New Generic",$G109))),0,INDEX('[1]GenX Resources'!$M:$M,MATCH($G109,'[1]GenX Resources'!$B:$B,0))),0)</f>
        <v>70000</v>
      </c>
      <c r="EU109" s="5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</row>
    <row r="110" spans="6:177" ht="16" x14ac:dyDescent="0.2">
      <c r="F110" s="19" t="str">
        <f>IFERROR(INDEX('[1]GenX Resources'!$A$10:$A$76,MATCH(G110,'[1]GenX Resources'!$B$10:$B$76,0)),"")</f>
        <v>Gas CT</v>
      </c>
      <c r="G110" s="5" t="s">
        <v>76</v>
      </c>
      <c r="H110" s="6">
        <v>954</v>
      </c>
      <c r="I110" s="6">
        <v>954</v>
      </c>
      <c r="J110" s="6">
        <v>954</v>
      </c>
      <c r="K110" s="6">
        <v>954</v>
      </c>
      <c r="L110" s="6">
        <v>954</v>
      </c>
      <c r="M110" s="6">
        <v>954</v>
      </c>
      <c r="N110" s="6">
        <v>954</v>
      </c>
      <c r="O110" s="6">
        <v>954</v>
      </c>
      <c r="P110" s="6">
        <v>954</v>
      </c>
      <c r="Q110" s="6">
        <v>954</v>
      </c>
      <c r="R110" s="6">
        <v>954</v>
      </c>
      <c r="S110" s="6">
        <v>954</v>
      </c>
      <c r="T110" s="6">
        <v>954</v>
      </c>
      <c r="U110" s="6">
        <v>954</v>
      </c>
      <c r="V110" s="6">
        <v>954</v>
      </c>
      <c r="W110" s="6">
        <v>954</v>
      </c>
      <c r="X110" s="6">
        <v>954</v>
      </c>
      <c r="Y110" s="6">
        <v>954</v>
      </c>
      <c r="Z110" s="6">
        <v>954</v>
      </c>
      <c r="AA110" s="6">
        <v>954</v>
      </c>
      <c r="AB110" s="6">
        <v>954</v>
      </c>
      <c r="AC110" s="6">
        <v>954</v>
      </c>
      <c r="AD110" s="6">
        <v>954</v>
      </c>
      <c r="AE110" s="6">
        <v>954</v>
      </c>
      <c r="AF110" s="6">
        <v>954</v>
      </c>
      <c r="AG110" s="6">
        <v>954</v>
      </c>
      <c r="AI110" s="5" t="s">
        <v>76</v>
      </c>
      <c r="AJ110" s="6">
        <f>SUMIFS([1]!Resources[Summer Rating],[1]!Resources[COD],"&lt;="&amp;AJ$77,[1]!Resources[Retirement Date],"&gt;="&amp;AJ$77,[1]!Resources[Unique Key],$AI110,[1]!Resources[Availability '#],"&gt;="&amp;2)</f>
        <v>0</v>
      </c>
      <c r="AK110" s="6">
        <f>SUMIFS([1]!Resources[Summer Rating],[1]!Resources[COD],"&lt;="&amp;AK$77,[1]!Resources[Retirement Date],"&gt;="&amp;AK$77,[1]!Resources[Unique Key],$AI110,[1]!Resources[Availability '#],"&gt;="&amp;2)</f>
        <v>0</v>
      </c>
      <c r="AL110" s="6">
        <f>SUMIFS([1]!Resources[Summer Rating],[1]!Resources[COD],"&lt;="&amp;AL$77,[1]!Resources[Retirement Date],"&gt;="&amp;AL$77,[1]!Resources[Unique Key],$AI110,[1]!Resources[Availability '#],"&gt;="&amp;2)</f>
        <v>0</v>
      </c>
      <c r="AM110" s="6">
        <f>SUMIFS([1]!Resources[Summer Rating],[1]!Resources[COD],"&lt;="&amp;AM$77,[1]!Resources[Retirement Date],"&gt;="&amp;AM$77,[1]!Resources[Unique Key],$AI110,[1]!Resources[Availability '#],"&gt;="&amp;2)</f>
        <v>0</v>
      </c>
      <c r="AN110" s="6">
        <f>SUMIFS([1]!Resources[Summer Rating],[1]!Resources[COD],"&lt;="&amp;AN$77,[1]!Resources[Retirement Date],"&gt;="&amp;AN$77,[1]!Resources[Unique Key],$AI110,[1]!Resources[Availability '#],"&gt;="&amp;2)</f>
        <v>0</v>
      </c>
      <c r="AO110" s="6">
        <f>SUMIFS([1]!Resources[Summer Rating],[1]!Resources[COD],"&lt;="&amp;AO$77,[1]!Resources[Retirement Date],"&gt;="&amp;AO$77,[1]!Resources[Unique Key],$AI110,[1]!Resources[Availability '#],"&gt;="&amp;2)</f>
        <v>0</v>
      </c>
      <c r="AP110" s="6">
        <f>SUMIFS([1]!Resources[Summer Rating],[1]!Resources[COD],"&lt;="&amp;AP$77,[1]!Resources[Retirement Date],"&gt;="&amp;AP$77,[1]!Resources[Unique Key],$AI110,[1]!Resources[Availability '#],"&gt;="&amp;2)</f>
        <v>0</v>
      </c>
      <c r="AQ110" s="6">
        <f>SUMIFS([1]!Resources[Summer Rating],[1]!Resources[COD],"&lt;="&amp;AQ$77,[1]!Resources[Retirement Date],"&gt;="&amp;AQ$77,[1]!Resources[Unique Key],$AI110,[1]!Resources[Availability '#],"&gt;="&amp;2)</f>
        <v>0</v>
      </c>
      <c r="AR110" s="6">
        <f>SUMIFS([1]!Resources[Summer Rating],[1]!Resources[COD],"&lt;="&amp;AR$77,[1]!Resources[Retirement Date],"&gt;="&amp;AR$77,[1]!Resources[Unique Key],$AI110,[1]!Resources[Availability '#],"&gt;="&amp;2)</f>
        <v>0</v>
      </c>
      <c r="AS110" s="6">
        <f>SUMIFS([1]!Resources[Summer Rating],[1]!Resources[COD],"&lt;="&amp;AS$77,[1]!Resources[Retirement Date],"&gt;="&amp;AS$77,[1]!Resources[Unique Key],$AI110,[1]!Resources[Availability '#],"&gt;="&amp;2)</f>
        <v>0</v>
      </c>
      <c r="AT110" s="6">
        <f>SUMIFS([1]!Resources[Summer Rating],[1]!Resources[COD],"&lt;="&amp;AT$77,[1]!Resources[Retirement Date],"&gt;="&amp;AT$77,[1]!Resources[Unique Key],$AI110,[1]!Resources[Availability '#],"&gt;="&amp;2)</f>
        <v>0</v>
      </c>
      <c r="AU110" s="6">
        <f>SUMIFS([1]!Resources[Summer Rating],[1]!Resources[COD],"&lt;="&amp;AU$77,[1]!Resources[Retirement Date],"&gt;="&amp;AU$77,[1]!Resources[Unique Key],$AI110,[1]!Resources[Availability '#],"&gt;="&amp;2)</f>
        <v>0</v>
      </c>
      <c r="AV110" s="6">
        <f>SUMIFS([1]!Resources[Summer Rating],[1]!Resources[COD],"&lt;="&amp;AV$77,[1]!Resources[Retirement Date],"&gt;="&amp;AV$77,[1]!Resources[Unique Key],$AI110,[1]!Resources[Availability '#],"&gt;="&amp;2)</f>
        <v>0</v>
      </c>
      <c r="AW110" s="6">
        <f>SUMIFS([1]!Resources[Summer Rating],[1]!Resources[COD],"&lt;="&amp;AW$77,[1]!Resources[Retirement Date],"&gt;="&amp;AW$77,[1]!Resources[Unique Key],$AI110,[1]!Resources[Availability '#],"&gt;="&amp;2)</f>
        <v>0</v>
      </c>
      <c r="AX110" s="6">
        <f>SUMIFS([1]!Resources[Summer Rating],[1]!Resources[COD],"&lt;="&amp;AX$77,[1]!Resources[Retirement Date],"&gt;="&amp;AX$77,[1]!Resources[Unique Key],$AI110,[1]!Resources[Availability '#],"&gt;="&amp;2)</f>
        <v>0</v>
      </c>
      <c r="AY110" s="6">
        <f>SUMIFS([1]!Resources[Summer Rating],[1]!Resources[COD],"&lt;="&amp;AY$77,[1]!Resources[Retirement Date],"&gt;="&amp;AY$77,[1]!Resources[Unique Key],$AI110,[1]!Resources[Availability '#],"&gt;="&amp;2)</f>
        <v>0</v>
      </c>
      <c r="AZ110" s="6">
        <f>SUMIFS([1]!Resources[Summer Rating],[1]!Resources[COD],"&lt;="&amp;AZ$77,[1]!Resources[Retirement Date],"&gt;="&amp;AZ$77,[1]!Resources[Unique Key],$AI110,[1]!Resources[Availability '#],"&gt;="&amp;2)</f>
        <v>0</v>
      </c>
      <c r="BA110" s="6">
        <f>SUMIFS([1]!Resources[Summer Rating],[1]!Resources[COD],"&lt;="&amp;BA$77,[1]!Resources[Retirement Date],"&gt;="&amp;BA$77,[1]!Resources[Unique Key],$AI110,[1]!Resources[Availability '#],"&gt;="&amp;2)</f>
        <v>0</v>
      </c>
      <c r="BB110" s="6">
        <f>SUMIFS([1]!Resources[Summer Rating],[1]!Resources[COD],"&lt;="&amp;BB$77,[1]!Resources[Retirement Date],"&gt;="&amp;BB$77,[1]!Resources[Unique Key],$AI110,[1]!Resources[Availability '#],"&gt;="&amp;2)</f>
        <v>0</v>
      </c>
      <c r="BC110" s="6">
        <f>SUMIFS([1]!Resources[Summer Rating],[1]!Resources[COD],"&lt;="&amp;BC$77,[1]!Resources[Retirement Date],"&gt;="&amp;BC$77,[1]!Resources[Unique Key],$AI110,[1]!Resources[Availability '#],"&gt;="&amp;2)</f>
        <v>0</v>
      </c>
      <c r="BD110" s="6">
        <f>SUMIFS([1]!Resources[Summer Rating],[1]!Resources[COD],"&lt;="&amp;BD$77,[1]!Resources[Retirement Date],"&gt;="&amp;BD$77,[1]!Resources[Unique Key],$AI110,[1]!Resources[Availability '#],"&gt;="&amp;2)</f>
        <v>0</v>
      </c>
      <c r="BE110" s="6">
        <f>SUMIFS([1]!Resources[Summer Rating],[1]!Resources[COD],"&lt;="&amp;BE$77,[1]!Resources[Retirement Date],"&gt;="&amp;BE$77,[1]!Resources[Unique Key],$AI110,[1]!Resources[Availability '#],"&gt;="&amp;2)</f>
        <v>0</v>
      </c>
      <c r="BF110" s="6">
        <f>SUMIFS([1]!Resources[Summer Rating],[1]!Resources[COD],"&lt;="&amp;BF$77,[1]!Resources[Retirement Date],"&gt;="&amp;BF$77,[1]!Resources[Unique Key],$AI110,[1]!Resources[Availability '#],"&gt;="&amp;2)</f>
        <v>0</v>
      </c>
      <c r="BG110" s="6">
        <f>SUMIFS([1]!Resources[Summer Rating],[1]!Resources[COD],"&lt;="&amp;BG$77,[1]!Resources[Retirement Date],"&gt;="&amp;BG$77,[1]!Resources[Unique Key],$AI110,[1]!Resources[Availability '#],"&gt;="&amp;2)</f>
        <v>0</v>
      </c>
      <c r="BH110" s="6">
        <f>SUMIFS([1]!Resources[Summer Rating],[1]!Resources[COD],"&lt;="&amp;BH$77,[1]!Resources[Retirement Date],"&gt;="&amp;BH$77,[1]!Resources[Unique Key],$AI110,[1]!Resources[Availability '#],"&gt;="&amp;2)</f>
        <v>0</v>
      </c>
      <c r="BI110" s="6">
        <f>SUMIFS([1]!Resources[Summer Rating],[1]!Resources[COD],"&lt;="&amp;BI$77,[1]!Resources[Retirement Date],"&gt;="&amp;BI$77,[1]!Resources[Unique Key],$AI110,[1]!Resources[Availability '#],"&gt;="&amp;2)</f>
        <v>0</v>
      </c>
      <c r="BK110" s="5" t="s">
        <v>76</v>
      </c>
      <c r="BL110" s="20">
        <v>3.7610000000000001</v>
      </c>
      <c r="BM110" s="20">
        <v>3.7610000000000001</v>
      </c>
      <c r="BN110" s="20">
        <v>3.7610000000000001</v>
      </c>
      <c r="BO110" s="20">
        <v>3.7610000000000001</v>
      </c>
      <c r="BP110" s="20">
        <v>3.7610000000000001</v>
      </c>
      <c r="BQ110" s="20">
        <v>3.7610000000000001</v>
      </c>
      <c r="BR110" s="20">
        <v>3.7610000000000001</v>
      </c>
      <c r="BS110" s="20">
        <v>3.7610000000000001</v>
      </c>
      <c r="BT110" s="20">
        <v>3.7610000000000001</v>
      </c>
      <c r="BU110" s="20">
        <v>3.7610000000000001</v>
      </c>
      <c r="BV110" s="20">
        <v>3.7610000000000001</v>
      </c>
      <c r="BW110" s="20">
        <v>3.7610000000000001</v>
      </c>
      <c r="BX110" s="20">
        <v>3.7610000000000001</v>
      </c>
      <c r="BY110" s="20">
        <v>3.7610000000000001</v>
      </c>
      <c r="BZ110" s="20">
        <v>3.7610000000000001</v>
      </c>
      <c r="CA110" s="20">
        <v>3.7610000000000001</v>
      </c>
      <c r="CB110" s="20">
        <v>3.7610000000000001</v>
      </c>
      <c r="CC110" s="20">
        <v>3.7610000000000001</v>
      </c>
      <c r="CD110" s="20">
        <v>3.7610000000000001</v>
      </c>
      <c r="CE110" s="20">
        <v>3.7610000000000001</v>
      </c>
      <c r="CF110" s="20">
        <v>3.7610000000000001</v>
      </c>
      <c r="CG110" s="20">
        <v>3.7610000000000001</v>
      </c>
      <c r="CH110" s="20">
        <v>3.7610000000000001</v>
      </c>
      <c r="CI110" s="20">
        <v>3.7610000000000001</v>
      </c>
      <c r="CJ110" s="20">
        <v>3.7610000000000001</v>
      </c>
      <c r="CK110" s="20">
        <v>3.7610000000000001</v>
      </c>
      <c r="CM110" s="5" t="s">
        <v>76</v>
      </c>
      <c r="CN110" s="21">
        <v>2.1110000000000002</v>
      </c>
      <c r="CO110" s="22">
        <v>2.1110000000000002</v>
      </c>
      <c r="CP110" s="22">
        <v>2.1110000000000002</v>
      </c>
      <c r="CQ110" s="22">
        <v>2.1110000000000002</v>
      </c>
      <c r="CR110" s="22">
        <v>2.1110000000000002</v>
      </c>
      <c r="CS110" s="22">
        <v>2.1110000000000002</v>
      </c>
      <c r="CT110" s="22">
        <v>2.1110000000000002</v>
      </c>
      <c r="CU110" s="22">
        <v>2.1110000000000002</v>
      </c>
      <c r="CV110" s="22">
        <v>2.1110000000000002</v>
      </c>
      <c r="CW110" s="22">
        <v>2.1110000000000002</v>
      </c>
      <c r="CX110" s="22">
        <v>2.1110000000000002</v>
      </c>
      <c r="CY110" s="22">
        <v>2.1110000000000002</v>
      </c>
      <c r="CZ110" s="22">
        <v>2.1110000000000002</v>
      </c>
      <c r="DA110" s="22">
        <v>2.1110000000000002</v>
      </c>
      <c r="DB110" s="22">
        <v>2.1110000000000002</v>
      </c>
      <c r="DC110" s="22">
        <v>2.1110000000000002</v>
      </c>
      <c r="DD110" s="22">
        <v>2.1110000000000002</v>
      </c>
      <c r="DE110" s="22">
        <v>2.1110000000000002</v>
      </c>
      <c r="DF110" s="22">
        <v>2.1110000000000002</v>
      </c>
      <c r="DG110" s="22">
        <v>2.1110000000000002</v>
      </c>
      <c r="DH110" s="22">
        <v>2.1110000000000002</v>
      </c>
      <c r="DI110" s="22">
        <v>2.1110000000000002</v>
      </c>
      <c r="DJ110" s="22">
        <v>2.1110000000000002</v>
      </c>
      <c r="DK110" s="22">
        <v>2.1110000000000002</v>
      </c>
      <c r="DL110" s="22">
        <v>2.1110000000000002</v>
      </c>
      <c r="DM110" s="22">
        <v>2.1110000000000002</v>
      </c>
      <c r="DO110" s="5" t="s">
        <v>76</v>
      </c>
      <c r="DP110" s="23">
        <v>0.45</v>
      </c>
      <c r="DQ110" s="23">
        <v>0.45</v>
      </c>
      <c r="DR110" s="23">
        <v>0.45</v>
      </c>
      <c r="DS110" s="23">
        <v>0.45</v>
      </c>
      <c r="DT110" s="23">
        <v>0.45</v>
      </c>
      <c r="DU110" s="23">
        <v>0.45</v>
      </c>
      <c r="DV110" s="23">
        <v>0.45</v>
      </c>
      <c r="DW110" s="23">
        <v>0.45</v>
      </c>
      <c r="DX110" s="23">
        <v>0.45</v>
      </c>
      <c r="DY110" s="23">
        <v>0.45</v>
      </c>
      <c r="DZ110" s="23">
        <v>0.45</v>
      </c>
      <c r="EA110" s="23">
        <v>0.45</v>
      </c>
      <c r="EB110" s="23">
        <v>0.45</v>
      </c>
      <c r="EC110" s="23">
        <v>0.45</v>
      </c>
      <c r="ED110" s="23">
        <v>0.45</v>
      </c>
      <c r="EE110" s="23">
        <v>0.45</v>
      </c>
      <c r="EF110" s="23">
        <v>0.45</v>
      </c>
      <c r="EG110" s="23">
        <v>0.45</v>
      </c>
      <c r="EH110" s="23">
        <v>0.45</v>
      </c>
      <c r="EI110" s="23">
        <v>0.45</v>
      </c>
      <c r="EJ110" s="23">
        <v>0.45</v>
      </c>
      <c r="EK110" s="23">
        <v>0.45</v>
      </c>
      <c r="EL110" s="23">
        <v>0.45</v>
      </c>
      <c r="EM110" s="23">
        <v>0.45</v>
      </c>
      <c r="EN110" s="23">
        <v>0.45</v>
      </c>
      <c r="EO110" s="23">
        <v>0.45</v>
      </c>
      <c r="EP110" s="24">
        <f ca="1">IFERROR(INDEX('[1]GenX Resources'!$AP$10:$AP$46,MATCH(DO110,'[1]GenX Resources'!$B$10:$B$46,0)),0)</f>
        <v>0.2</v>
      </c>
      <c r="EQ110" s="2" t="b">
        <f t="shared" ca="1" si="35"/>
        <v>1</v>
      </c>
      <c r="ES110" s="25">
        <f ca="1">IFERROR(INDEX('[1]GenX Resources'!$AD:$AD,MATCH($G110,'[1]GenX Resources'!$B:$B,0)) - IF(OR(INDEX('[1]GenX Resources'!$L:$L,MATCH($G110,'[1]GenX Resources'!$B:$B,0)),ISNUMBER(SEARCH("New Generic",$G110))),0,INDEX('[1]GenX Resources'!$M:$M,MATCH($G110,'[1]GenX Resources'!$B:$B,0))),0)</f>
        <v>25700</v>
      </c>
      <c r="EU110" s="5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</row>
    <row r="111" spans="6:177" ht="16" x14ac:dyDescent="0.2">
      <c r="F111" s="19" t="str">
        <f>IFERROR(INDEX('[1]GenX Resources'!$A$10:$A$76,MATCH(G111,'[1]GenX Resources'!$B$10:$B$76,0)),"")</f>
        <v>Nuclear</v>
      </c>
      <c r="G111" s="5" t="s">
        <v>77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I111" s="5" t="s">
        <v>77</v>
      </c>
      <c r="AJ111" s="6">
        <f>SUMIFS([1]!Resources[Summer Rating],[1]!Resources[COD],"&lt;="&amp;AJ$77,[1]!Resources[Retirement Date],"&gt;="&amp;AJ$77,[1]!Resources[Unique Key],$AI111,[1]!Resources[Availability '#],"&gt;="&amp;2)</f>
        <v>0</v>
      </c>
      <c r="AK111" s="6">
        <f>SUMIFS([1]!Resources[Summer Rating],[1]!Resources[COD],"&lt;="&amp;AK$77,[1]!Resources[Retirement Date],"&gt;="&amp;AK$77,[1]!Resources[Unique Key],$AI111,[1]!Resources[Availability '#],"&gt;="&amp;2)</f>
        <v>0</v>
      </c>
      <c r="AL111" s="6">
        <f>SUMIFS([1]!Resources[Summer Rating],[1]!Resources[COD],"&lt;="&amp;AL$77,[1]!Resources[Retirement Date],"&gt;="&amp;AL$77,[1]!Resources[Unique Key],$AI111,[1]!Resources[Availability '#],"&gt;="&amp;2)</f>
        <v>0</v>
      </c>
      <c r="AM111" s="6">
        <f>SUMIFS([1]!Resources[Summer Rating],[1]!Resources[COD],"&lt;="&amp;AM$77,[1]!Resources[Retirement Date],"&gt;="&amp;AM$77,[1]!Resources[Unique Key],$AI111,[1]!Resources[Availability '#],"&gt;="&amp;2)</f>
        <v>0</v>
      </c>
      <c r="AN111" s="6">
        <f>SUMIFS([1]!Resources[Summer Rating],[1]!Resources[COD],"&lt;="&amp;AN$77,[1]!Resources[Retirement Date],"&gt;="&amp;AN$77,[1]!Resources[Unique Key],$AI111,[1]!Resources[Availability '#],"&gt;="&amp;2)</f>
        <v>0</v>
      </c>
      <c r="AO111" s="6">
        <f>SUMIFS([1]!Resources[Summer Rating],[1]!Resources[COD],"&lt;="&amp;AO$77,[1]!Resources[Retirement Date],"&gt;="&amp;AO$77,[1]!Resources[Unique Key],$AI111,[1]!Resources[Availability '#],"&gt;="&amp;2)</f>
        <v>0</v>
      </c>
      <c r="AP111" s="6">
        <f>SUMIFS([1]!Resources[Summer Rating],[1]!Resources[COD],"&lt;="&amp;AP$77,[1]!Resources[Retirement Date],"&gt;="&amp;AP$77,[1]!Resources[Unique Key],$AI111,[1]!Resources[Availability '#],"&gt;="&amp;2)</f>
        <v>0</v>
      </c>
      <c r="AQ111" s="6">
        <f>SUMIFS([1]!Resources[Summer Rating],[1]!Resources[COD],"&lt;="&amp;AQ$77,[1]!Resources[Retirement Date],"&gt;="&amp;AQ$77,[1]!Resources[Unique Key],$AI111,[1]!Resources[Availability '#],"&gt;="&amp;2)</f>
        <v>0</v>
      </c>
      <c r="AR111" s="6">
        <f>SUMIFS([1]!Resources[Summer Rating],[1]!Resources[COD],"&lt;="&amp;AR$77,[1]!Resources[Retirement Date],"&gt;="&amp;AR$77,[1]!Resources[Unique Key],$AI111,[1]!Resources[Availability '#],"&gt;="&amp;2)</f>
        <v>0</v>
      </c>
      <c r="AS111" s="6">
        <f>SUMIFS([1]!Resources[Summer Rating],[1]!Resources[COD],"&lt;="&amp;AS$77,[1]!Resources[Retirement Date],"&gt;="&amp;AS$77,[1]!Resources[Unique Key],$AI111,[1]!Resources[Availability '#],"&gt;="&amp;2)</f>
        <v>0</v>
      </c>
      <c r="AT111" s="6">
        <f>SUMIFS([1]!Resources[Summer Rating],[1]!Resources[COD],"&lt;="&amp;AT$77,[1]!Resources[Retirement Date],"&gt;="&amp;AT$77,[1]!Resources[Unique Key],$AI111,[1]!Resources[Availability '#],"&gt;="&amp;2)</f>
        <v>0</v>
      </c>
      <c r="AU111" s="6">
        <f>SUMIFS([1]!Resources[Summer Rating],[1]!Resources[COD],"&lt;="&amp;AU$77,[1]!Resources[Retirement Date],"&gt;="&amp;AU$77,[1]!Resources[Unique Key],$AI111,[1]!Resources[Availability '#],"&gt;="&amp;2)</f>
        <v>0</v>
      </c>
      <c r="AV111" s="6">
        <f>SUMIFS([1]!Resources[Summer Rating],[1]!Resources[COD],"&lt;="&amp;AV$77,[1]!Resources[Retirement Date],"&gt;="&amp;AV$77,[1]!Resources[Unique Key],$AI111,[1]!Resources[Availability '#],"&gt;="&amp;2)</f>
        <v>0</v>
      </c>
      <c r="AW111" s="6">
        <f>SUMIFS([1]!Resources[Summer Rating],[1]!Resources[COD],"&lt;="&amp;AW$77,[1]!Resources[Retirement Date],"&gt;="&amp;AW$77,[1]!Resources[Unique Key],$AI111,[1]!Resources[Availability '#],"&gt;="&amp;2)</f>
        <v>0</v>
      </c>
      <c r="AX111" s="6">
        <f>SUMIFS([1]!Resources[Summer Rating],[1]!Resources[COD],"&lt;="&amp;AX$77,[1]!Resources[Retirement Date],"&gt;="&amp;AX$77,[1]!Resources[Unique Key],$AI111,[1]!Resources[Availability '#],"&gt;="&amp;2)</f>
        <v>0</v>
      </c>
      <c r="AY111" s="6">
        <f>SUMIFS([1]!Resources[Summer Rating],[1]!Resources[COD],"&lt;="&amp;AY$77,[1]!Resources[Retirement Date],"&gt;="&amp;AY$77,[1]!Resources[Unique Key],$AI111,[1]!Resources[Availability '#],"&gt;="&amp;2)</f>
        <v>0</v>
      </c>
      <c r="AZ111" s="6">
        <f>SUMIFS([1]!Resources[Summer Rating],[1]!Resources[COD],"&lt;="&amp;AZ$77,[1]!Resources[Retirement Date],"&gt;="&amp;AZ$77,[1]!Resources[Unique Key],$AI111,[1]!Resources[Availability '#],"&gt;="&amp;2)</f>
        <v>0</v>
      </c>
      <c r="BA111" s="6">
        <f>SUMIFS([1]!Resources[Summer Rating],[1]!Resources[COD],"&lt;="&amp;BA$77,[1]!Resources[Retirement Date],"&gt;="&amp;BA$77,[1]!Resources[Unique Key],$AI111,[1]!Resources[Availability '#],"&gt;="&amp;2)</f>
        <v>0</v>
      </c>
      <c r="BB111" s="6">
        <f>SUMIFS([1]!Resources[Summer Rating],[1]!Resources[COD],"&lt;="&amp;BB$77,[1]!Resources[Retirement Date],"&gt;="&amp;BB$77,[1]!Resources[Unique Key],$AI111,[1]!Resources[Availability '#],"&gt;="&amp;2)</f>
        <v>0</v>
      </c>
      <c r="BC111" s="6">
        <f>SUMIFS([1]!Resources[Summer Rating],[1]!Resources[COD],"&lt;="&amp;BC$77,[1]!Resources[Retirement Date],"&gt;="&amp;BC$77,[1]!Resources[Unique Key],$AI111,[1]!Resources[Availability '#],"&gt;="&amp;2)</f>
        <v>0</v>
      </c>
      <c r="BD111" s="6">
        <f>SUMIFS([1]!Resources[Summer Rating],[1]!Resources[COD],"&lt;="&amp;BD$77,[1]!Resources[Retirement Date],"&gt;="&amp;BD$77,[1]!Resources[Unique Key],$AI111,[1]!Resources[Availability '#],"&gt;="&amp;2)</f>
        <v>0</v>
      </c>
      <c r="BE111" s="6">
        <f>SUMIFS([1]!Resources[Summer Rating],[1]!Resources[COD],"&lt;="&amp;BE$77,[1]!Resources[Retirement Date],"&gt;="&amp;BE$77,[1]!Resources[Unique Key],$AI111,[1]!Resources[Availability '#],"&gt;="&amp;2)</f>
        <v>0</v>
      </c>
      <c r="BF111" s="6">
        <f>SUMIFS([1]!Resources[Summer Rating],[1]!Resources[COD],"&lt;="&amp;BF$77,[1]!Resources[Retirement Date],"&gt;="&amp;BF$77,[1]!Resources[Unique Key],$AI111,[1]!Resources[Availability '#],"&gt;="&amp;2)</f>
        <v>0</v>
      </c>
      <c r="BG111" s="6">
        <f>SUMIFS([1]!Resources[Summer Rating],[1]!Resources[COD],"&lt;="&amp;BG$77,[1]!Resources[Retirement Date],"&gt;="&amp;BG$77,[1]!Resources[Unique Key],$AI111,[1]!Resources[Availability '#],"&gt;="&amp;2)</f>
        <v>0</v>
      </c>
      <c r="BH111" s="6">
        <f>SUMIFS([1]!Resources[Summer Rating],[1]!Resources[COD],"&lt;="&amp;BH$77,[1]!Resources[Retirement Date],"&gt;="&amp;BH$77,[1]!Resources[Unique Key],$AI111,[1]!Resources[Availability '#],"&gt;="&amp;2)</f>
        <v>0</v>
      </c>
      <c r="BI111" s="6">
        <f>SUMIFS([1]!Resources[Summer Rating],[1]!Resources[COD],"&lt;="&amp;BI$77,[1]!Resources[Retirement Date],"&gt;="&amp;BI$77,[1]!Resources[Unique Key],$AI111,[1]!Resources[Availability '#],"&gt;="&amp;2)</f>
        <v>0</v>
      </c>
      <c r="BK111" s="5" t="s">
        <v>77</v>
      </c>
      <c r="BL111" s="20">
        <v>0</v>
      </c>
      <c r="BM111" s="20">
        <v>0</v>
      </c>
      <c r="BN111" s="20">
        <v>0</v>
      </c>
      <c r="BO111" s="20">
        <v>0</v>
      </c>
      <c r="BP111" s="20">
        <v>0</v>
      </c>
      <c r="BQ111" s="20">
        <v>0</v>
      </c>
      <c r="BR111" s="20">
        <v>0</v>
      </c>
      <c r="BS111" s="20">
        <v>0</v>
      </c>
      <c r="BT111" s="20">
        <v>0</v>
      </c>
      <c r="BU111" s="20">
        <v>0</v>
      </c>
      <c r="BV111" s="20">
        <v>0</v>
      </c>
      <c r="BW111" s="20">
        <v>0</v>
      </c>
      <c r="BX111" s="20">
        <v>0</v>
      </c>
      <c r="BY111" s="20">
        <v>0</v>
      </c>
      <c r="BZ111" s="20">
        <v>0</v>
      </c>
      <c r="CA111" s="20">
        <v>0</v>
      </c>
      <c r="CB111" s="20">
        <v>0</v>
      </c>
      <c r="CC111" s="20">
        <v>0</v>
      </c>
      <c r="CD111" s="20">
        <v>0</v>
      </c>
      <c r="CE111" s="20">
        <v>0</v>
      </c>
      <c r="CF111" s="20">
        <v>0</v>
      </c>
      <c r="CG111" s="20">
        <v>0</v>
      </c>
      <c r="CH111" s="20">
        <v>0</v>
      </c>
      <c r="CI111" s="20">
        <v>0</v>
      </c>
      <c r="CJ111" s="20">
        <v>0</v>
      </c>
      <c r="CK111" s="20">
        <v>0</v>
      </c>
      <c r="CM111" s="5" t="s">
        <v>77</v>
      </c>
      <c r="CN111" s="21">
        <v>0</v>
      </c>
      <c r="CO111" s="22">
        <v>0</v>
      </c>
      <c r="CP111" s="22">
        <v>0</v>
      </c>
      <c r="CQ111" s="22">
        <v>0</v>
      </c>
      <c r="CR111" s="22">
        <v>0</v>
      </c>
      <c r="CS111" s="22">
        <v>0</v>
      </c>
      <c r="CT111" s="22">
        <v>0</v>
      </c>
      <c r="CU111" s="22">
        <v>0</v>
      </c>
      <c r="CV111" s="22">
        <v>0</v>
      </c>
      <c r="CW111" s="22">
        <v>0</v>
      </c>
      <c r="CX111" s="22">
        <v>0</v>
      </c>
      <c r="CY111" s="22">
        <v>0</v>
      </c>
      <c r="CZ111" s="22">
        <v>0</v>
      </c>
      <c r="DA111" s="22">
        <v>0</v>
      </c>
      <c r="DB111" s="22">
        <v>0</v>
      </c>
      <c r="DC111" s="22">
        <v>0</v>
      </c>
      <c r="DD111" s="22">
        <v>0</v>
      </c>
      <c r="DE111" s="22">
        <v>0</v>
      </c>
      <c r="DF111" s="22">
        <v>0</v>
      </c>
      <c r="DG111" s="22">
        <v>0</v>
      </c>
      <c r="DH111" s="22">
        <v>0</v>
      </c>
      <c r="DI111" s="22">
        <v>0</v>
      </c>
      <c r="DJ111" s="22">
        <v>0</v>
      </c>
      <c r="DK111" s="22">
        <v>0</v>
      </c>
      <c r="DL111" s="22">
        <v>0</v>
      </c>
      <c r="DM111" s="22">
        <v>0</v>
      </c>
      <c r="DO111" s="5" t="s">
        <v>77</v>
      </c>
      <c r="DP111" s="23">
        <v>0</v>
      </c>
      <c r="DQ111" s="23">
        <v>0</v>
      </c>
      <c r="DR111" s="23">
        <v>0</v>
      </c>
      <c r="DS111" s="23">
        <v>0</v>
      </c>
      <c r="DT111" s="23">
        <v>0</v>
      </c>
      <c r="DU111" s="23">
        <v>0</v>
      </c>
      <c r="DV111" s="23">
        <v>0</v>
      </c>
      <c r="DW111" s="23">
        <v>0</v>
      </c>
      <c r="DX111" s="23">
        <v>0</v>
      </c>
      <c r="DY111" s="23">
        <v>0</v>
      </c>
      <c r="DZ111" s="23">
        <v>0</v>
      </c>
      <c r="EA111" s="23">
        <v>0</v>
      </c>
      <c r="EB111" s="23">
        <v>0</v>
      </c>
      <c r="EC111" s="23">
        <v>0</v>
      </c>
      <c r="ED111" s="23">
        <v>0</v>
      </c>
      <c r="EE111" s="23">
        <v>0</v>
      </c>
      <c r="EF111" s="23">
        <v>0</v>
      </c>
      <c r="EG111" s="23">
        <v>0</v>
      </c>
      <c r="EH111" s="23">
        <v>0</v>
      </c>
      <c r="EI111" s="23">
        <v>0</v>
      </c>
      <c r="EJ111" s="23">
        <v>0</v>
      </c>
      <c r="EK111" s="23">
        <v>0</v>
      </c>
      <c r="EL111" s="23">
        <v>0</v>
      </c>
      <c r="EM111" s="23">
        <v>0</v>
      </c>
      <c r="EN111" s="23">
        <v>0</v>
      </c>
      <c r="EO111" s="23">
        <v>0</v>
      </c>
      <c r="EP111" s="24">
        <f>IFERROR(INDEX('[1]GenX Resources'!$AP$10:$AP$46,MATCH(DO111,'[1]GenX Resources'!$B$10:$B$46,0)),0)</f>
        <v>0.9</v>
      </c>
      <c r="EQ111" s="2" t="b">
        <f t="shared" si="35"/>
        <v>0</v>
      </c>
      <c r="ES111" s="25">
        <f>IFERROR(INDEX('[1]GenX Resources'!$AD:$AD,MATCH($G111,'[1]GenX Resources'!$B:$B,0)) - IF(OR(INDEX('[1]GenX Resources'!$L:$L,MATCH($G111,'[1]GenX Resources'!$B:$B,0)),ISNUMBER(SEARCH("New Generic",$G111))),0,INDEX('[1]GenX Resources'!$M:$M,MATCH($G111,'[1]GenX Resources'!$B:$B,0))),0)</f>
        <v>-871000</v>
      </c>
      <c r="EU111" s="5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</row>
    <row r="112" spans="6:177" ht="16" x14ac:dyDescent="0.2">
      <c r="F112" s="19" t="str">
        <f>IFERROR(INDEX('[1]GenX Resources'!$A$10:$A$76,MATCH(G112,'[1]GenX Resources'!$B$10:$B$76,0)),"")</f>
        <v>Gas CCGT</v>
      </c>
      <c r="G112" s="5" t="s">
        <v>78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I112" s="5" t="s">
        <v>78</v>
      </c>
      <c r="AJ112" s="6">
        <f>SUMIFS([1]!Resources[Summer Rating],[1]!Resources[COD],"&lt;="&amp;AJ$77,[1]!Resources[Retirement Date],"&gt;="&amp;AJ$77,[1]!Resources[Unique Key],$AI112,[1]!Resources[Availability '#],"&gt;="&amp;2)</f>
        <v>0</v>
      </c>
      <c r="AK112" s="6">
        <f>SUMIFS([1]!Resources[Summer Rating],[1]!Resources[COD],"&lt;="&amp;AK$77,[1]!Resources[Retirement Date],"&gt;="&amp;AK$77,[1]!Resources[Unique Key],$AI112,[1]!Resources[Availability '#],"&gt;="&amp;2)</f>
        <v>0</v>
      </c>
      <c r="AL112" s="6">
        <f>SUMIFS([1]!Resources[Summer Rating],[1]!Resources[COD],"&lt;="&amp;AL$77,[1]!Resources[Retirement Date],"&gt;="&amp;AL$77,[1]!Resources[Unique Key],$AI112,[1]!Resources[Availability '#],"&gt;="&amp;2)</f>
        <v>0</v>
      </c>
      <c r="AM112" s="6">
        <f>SUMIFS([1]!Resources[Summer Rating],[1]!Resources[COD],"&lt;="&amp;AM$77,[1]!Resources[Retirement Date],"&gt;="&amp;AM$77,[1]!Resources[Unique Key],$AI112,[1]!Resources[Availability '#],"&gt;="&amp;2)</f>
        <v>0</v>
      </c>
      <c r="AN112" s="6">
        <f>SUMIFS([1]!Resources[Summer Rating],[1]!Resources[COD],"&lt;="&amp;AN$77,[1]!Resources[Retirement Date],"&gt;="&amp;AN$77,[1]!Resources[Unique Key],$AI112,[1]!Resources[Availability '#],"&gt;="&amp;2)</f>
        <v>0</v>
      </c>
      <c r="AO112" s="6">
        <f>SUMIFS([1]!Resources[Summer Rating],[1]!Resources[COD],"&lt;="&amp;AO$77,[1]!Resources[Retirement Date],"&gt;="&amp;AO$77,[1]!Resources[Unique Key],$AI112,[1]!Resources[Availability '#],"&gt;="&amp;2)</f>
        <v>0</v>
      </c>
      <c r="AP112" s="6">
        <f>SUMIFS([1]!Resources[Summer Rating],[1]!Resources[COD],"&lt;="&amp;AP$77,[1]!Resources[Retirement Date],"&gt;="&amp;AP$77,[1]!Resources[Unique Key],$AI112,[1]!Resources[Availability '#],"&gt;="&amp;2)</f>
        <v>0</v>
      </c>
      <c r="AQ112" s="6">
        <f>SUMIFS([1]!Resources[Summer Rating],[1]!Resources[COD],"&lt;="&amp;AQ$77,[1]!Resources[Retirement Date],"&gt;="&amp;AQ$77,[1]!Resources[Unique Key],$AI112,[1]!Resources[Availability '#],"&gt;="&amp;2)</f>
        <v>0</v>
      </c>
      <c r="AR112" s="6">
        <f>SUMIFS([1]!Resources[Summer Rating],[1]!Resources[COD],"&lt;="&amp;AR$77,[1]!Resources[Retirement Date],"&gt;="&amp;AR$77,[1]!Resources[Unique Key],$AI112,[1]!Resources[Availability '#],"&gt;="&amp;2)</f>
        <v>0</v>
      </c>
      <c r="AS112" s="6">
        <f>SUMIFS([1]!Resources[Summer Rating],[1]!Resources[COD],"&lt;="&amp;AS$77,[1]!Resources[Retirement Date],"&gt;="&amp;AS$77,[1]!Resources[Unique Key],$AI112,[1]!Resources[Availability '#],"&gt;="&amp;2)</f>
        <v>0</v>
      </c>
      <c r="AT112" s="6">
        <f>SUMIFS([1]!Resources[Summer Rating],[1]!Resources[COD],"&lt;="&amp;AT$77,[1]!Resources[Retirement Date],"&gt;="&amp;AT$77,[1]!Resources[Unique Key],$AI112,[1]!Resources[Availability '#],"&gt;="&amp;2)</f>
        <v>0</v>
      </c>
      <c r="AU112" s="6">
        <f>SUMIFS([1]!Resources[Summer Rating],[1]!Resources[COD],"&lt;="&amp;AU$77,[1]!Resources[Retirement Date],"&gt;="&amp;AU$77,[1]!Resources[Unique Key],$AI112,[1]!Resources[Availability '#],"&gt;="&amp;2)</f>
        <v>0</v>
      </c>
      <c r="AV112" s="6">
        <f>SUMIFS([1]!Resources[Summer Rating],[1]!Resources[COD],"&lt;="&amp;AV$77,[1]!Resources[Retirement Date],"&gt;="&amp;AV$77,[1]!Resources[Unique Key],$AI112,[1]!Resources[Availability '#],"&gt;="&amp;2)</f>
        <v>0</v>
      </c>
      <c r="AW112" s="6">
        <f>SUMIFS([1]!Resources[Summer Rating],[1]!Resources[COD],"&lt;="&amp;AW$77,[1]!Resources[Retirement Date],"&gt;="&amp;AW$77,[1]!Resources[Unique Key],$AI112,[1]!Resources[Availability '#],"&gt;="&amp;2)</f>
        <v>0</v>
      </c>
      <c r="AX112" s="6">
        <f>SUMIFS([1]!Resources[Summer Rating],[1]!Resources[COD],"&lt;="&amp;AX$77,[1]!Resources[Retirement Date],"&gt;="&amp;AX$77,[1]!Resources[Unique Key],$AI112,[1]!Resources[Availability '#],"&gt;="&amp;2)</f>
        <v>0</v>
      </c>
      <c r="AY112" s="6">
        <f>SUMIFS([1]!Resources[Summer Rating],[1]!Resources[COD],"&lt;="&amp;AY$77,[1]!Resources[Retirement Date],"&gt;="&amp;AY$77,[1]!Resources[Unique Key],$AI112,[1]!Resources[Availability '#],"&gt;="&amp;2)</f>
        <v>0</v>
      </c>
      <c r="AZ112" s="6">
        <f>SUMIFS([1]!Resources[Summer Rating],[1]!Resources[COD],"&lt;="&amp;AZ$77,[1]!Resources[Retirement Date],"&gt;="&amp;AZ$77,[1]!Resources[Unique Key],$AI112,[1]!Resources[Availability '#],"&gt;="&amp;2)</f>
        <v>0</v>
      </c>
      <c r="BA112" s="6">
        <f>SUMIFS([1]!Resources[Summer Rating],[1]!Resources[COD],"&lt;="&amp;BA$77,[1]!Resources[Retirement Date],"&gt;="&amp;BA$77,[1]!Resources[Unique Key],$AI112,[1]!Resources[Availability '#],"&gt;="&amp;2)</f>
        <v>0</v>
      </c>
      <c r="BB112" s="6">
        <f>SUMIFS([1]!Resources[Summer Rating],[1]!Resources[COD],"&lt;="&amp;BB$77,[1]!Resources[Retirement Date],"&gt;="&amp;BB$77,[1]!Resources[Unique Key],$AI112,[1]!Resources[Availability '#],"&gt;="&amp;2)</f>
        <v>0</v>
      </c>
      <c r="BC112" s="6">
        <f>SUMIFS([1]!Resources[Summer Rating],[1]!Resources[COD],"&lt;="&amp;BC$77,[1]!Resources[Retirement Date],"&gt;="&amp;BC$77,[1]!Resources[Unique Key],$AI112,[1]!Resources[Availability '#],"&gt;="&amp;2)</f>
        <v>0</v>
      </c>
      <c r="BD112" s="6">
        <f>SUMIFS([1]!Resources[Summer Rating],[1]!Resources[COD],"&lt;="&amp;BD$77,[1]!Resources[Retirement Date],"&gt;="&amp;BD$77,[1]!Resources[Unique Key],$AI112,[1]!Resources[Availability '#],"&gt;="&amp;2)</f>
        <v>0</v>
      </c>
      <c r="BE112" s="6">
        <f>SUMIFS([1]!Resources[Summer Rating],[1]!Resources[COD],"&lt;="&amp;BE$77,[1]!Resources[Retirement Date],"&gt;="&amp;BE$77,[1]!Resources[Unique Key],$AI112,[1]!Resources[Availability '#],"&gt;="&amp;2)</f>
        <v>0</v>
      </c>
      <c r="BF112" s="6">
        <f>SUMIFS([1]!Resources[Summer Rating],[1]!Resources[COD],"&lt;="&amp;BF$77,[1]!Resources[Retirement Date],"&gt;="&amp;BF$77,[1]!Resources[Unique Key],$AI112,[1]!Resources[Availability '#],"&gt;="&amp;2)</f>
        <v>0</v>
      </c>
      <c r="BG112" s="6">
        <f>SUMIFS([1]!Resources[Summer Rating],[1]!Resources[COD],"&lt;="&amp;BG$77,[1]!Resources[Retirement Date],"&gt;="&amp;BG$77,[1]!Resources[Unique Key],$AI112,[1]!Resources[Availability '#],"&gt;="&amp;2)</f>
        <v>0</v>
      </c>
      <c r="BH112" s="6">
        <f>SUMIFS([1]!Resources[Summer Rating],[1]!Resources[COD],"&lt;="&amp;BH$77,[1]!Resources[Retirement Date],"&gt;="&amp;BH$77,[1]!Resources[Unique Key],$AI112,[1]!Resources[Availability '#],"&gt;="&amp;2)</f>
        <v>0</v>
      </c>
      <c r="BI112" s="6">
        <f>SUMIFS([1]!Resources[Summer Rating],[1]!Resources[COD],"&lt;="&amp;BI$77,[1]!Resources[Retirement Date],"&gt;="&amp;BI$77,[1]!Resources[Unique Key],$AI112,[1]!Resources[Availability '#],"&gt;="&amp;2)</f>
        <v>0</v>
      </c>
      <c r="BK112" s="5" t="s">
        <v>78</v>
      </c>
      <c r="BL112" s="20">
        <v>0</v>
      </c>
      <c r="BM112" s="20">
        <v>0</v>
      </c>
      <c r="BN112" s="20">
        <v>0</v>
      </c>
      <c r="BO112" s="20">
        <v>0</v>
      </c>
      <c r="BP112" s="20">
        <v>0</v>
      </c>
      <c r="BQ112" s="20">
        <v>0</v>
      </c>
      <c r="BR112" s="20">
        <v>0</v>
      </c>
      <c r="BS112" s="20">
        <v>0</v>
      </c>
      <c r="BT112" s="20">
        <v>0</v>
      </c>
      <c r="BU112" s="20">
        <v>0</v>
      </c>
      <c r="BV112" s="20">
        <v>0</v>
      </c>
      <c r="BW112" s="20">
        <v>0</v>
      </c>
      <c r="BX112" s="20">
        <v>0</v>
      </c>
      <c r="BY112" s="20">
        <v>0</v>
      </c>
      <c r="BZ112" s="20">
        <v>0</v>
      </c>
      <c r="CA112" s="20">
        <v>0</v>
      </c>
      <c r="CB112" s="20">
        <v>0</v>
      </c>
      <c r="CC112" s="20">
        <v>0</v>
      </c>
      <c r="CD112" s="20">
        <v>0</v>
      </c>
      <c r="CE112" s="20">
        <v>0</v>
      </c>
      <c r="CF112" s="20">
        <v>0</v>
      </c>
      <c r="CG112" s="20">
        <v>0</v>
      </c>
      <c r="CH112" s="20">
        <v>0</v>
      </c>
      <c r="CI112" s="20">
        <v>0</v>
      </c>
      <c r="CJ112" s="20">
        <v>0</v>
      </c>
      <c r="CK112" s="20">
        <v>0</v>
      </c>
      <c r="CM112" s="5" t="s">
        <v>78</v>
      </c>
      <c r="CN112" s="21">
        <v>0</v>
      </c>
      <c r="CO112" s="22">
        <v>0</v>
      </c>
      <c r="CP112" s="22">
        <v>0</v>
      </c>
      <c r="CQ112" s="22">
        <v>0</v>
      </c>
      <c r="CR112" s="22">
        <v>0</v>
      </c>
      <c r="CS112" s="22">
        <v>0</v>
      </c>
      <c r="CT112" s="22">
        <v>0</v>
      </c>
      <c r="CU112" s="22">
        <v>0</v>
      </c>
      <c r="CV112" s="22">
        <v>0</v>
      </c>
      <c r="CW112" s="22">
        <v>0</v>
      </c>
      <c r="CX112" s="22">
        <v>0</v>
      </c>
      <c r="CY112" s="22">
        <v>0</v>
      </c>
      <c r="CZ112" s="22">
        <v>0</v>
      </c>
      <c r="DA112" s="22">
        <v>0</v>
      </c>
      <c r="DB112" s="22">
        <v>0</v>
      </c>
      <c r="DC112" s="22">
        <v>0</v>
      </c>
      <c r="DD112" s="22">
        <v>0</v>
      </c>
      <c r="DE112" s="22">
        <v>0</v>
      </c>
      <c r="DF112" s="22">
        <v>0</v>
      </c>
      <c r="DG112" s="22">
        <v>0</v>
      </c>
      <c r="DH112" s="22">
        <v>0</v>
      </c>
      <c r="DI112" s="22">
        <v>0</v>
      </c>
      <c r="DJ112" s="22">
        <v>0</v>
      </c>
      <c r="DK112" s="22">
        <v>0</v>
      </c>
      <c r="DL112" s="22">
        <v>0</v>
      </c>
      <c r="DM112" s="22">
        <v>0</v>
      </c>
      <c r="DO112" s="5" t="s">
        <v>78</v>
      </c>
      <c r="DP112" s="23">
        <v>0</v>
      </c>
      <c r="DQ112" s="23">
        <v>0</v>
      </c>
      <c r="DR112" s="23">
        <v>0</v>
      </c>
      <c r="DS112" s="23">
        <v>0</v>
      </c>
      <c r="DT112" s="23">
        <v>0</v>
      </c>
      <c r="DU112" s="23">
        <v>0</v>
      </c>
      <c r="DV112" s="23">
        <v>0</v>
      </c>
      <c r="DW112" s="23">
        <v>0</v>
      </c>
      <c r="DX112" s="23">
        <v>0</v>
      </c>
      <c r="DY112" s="23">
        <v>0</v>
      </c>
      <c r="DZ112" s="23">
        <v>0</v>
      </c>
      <c r="EA112" s="23">
        <v>0</v>
      </c>
      <c r="EB112" s="23">
        <v>0</v>
      </c>
      <c r="EC112" s="23">
        <v>0</v>
      </c>
      <c r="ED112" s="23">
        <v>0</v>
      </c>
      <c r="EE112" s="23">
        <v>0</v>
      </c>
      <c r="EF112" s="23">
        <v>0</v>
      </c>
      <c r="EG112" s="23">
        <v>0</v>
      </c>
      <c r="EH112" s="23">
        <v>0</v>
      </c>
      <c r="EI112" s="23">
        <v>0</v>
      </c>
      <c r="EJ112" s="23">
        <v>0</v>
      </c>
      <c r="EK112" s="23">
        <v>0</v>
      </c>
      <c r="EL112" s="23">
        <v>0</v>
      </c>
      <c r="EM112" s="23">
        <v>0</v>
      </c>
      <c r="EN112" s="23">
        <v>0</v>
      </c>
      <c r="EO112" s="23">
        <v>0</v>
      </c>
      <c r="EP112" s="24">
        <f>IFERROR(INDEX('[1]GenX Resources'!$AP$10:$AP$46,MATCH(DO112,'[1]GenX Resources'!$B$10:$B$46,0)),0)</f>
        <v>0.35</v>
      </c>
      <c r="EQ112" s="2" t="b">
        <f t="shared" si="35"/>
        <v>0</v>
      </c>
      <c r="ES112" s="25">
        <f>IFERROR(INDEX('[1]GenX Resources'!$AD:$AD,MATCH($G112,'[1]GenX Resources'!$B:$B,0)) - IF(OR(INDEX('[1]GenX Resources'!$L:$L,MATCH($G112,'[1]GenX Resources'!$B:$B,0)),ISNUMBER(SEARCH("New Generic",$G112))),0,INDEX('[1]GenX Resources'!$M:$M,MATCH($G112,'[1]GenX Resources'!$B:$B,0))),0)</f>
        <v>39000</v>
      </c>
      <c r="EU112" s="5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</row>
    <row r="113" spans="6:177" ht="16" x14ac:dyDescent="0.2">
      <c r="F113" s="19" t="str">
        <f>IFERROR(INDEX('[1]GenX Resources'!$A$10:$A$76,MATCH(G113,'[1]GenX Resources'!$B$10:$B$76,0)),"")</f>
        <v>Gas CT</v>
      </c>
      <c r="G113" s="5" t="s">
        <v>79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I113" s="5" t="s">
        <v>79</v>
      </c>
      <c r="AJ113" s="6">
        <f>SUMIFS([1]!Resources[Summer Rating],[1]!Resources[COD],"&lt;="&amp;AJ$77,[1]!Resources[Retirement Date],"&gt;="&amp;AJ$77,[1]!Resources[Unique Key],$AI113,[1]!Resources[Availability '#],"&gt;="&amp;2)</f>
        <v>0</v>
      </c>
      <c r="AK113" s="6">
        <f>SUMIFS([1]!Resources[Summer Rating],[1]!Resources[COD],"&lt;="&amp;AK$77,[1]!Resources[Retirement Date],"&gt;="&amp;AK$77,[1]!Resources[Unique Key],$AI113,[1]!Resources[Availability '#],"&gt;="&amp;2)</f>
        <v>0</v>
      </c>
      <c r="AL113" s="6">
        <f>SUMIFS([1]!Resources[Summer Rating],[1]!Resources[COD],"&lt;="&amp;AL$77,[1]!Resources[Retirement Date],"&gt;="&amp;AL$77,[1]!Resources[Unique Key],$AI113,[1]!Resources[Availability '#],"&gt;="&amp;2)</f>
        <v>0</v>
      </c>
      <c r="AM113" s="6">
        <f>SUMIFS([1]!Resources[Summer Rating],[1]!Resources[COD],"&lt;="&amp;AM$77,[1]!Resources[Retirement Date],"&gt;="&amp;AM$77,[1]!Resources[Unique Key],$AI113,[1]!Resources[Availability '#],"&gt;="&amp;2)</f>
        <v>0</v>
      </c>
      <c r="AN113" s="6">
        <f>SUMIFS([1]!Resources[Summer Rating],[1]!Resources[COD],"&lt;="&amp;AN$77,[1]!Resources[Retirement Date],"&gt;="&amp;AN$77,[1]!Resources[Unique Key],$AI113,[1]!Resources[Availability '#],"&gt;="&amp;2)</f>
        <v>0</v>
      </c>
      <c r="AO113" s="6">
        <f>SUMIFS([1]!Resources[Summer Rating],[1]!Resources[COD],"&lt;="&amp;AO$77,[1]!Resources[Retirement Date],"&gt;="&amp;AO$77,[1]!Resources[Unique Key],$AI113,[1]!Resources[Availability '#],"&gt;="&amp;2)</f>
        <v>0</v>
      </c>
      <c r="AP113" s="6">
        <f>SUMIFS([1]!Resources[Summer Rating],[1]!Resources[COD],"&lt;="&amp;AP$77,[1]!Resources[Retirement Date],"&gt;="&amp;AP$77,[1]!Resources[Unique Key],$AI113,[1]!Resources[Availability '#],"&gt;="&amp;2)</f>
        <v>0</v>
      </c>
      <c r="AQ113" s="6">
        <f>SUMIFS([1]!Resources[Summer Rating],[1]!Resources[COD],"&lt;="&amp;AQ$77,[1]!Resources[Retirement Date],"&gt;="&amp;AQ$77,[1]!Resources[Unique Key],$AI113,[1]!Resources[Availability '#],"&gt;="&amp;2)</f>
        <v>0</v>
      </c>
      <c r="AR113" s="6">
        <f>SUMIFS([1]!Resources[Summer Rating],[1]!Resources[COD],"&lt;="&amp;AR$77,[1]!Resources[Retirement Date],"&gt;="&amp;AR$77,[1]!Resources[Unique Key],$AI113,[1]!Resources[Availability '#],"&gt;="&amp;2)</f>
        <v>0</v>
      </c>
      <c r="AS113" s="6">
        <f>SUMIFS([1]!Resources[Summer Rating],[1]!Resources[COD],"&lt;="&amp;AS$77,[1]!Resources[Retirement Date],"&gt;="&amp;AS$77,[1]!Resources[Unique Key],$AI113,[1]!Resources[Availability '#],"&gt;="&amp;2)</f>
        <v>0</v>
      </c>
      <c r="AT113" s="6">
        <f>SUMIFS([1]!Resources[Summer Rating],[1]!Resources[COD],"&lt;="&amp;AT$77,[1]!Resources[Retirement Date],"&gt;="&amp;AT$77,[1]!Resources[Unique Key],$AI113,[1]!Resources[Availability '#],"&gt;="&amp;2)</f>
        <v>0</v>
      </c>
      <c r="AU113" s="6">
        <f>SUMIFS([1]!Resources[Summer Rating],[1]!Resources[COD],"&lt;="&amp;AU$77,[1]!Resources[Retirement Date],"&gt;="&amp;AU$77,[1]!Resources[Unique Key],$AI113,[1]!Resources[Availability '#],"&gt;="&amp;2)</f>
        <v>0</v>
      </c>
      <c r="AV113" s="6">
        <f>SUMIFS([1]!Resources[Summer Rating],[1]!Resources[COD],"&lt;="&amp;AV$77,[1]!Resources[Retirement Date],"&gt;="&amp;AV$77,[1]!Resources[Unique Key],$AI113,[1]!Resources[Availability '#],"&gt;="&amp;2)</f>
        <v>0</v>
      </c>
      <c r="AW113" s="6">
        <f>SUMIFS([1]!Resources[Summer Rating],[1]!Resources[COD],"&lt;="&amp;AW$77,[1]!Resources[Retirement Date],"&gt;="&amp;AW$77,[1]!Resources[Unique Key],$AI113,[1]!Resources[Availability '#],"&gt;="&amp;2)</f>
        <v>0</v>
      </c>
      <c r="AX113" s="6">
        <f>SUMIFS([1]!Resources[Summer Rating],[1]!Resources[COD],"&lt;="&amp;AX$77,[1]!Resources[Retirement Date],"&gt;="&amp;AX$77,[1]!Resources[Unique Key],$AI113,[1]!Resources[Availability '#],"&gt;="&amp;2)</f>
        <v>0</v>
      </c>
      <c r="AY113" s="6">
        <f>SUMIFS([1]!Resources[Summer Rating],[1]!Resources[COD],"&lt;="&amp;AY$77,[1]!Resources[Retirement Date],"&gt;="&amp;AY$77,[1]!Resources[Unique Key],$AI113,[1]!Resources[Availability '#],"&gt;="&amp;2)</f>
        <v>0</v>
      </c>
      <c r="AZ113" s="6">
        <f>SUMIFS([1]!Resources[Summer Rating],[1]!Resources[COD],"&lt;="&amp;AZ$77,[1]!Resources[Retirement Date],"&gt;="&amp;AZ$77,[1]!Resources[Unique Key],$AI113,[1]!Resources[Availability '#],"&gt;="&amp;2)</f>
        <v>0</v>
      </c>
      <c r="BA113" s="6">
        <f>SUMIFS([1]!Resources[Summer Rating],[1]!Resources[COD],"&lt;="&amp;BA$77,[1]!Resources[Retirement Date],"&gt;="&amp;BA$77,[1]!Resources[Unique Key],$AI113,[1]!Resources[Availability '#],"&gt;="&amp;2)</f>
        <v>0</v>
      </c>
      <c r="BB113" s="6">
        <f>SUMIFS([1]!Resources[Summer Rating],[1]!Resources[COD],"&lt;="&amp;BB$77,[1]!Resources[Retirement Date],"&gt;="&amp;BB$77,[1]!Resources[Unique Key],$AI113,[1]!Resources[Availability '#],"&gt;="&amp;2)</f>
        <v>0</v>
      </c>
      <c r="BC113" s="6">
        <f>SUMIFS([1]!Resources[Summer Rating],[1]!Resources[COD],"&lt;="&amp;BC$77,[1]!Resources[Retirement Date],"&gt;="&amp;BC$77,[1]!Resources[Unique Key],$AI113,[1]!Resources[Availability '#],"&gt;="&amp;2)</f>
        <v>0</v>
      </c>
      <c r="BD113" s="6">
        <f>SUMIFS([1]!Resources[Summer Rating],[1]!Resources[COD],"&lt;="&amp;BD$77,[1]!Resources[Retirement Date],"&gt;="&amp;BD$77,[1]!Resources[Unique Key],$AI113,[1]!Resources[Availability '#],"&gt;="&amp;2)</f>
        <v>0</v>
      </c>
      <c r="BE113" s="6">
        <f>SUMIFS([1]!Resources[Summer Rating],[1]!Resources[COD],"&lt;="&amp;BE$77,[1]!Resources[Retirement Date],"&gt;="&amp;BE$77,[1]!Resources[Unique Key],$AI113,[1]!Resources[Availability '#],"&gt;="&amp;2)</f>
        <v>0</v>
      </c>
      <c r="BF113" s="6">
        <f>SUMIFS([1]!Resources[Summer Rating],[1]!Resources[COD],"&lt;="&amp;BF$77,[1]!Resources[Retirement Date],"&gt;="&amp;BF$77,[1]!Resources[Unique Key],$AI113,[1]!Resources[Availability '#],"&gt;="&amp;2)</f>
        <v>0</v>
      </c>
      <c r="BG113" s="6">
        <f>SUMIFS([1]!Resources[Summer Rating],[1]!Resources[COD],"&lt;="&amp;BG$77,[1]!Resources[Retirement Date],"&gt;="&amp;BG$77,[1]!Resources[Unique Key],$AI113,[1]!Resources[Availability '#],"&gt;="&amp;2)</f>
        <v>0</v>
      </c>
      <c r="BH113" s="6">
        <f>SUMIFS([1]!Resources[Summer Rating],[1]!Resources[COD],"&lt;="&amp;BH$77,[1]!Resources[Retirement Date],"&gt;="&amp;BH$77,[1]!Resources[Unique Key],$AI113,[1]!Resources[Availability '#],"&gt;="&amp;2)</f>
        <v>0</v>
      </c>
      <c r="BI113" s="6">
        <f>SUMIFS([1]!Resources[Summer Rating],[1]!Resources[COD],"&lt;="&amp;BI$77,[1]!Resources[Retirement Date],"&gt;="&amp;BI$77,[1]!Resources[Unique Key],$AI113,[1]!Resources[Availability '#],"&gt;="&amp;2)</f>
        <v>0</v>
      </c>
      <c r="BK113" s="5" t="s">
        <v>79</v>
      </c>
      <c r="BL113" s="20">
        <v>0</v>
      </c>
      <c r="BM113" s="20">
        <v>0</v>
      </c>
      <c r="BN113" s="20">
        <v>0</v>
      </c>
      <c r="BO113" s="20">
        <v>0</v>
      </c>
      <c r="BP113" s="20">
        <v>0</v>
      </c>
      <c r="BQ113" s="20">
        <v>0</v>
      </c>
      <c r="BR113" s="20">
        <v>0</v>
      </c>
      <c r="BS113" s="20">
        <v>0</v>
      </c>
      <c r="BT113" s="20">
        <v>0</v>
      </c>
      <c r="BU113" s="20">
        <v>0</v>
      </c>
      <c r="BV113" s="20">
        <v>0</v>
      </c>
      <c r="BW113" s="20">
        <v>0</v>
      </c>
      <c r="BX113" s="20">
        <v>0</v>
      </c>
      <c r="BY113" s="20">
        <v>0</v>
      </c>
      <c r="BZ113" s="20">
        <v>0</v>
      </c>
      <c r="CA113" s="20">
        <v>0</v>
      </c>
      <c r="CB113" s="20">
        <v>0</v>
      </c>
      <c r="CC113" s="20">
        <v>0</v>
      </c>
      <c r="CD113" s="20">
        <v>0</v>
      </c>
      <c r="CE113" s="20">
        <v>0</v>
      </c>
      <c r="CF113" s="20">
        <v>0</v>
      </c>
      <c r="CG113" s="20">
        <v>0</v>
      </c>
      <c r="CH113" s="20">
        <v>0</v>
      </c>
      <c r="CI113" s="20">
        <v>0</v>
      </c>
      <c r="CJ113" s="20">
        <v>0</v>
      </c>
      <c r="CK113" s="20">
        <v>0</v>
      </c>
      <c r="CM113" s="5" t="s">
        <v>79</v>
      </c>
      <c r="CN113" s="21">
        <v>0</v>
      </c>
      <c r="CO113" s="22">
        <v>0</v>
      </c>
      <c r="CP113" s="22">
        <v>0</v>
      </c>
      <c r="CQ113" s="22">
        <v>0</v>
      </c>
      <c r="CR113" s="22">
        <v>0</v>
      </c>
      <c r="CS113" s="22">
        <v>0</v>
      </c>
      <c r="CT113" s="22">
        <v>0</v>
      </c>
      <c r="CU113" s="22">
        <v>0</v>
      </c>
      <c r="CV113" s="22">
        <v>0</v>
      </c>
      <c r="CW113" s="22">
        <v>0</v>
      </c>
      <c r="CX113" s="22">
        <v>0</v>
      </c>
      <c r="CY113" s="22">
        <v>0</v>
      </c>
      <c r="CZ113" s="22">
        <v>0</v>
      </c>
      <c r="DA113" s="22">
        <v>0</v>
      </c>
      <c r="DB113" s="22">
        <v>0</v>
      </c>
      <c r="DC113" s="22">
        <v>0</v>
      </c>
      <c r="DD113" s="22">
        <v>0</v>
      </c>
      <c r="DE113" s="22">
        <v>0</v>
      </c>
      <c r="DF113" s="22">
        <v>0</v>
      </c>
      <c r="DG113" s="22">
        <v>0</v>
      </c>
      <c r="DH113" s="22">
        <v>0</v>
      </c>
      <c r="DI113" s="22">
        <v>0</v>
      </c>
      <c r="DJ113" s="22">
        <v>0</v>
      </c>
      <c r="DK113" s="22">
        <v>0</v>
      </c>
      <c r="DL113" s="22">
        <v>0</v>
      </c>
      <c r="DM113" s="22">
        <v>0</v>
      </c>
      <c r="DO113" s="5" t="s">
        <v>79</v>
      </c>
      <c r="DP113" s="23">
        <v>0</v>
      </c>
      <c r="DQ113" s="23">
        <v>0</v>
      </c>
      <c r="DR113" s="23">
        <v>0</v>
      </c>
      <c r="DS113" s="23">
        <v>0</v>
      </c>
      <c r="DT113" s="23">
        <v>0</v>
      </c>
      <c r="DU113" s="23">
        <v>0</v>
      </c>
      <c r="DV113" s="23">
        <v>0</v>
      </c>
      <c r="DW113" s="23">
        <v>0</v>
      </c>
      <c r="DX113" s="23">
        <v>0</v>
      </c>
      <c r="DY113" s="23">
        <v>0</v>
      </c>
      <c r="DZ113" s="23">
        <v>0</v>
      </c>
      <c r="EA113" s="23">
        <v>0</v>
      </c>
      <c r="EB113" s="23">
        <v>0</v>
      </c>
      <c r="EC113" s="23">
        <v>0</v>
      </c>
      <c r="ED113" s="23">
        <v>0</v>
      </c>
      <c r="EE113" s="23">
        <v>0</v>
      </c>
      <c r="EF113" s="23">
        <v>0</v>
      </c>
      <c r="EG113" s="23">
        <v>0</v>
      </c>
      <c r="EH113" s="23">
        <v>0</v>
      </c>
      <c r="EI113" s="23">
        <v>0</v>
      </c>
      <c r="EJ113" s="23">
        <v>0</v>
      </c>
      <c r="EK113" s="23">
        <v>0</v>
      </c>
      <c r="EL113" s="23">
        <v>0</v>
      </c>
      <c r="EM113" s="23">
        <v>0</v>
      </c>
      <c r="EN113" s="23">
        <v>0</v>
      </c>
      <c r="EO113" s="23">
        <v>0</v>
      </c>
      <c r="EP113" s="24">
        <f>IFERROR(INDEX('[1]GenX Resources'!$AP$10:$AP$46,MATCH(DO113,'[1]GenX Resources'!$B$10:$B$46,0)),0)</f>
        <v>0.1</v>
      </c>
      <c r="EQ113" s="2" t="b">
        <f t="shared" si="35"/>
        <v>0</v>
      </c>
      <c r="ES113" s="25">
        <f>IFERROR(INDEX('[1]GenX Resources'!$AD:$AD,MATCH($G113,'[1]GenX Resources'!$B:$B,0)) - IF(OR(INDEX('[1]GenX Resources'!$L:$L,MATCH($G113,'[1]GenX Resources'!$B:$B,0)),ISNUMBER(SEARCH("New Generic",$G113))),0,INDEX('[1]GenX Resources'!$M:$M,MATCH($G113,'[1]GenX Resources'!$B:$B,0))),0)</f>
        <v>25700</v>
      </c>
      <c r="EU113" s="5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</row>
    <row r="114" spans="6:177" ht="16" x14ac:dyDescent="0.2">
      <c r="F114" s="19" t="str">
        <f>IFERROR(INDEX('[1]GenX Resources'!$A$10:$A$76,MATCH(G114,'[1]GenX Resources'!$B$10:$B$76,0)),"")</f>
        <v>Capacity Purchase</v>
      </c>
      <c r="G114" s="5" t="s">
        <v>80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I114" s="5" t="s">
        <v>80</v>
      </c>
      <c r="AJ114" s="6">
        <f>SUMIFS([1]!Resources[Summer Rating],[1]!Resources[COD],"&lt;="&amp;AJ$77,[1]!Resources[Retirement Date],"&gt;="&amp;AJ$77,[1]!Resources[Unique Key],$AI114,[1]!Resources[Availability '#],"&gt;="&amp;2)</f>
        <v>0</v>
      </c>
      <c r="AK114" s="6">
        <f>SUMIFS([1]!Resources[Summer Rating],[1]!Resources[COD],"&lt;="&amp;AK$77,[1]!Resources[Retirement Date],"&gt;="&amp;AK$77,[1]!Resources[Unique Key],$AI114,[1]!Resources[Availability '#],"&gt;="&amp;2)</f>
        <v>0</v>
      </c>
      <c r="AL114" s="6">
        <f>SUMIFS([1]!Resources[Summer Rating],[1]!Resources[COD],"&lt;="&amp;AL$77,[1]!Resources[Retirement Date],"&gt;="&amp;AL$77,[1]!Resources[Unique Key],$AI114,[1]!Resources[Availability '#],"&gt;="&amp;2)</f>
        <v>0</v>
      </c>
      <c r="AM114" s="6">
        <f>SUMIFS([1]!Resources[Summer Rating],[1]!Resources[COD],"&lt;="&amp;AM$77,[1]!Resources[Retirement Date],"&gt;="&amp;AM$77,[1]!Resources[Unique Key],$AI114,[1]!Resources[Availability '#],"&gt;="&amp;2)</f>
        <v>0</v>
      </c>
      <c r="AN114" s="6">
        <f>SUMIFS([1]!Resources[Summer Rating],[1]!Resources[COD],"&lt;="&amp;AN$77,[1]!Resources[Retirement Date],"&gt;="&amp;AN$77,[1]!Resources[Unique Key],$AI114,[1]!Resources[Availability '#],"&gt;="&amp;2)</f>
        <v>0</v>
      </c>
      <c r="AO114" s="6">
        <f>SUMIFS([1]!Resources[Summer Rating],[1]!Resources[COD],"&lt;="&amp;AO$77,[1]!Resources[Retirement Date],"&gt;="&amp;AO$77,[1]!Resources[Unique Key],$AI114,[1]!Resources[Availability '#],"&gt;="&amp;2)</f>
        <v>0</v>
      </c>
      <c r="AP114" s="6">
        <f>SUMIFS([1]!Resources[Summer Rating],[1]!Resources[COD],"&lt;="&amp;AP$77,[1]!Resources[Retirement Date],"&gt;="&amp;AP$77,[1]!Resources[Unique Key],$AI114,[1]!Resources[Availability '#],"&gt;="&amp;2)</f>
        <v>0</v>
      </c>
      <c r="AQ114" s="6">
        <f>SUMIFS([1]!Resources[Summer Rating],[1]!Resources[COD],"&lt;="&amp;AQ$77,[1]!Resources[Retirement Date],"&gt;="&amp;AQ$77,[1]!Resources[Unique Key],$AI114,[1]!Resources[Availability '#],"&gt;="&amp;2)</f>
        <v>0</v>
      </c>
      <c r="AR114" s="6">
        <f>SUMIFS([1]!Resources[Summer Rating],[1]!Resources[COD],"&lt;="&amp;AR$77,[1]!Resources[Retirement Date],"&gt;="&amp;AR$77,[1]!Resources[Unique Key],$AI114,[1]!Resources[Availability '#],"&gt;="&amp;2)</f>
        <v>0</v>
      </c>
      <c r="AS114" s="6">
        <f>SUMIFS([1]!Resources[Summer Rating],[1]!Resources[COD],"&lt;="&amp;AS$77,[1]!Resources[Retirement Date],"&gt;="&amp;AS$77,[1]!Resources[Unique Key],$AI114,[1]!Resources[Availability '#],"&gt;="&amp;2)</f>
        <v>0</v>
      </c>
      <c r="AT114" s="6">
        <f>SUMIFS([1]!Resources[Summer Rating],[1]!Resources[COD],"&lt;="&amp;AT$77,[1]!Resources[Retirement Date],"&gt;="&amp;AT$77,[1]!Resources[Unique Key],$AI114,[1]!Resources[Availability '#],"&gt;="&amp;2)</f>
        <v>0</v>
      </c>
      <c r="AU114" s="6">
        <f>SUMIFS([1]!Resources[Summer Rating],[1]!Resources[COD],"&lt;="&amp;AU$77,[1]!Resources[Retirement Date],"&gt;="&amp;AU$77,[1]!Resources[Unique Key],$AI114,[1]!Resources[Availability '#],"&gt;="&amp;2)</f>
        <v>0</v>
      </c>
      <c r="AV114" s="6">
        <f>SUMIFS([1]!Resources[Summer Rating],[1]!Resources[COD],"&lt;="&amp;AV$77,[1]!Resources[Retirement Date],"&gt;="&amp;AV$77,[1]!Resources[Unique Key],$AI114,[1]!Resources[Availability '#],"&gt;="&amp;2)</f>
        <v>0</v>
      </c>
      <c r="AW114" s="6">
        <f>SUMIFS([1]!Resources[Summer Rating],[1]!Resources[COD],"&lt;="&amp;AW$77,[1]!Resources[Retirement Date],"&gt;="&amp;AW$77,[1]!Resources[Unique Key],$AI114,[1]!Resources[Availability '#],"&gt;="&amp;2)</f>
        <v>0</v>
      </c>
      <c r="AX114" s="6">
        <f>SUMIFS([1]!Resources[Summer Rating],[1]!Resources[COD],"&lt;="&amp;AX$77,[1]!Resources[Retirement Date],"&gt;="&amp;AX$77,[1]!Resources[Unique Key],$AI114,[1]!Resources[Availability '#],"&gt;="&amp;2)</f>
        <v>0</v>
      </c>
      <c r="AY114" s="6">
        <f>SUMIFS([1]!Resources[Summer Rating],[1]!Resources[COD],"&lt;="&amp;AY$77,[1]!Resources[Retirement Date],"&gt;="&amp;AY$77,[1]!Resources[Unique Key],$AI114,[1]!Resources[Availability '#],"&gt;="&amp;2)</f>
        <v>0</v>
      </c>
      <c r="AZ114" s="6">
        <f>SUMIFS([1]!Resources[Summer Rating],[1]!Resources[COD],"&lt;="&amp;AZ$77,[1]!Resources[Retirement Date],"&gt;="&amp;AZ$77,[1]!Resources[Unique Key],$AI114,[1]!Resources[Availability '#],"&gt;="&amp;2)</f>
        <v>0</v>
      </c>
      <c r="BA114" s="6">
        <f>SUMIFS([1]!Resources[Summer Rating],[1]!Resources[COD],"&lt;="&amp;BA$77,[1]!Resources[Retirement Date],"&gt;="&amp;BA$77,[1]!Resources[Unique Key],$AI114,[1]!Resources[Availability '#],"&gt;="&amp;2)</f>
        <v>0</v>
      </c>
      <c r="BB114" s="6">
        <f>SUMIFS([1]!Resources[Summer Rating],[1]!Resources[COD],"&lt;="&amp;BB$77,[1]!Resources[Retirement Date],"&gt;="&amp;BB$77,[1]!Resources[Unique Key],$AI114,[1]!Resources[Availability '#],"&gt;="&amp;2)</f>
        <v>0</v>
      </c>
      <c r="BC114" s="6">
        <f>SUMIFS([1]!Resources[Summer Rating],[1]!Resources[COD],"&lt;="&amp;BC$77,[1]!Resources[Retirement Date],"&gt;="&amp;BC$77,[1]!Resources[Unique Key],$AI114,[1]!Resources[Availability '#],"&gt;="&amp;2)</f>
        <v>0</v>
      </c>
      <c r="BD114" s="6">
        <f>SUMIFS([1]!Resources[Summer Rating],[1]!Resources[COD],"&lt;="&amp;BD$77,[1]!Resources[Retirement Date],"&gt;="&amp;BD$77,[1]!Resources[Unique Key],$AI114,[1]!Resources[Availability '#],"&gt;="&amp;2)</f>
        <v>0</v>
      </c>
      <c r="BE114" s="6">
        <f>SUMIFS([1]!Resources[Summer Rating],[1]!Resources[COD],"&lt;="&amp;BE$77,[1]!Resources[Retirement Date],"&gt;="&amp;BE$77,[1]!Resources[Unique Key],$AI114,[1]!Resources[Availability '#],"&gt;="&amp;2)</f>
        <v>0</v>
      </c>
      <c r="BF114" s="6">
        <f>SUMIFS([1]!Resources[Summer Rating],[1]!Resources[COD],"&lt;="&amp;BF$77,[1]!Resources[Retirement Date],"&gt;="&amp;BF$77,[1]!Resources[Unique Key],$AI114,[1]!Resources[Availability '#],"&gt;="&amp;2)</f>
        <v>0</v>
      </c>
      <c r="BG114" s="6">
        <f>SUMIFS([1]!Resources[Summer Rating],[1]!Resources[COD],"&lt;="&amp;BG$77,[1]!Resources[Retirement Date],"&gt;="&amp;BG$77,[1]!Resources[Unique Key],$AI114,[1]!Resources[Availability '#],"&gt;="&amp;2)</f>
        <v>0</v>
      </c>
      <c r="BH114" s="6">
        <f>SUMIFS([1]!Resources[Summer Rating],[1]!Resources[COD],"&lt;="&amp;BH$77,[1]!Resources[Retirement Date],"&gt;="&amp;BH$77,[1]!Resources[Unique Key],$AI114,[1]!Resources[Availability '#],"&gt;="&amp;2)</f>
        <v>0</v>
      </c>
      <c r="BI114" s="6">
        <f>SUMIFS([1]!Resources[Summer Rating],[1]!Resources[COD],"&lt;="&amp;BI$77,[1]!Resources[Retirement Date],"&gt;="&amp;BI$77,[1]!Resources[Unique Key],$AI114,[1]!Resources[Availability '#],"&gt;="&amp;2)</f>
        <v>0</v>
      </c>
      <c r="BK114" s="5" t="s">
        <v>80</v>
      </c>
      <c r="BL114" s="20">
        <v>0</v>
      </c>
      <c r="BM114" s="20">
        <v>0</v>
      </c>
      <c r="BN114" s="20">
        <v>0</v>
      </c>
      <c r="BO114" s="20">
        <v>0</v>
      </c>
      <c r="BP114" s="20">
        <v>0</v>
      </c>
      <c r="BQ114" s="20">
        <v>0</v>
      </c>
      <c r="BR114" s="20">
        <v>0</v>
      </c>
      <c r="BS114" s="20">
        <v>0</v>
      </c>
      <c r="BT114" s="20">
        <v>0</v>
      </c>
      <c r="BU114" s="20">
        <v>0</v>
      </c>
      <c r="BV114" s="20">
        <v>0</v>
      </c>
      <c r="BW114" s="20">
        <v>0</v>
      </c>
      <c r="BX114" s="20">
        <v>0</v>
      </c>
      <c r="BY114" s="20">
        <v>0</v>
      </c>
      <c r="BZ114" s="20">
        <v>0</v>
      </c>
      <c r="CA114" s="20">
        <v>0</v>
      </c>
      <c r="CB114" s="20">
        <v>0</v>
      </c>
      <c r="CC114" s="20">
        <v>0</v>
      </c>
      <c r="CD114" s="20">
        <v>0</v>
      </c>
      <c r="CE114" s="20">
        <v>0</v>
      </c>
      <c r="CF114" s="20">
        <v>0</v>
      </c>
      <c r="CG114" s="20">
        <v>0</v>
      </c>
      <c r="CH114" s="20">
        <v>0</v>
      </c>
      <c r="CI114" s="20">
        <v>0</v>
      </c>
      <c r="CJ114" s="20">
        <v>0</v>
      </c>
      <c r="CK114" s="20">
        <v>0</v>
      </c>
      <c r="CM114" s="5" t="s">
        <v>80</v>
      </c>
      <c r="CN114" s="21">
        <v>0</v>
      </c>
      <c r="CO114" s="22">
        <v>0</v>
      </c>
      <c r="CP114" s="22">
        <v>0</v>
      </c>
      <c r="CQ114" s="22">
        <v>0</v>
      </c>
      <c r="CR114" s="22">
        <v>0</v>
      </c>
      <c r="CS114" s="22">
        <v>0</v>
      </c>
      <c r="CT114" s="22">
        <v>0</v>
      </c>
      <c r="CU114" s="22">
        <v>0</v>
      </c>
      <c r="CV114" s="22">
        <v>0</v>
      </c>
      <c r="CW114" s="22">
        <v>0</v>
      </c>
      <c r="CX114" s="22">
        <v>0</v>
      </c>
      <c r="CY114" s="22">
        <v>0</v>
      </c>
      <c r="CZ114" s="22">
        <v>0</v>
      </c>
      <c r="DA114" s="22">
        <v>0</v>
      </c>
      <c r="DB114" s="22">
        <v>0</v>
      </c>
      <c r="DC114" s="22">
        <v>0</v>
      </c>
      <c r="DD114" s="22">
        <v>0</v>
      </c>
      <c r="DE114" s="22">
        <v>0</v>
      </c>
      <c r="DF114" s="22">
        <v>0</v>
      </c>
      <c r="DG114" s="22">
        <v>0</v>
      </c>
      <c r="DH114" s="22">
        <v>0</v>
      </c>
      <c r="DI114" s="22">
        <v>0</v>
      </c>
      <c r="DJ114" s="22">
        <v>0</v>
      </c>
      <c r="DK114" s="22">
        <v>0</v>
      </c>
      <c r="DL114" s="22">
        <v>0</v>
      </c>
      <c r="DM114" s="22">
        <v>0</v>
      </c>
      <c r="DO114" s="5" t="s">
        <v>80</v>
      </c>
      <c r="DP114" s="23">
        <v>0</v>
      </c>
      <c r="DQ114" s="23">
        <v>0</v>
      </c>
      <c r="DR114" s="23">
        <v>0</v>
      </c>
      <c r="DS114" s="23">
        <v>0</v>
      </c>
      <c r="DT114" s="23">
        <v>0</v>
      </c>
      <c r="DU114" s="23">
        <v>0</v>
      </c>
      <c r="DV114" s="23">
        <v>0</v>
      </c>
      <c r="DW114" s="23">
        <v>0</v>
      </c>
      <c r="DX114" s="23">
        <v>0</v>
      </c>
      <c r="DY114" s="23">
        <v>0</v>
      </c>
      <c r="DZ114" s="23">
        <v>0</v>
      </c>
      <c r="EA114" s="23">
        <v>0</v>
      </c>
      <c r="EB114" s="23">
        <v>0</v>
      </c>
      <c r="EC114" s="23">
        <v>0</v>
      </c>
      <c r="ED114" s="23">
        <v>0</v>
      </c>
      <c r="EE114" s="23">
        <v>0</v>
      </c>
      <c r="EF114" s="23">
        <v>0</v>
      </c>
      <c r="EG114" s="23">
        <v>0</v>
      </c>
      <c r="EH114" s="23">
        <v>0</v>
      </c>
      <c r="EI114" s="23">
        <v>0</v>
      </c>
      <c r="EJ114" s="23">
        <v>0</v>
      </c>
      <c r="EK114" s="23">
        <v>0</v>
      </c>
      <c r="EL114" s="23">
        <v>0</v>
      </c>
      <c r="EM114" s="23">
        <v>0</v>
      </c>
      <c r="EN114" s="23">
        <v>0</v>
      </c>
      <c r="EO114" s="23">
        <v>0</v>
      </c>
      <c r="EP114" s="24">
        <f ca="1">IFERROR(INDEX('[1]GenX Resources'!$AP$10:$AP$46,MATCH(DO114,'[1]GenX Resources'!$B$10:$B$46,0)),0)</f>
        <v>0</v>
      </c>
      <c r="EQ114" s="2" t="b">
        <f t="shared" ca="1" si="35"/>
        <v>1</v>
      </c>
      <c r="ES114" s="25">
        <f>IFERROR(INDEX('[1]GenX Resources'!$AD:$AD,MATCH($G114,'[1]GenX Resources'!$B:$B,0)) - IF(OR(INDEX('[1]GenX Resources'!$L:$L,MATCH($G114,'[1]GenX Resources'!$B:$B,0)),ISNUMBER(SEARCH("New Generic",$G114))),0,INDEX('[1]GenX Resources'!$M:$M,MATCH($G114,'[1]GenX Resources'!$B:$B,0))),0)</f>
        <v>0</v>
      </c>
      <c r="EU114" s="5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</row>
    <row r="115" spans="6:177" ht="16" x14ac:dyDescent="0.2">
      <c r="F115" s="19" t="str">
        <f>IFERROR(INDEX('[1]GenX Resources'!$A$10:$A$76,MATCH(G115,'[1]GenX Resources'!$B$10:$B$76,0)),"")</f>
        <v>Solar</v>
      </c>
      <c r="G115" s="5" t="s">
        <v>81</v>
      </c>
      <c r="H115" s="6">
        <v>325.3</v>
      </c>
      <c r="I115" s="6">
        <v>445.3</v>
      </c>
      <c r="J115" s="6">
        <v>815.3</v>
      </c>
      <c r="K115" s="6">
        <v>1365.3</v>
      </c>
      <c r="L115" s="6">
        <v>1515.3</v>
      </c>
      <c r="M115" s="6">
        <v>1515.3</v>
      </c>
      <c r="N115" s="6">
        <v>1565.3</v>
      </c>
      <c r="O115" s="6">
        <v>1565.3</v>
      </c>
      <c r="P115" s="6">
        <v>1615.3</v>
      </c>
      <c r="Q115" s="6">
        <v>1615.3</v>
      </c>
      <c r="R115" s="6">
        <v>2115.3000000000002</v>
      </c>
      <c r="S115" s="6">
        <v>2165.3000000000002</v>
      </c>
      <c r="T115" s="6">
        <v>2165.3000000000002</v>
      </c>
      <c r="U115" s="6">
        <v>2165.3000000000002</v>
      </c>
      <c r="V115" s="6">
        <v>2215.3000000000002</v>
      </c>
      <c r="W115" s="6">
        <v>2215.3000000000002</v>
      </c>
      <c r="X115" s="6">
        <v>2215.3000000000002</v>
      </c>
      <c r="Y115" s="6">
        <v>2215.3000000000002</v>
      </c>
      <c r="Z115" s="6">
        <v>2215.3000000000002</v>
      </c>
      <c r="AA115" s="6">
        <v>2215.3000000000002</v>
      </c>
      <c r="AB115" s="6">
        <v>2215.3000000000002</v>
      </c>
      <c r="AC115" s="6">
        <v>2215.3000000000002</v>
      </c>
      <c r="AD115" s="6">
        <v>2215.3000000000002</v>
      </c>
      <c r="AE115" s="6">
        <v>2215.3000000000002</v>
      </c>
      <c r="AF115" s="6">
        <v>2215.3000000000002</v>
      </c>
      <c r="AG115" s="6">
        <v>2215.3000000000002</v>
      </c>
      <c r="AI115" s="5" t="s">
        <v>81</v>
      </c>
      <c r="AJ115" s="6">
        <f>SUMIFS([1]!Resources[Summer Rating],[1]!Resources[COD],"&lt;="&amp;AJ$77,[1]!Resources[Retirement Date],"&gt;="&amp;AJ$77,[1]!Resources[Unique Key],$AI115,[1]!Resources[Availability '#],"&gt;="&amp;2)</f>
        <v>0</v>
      </c>
      <c r="AK115" s="6">
        <f>SUMIFS([1]!Resources[Summer Rating],[1]!Resources[COD],"&lt;="&amp;AK$77,[1]!Resources[Retirement Date],"&gt;="&amp;AK$77,[1]!Resources[Unique Key],$AI115,[1]!Resources[Availability '#],"&gt;="&amp;2)</f>
        <v>0</v>
      </c>
      <c r="AL115" s="6">
        <f>SUMIFS([1]!Resources[Summer Rating],[1]!Resources[COD],"&lt;="&amp;AL$77,[1]!Resources[Retirement Date],"&gt;="&amp;AL$77,[1]!Resources[Unique Key],$AI115,[1]!Resources[Availability '#],"&gt;="&amp;2)</f>
        <v>250</v>
      </c>
      <c r="AM115" s="6">
        <f>SUMIFS([1]!Resources[Summer Rating],[1]!Resources[COD],"&lt;="&amp;AM$77,[1]!Resources[Retirement Date],"&gt;="&amp;AM$77,[1]!Resources[Unique Key],$AI115,[1]!Resources[Availability '#],"&gt;="&amp;2)</f>
        <v>800</v>
      </c>
      <c r="AN115" s="6">
        <f>SUMIFS([1]!Resources[Summer Rating],[1]!Resources[COD],"&lt;="&amp;AN$77,[1]!Resources[Retirement Date],"&gt;="&amp;AN$77,[1]!Resources[Unique Key],$AI115,[1]!Resources[Availability '#],"&gt;="&amp;2)</f>
        <v>950</v>
      </c>
      <c r="AO115" s="6">
        <f>SUMIFS([1]!Resources[Summer Rating],[1]!Resources[COD],"&lt;="&amp;AO$77,[1]!Resources[Retirement Date],"&gt;="&amp;AO$77,[1]!Resources[Unique Key],$AI115,[1]!Resources[Availability '#],"&gt;="&amp;2)</f>
        <v>950</v>
      </c>
      <c r="AP115" s="6">
        <f>SUMIFS([1]!Resources[Summer Rating],[1]!Resources[COD],"&lt;="&amp;AP$77,[1]!Resources[Retirement Date],"&gt;="&amp;AP$77,[1]!Resources[Unique Key],$AI115,[1]!Resources[Availability '#],"&gt;="&amp;2)</f>
        <v>1000</v>
      </c>
      <c r="AQ115" s="6">
        <f>SUMIFS([1]!Resources[Summer Rating],[1]!Resources[COD],"&lt;="&amp;AQ$77,[1]!Resources[Retirement Date],"&gt;="&amp;AQ$77,[1]!Resources[Unique Key],$AI115,[1]!Resources[Availability '#],"&gt;="&amp;2)</f>
        <v>1000</v>
      </c>
      <c r="AR115" s="6">
        <f>SUMIFS([1]!Resources[Summer Rating],[1]!Resources[COD],"&lt;="&amp;AR$77,[1]!Resources[Retirement Date],"&gt;="&amp;AR$77,[1]!Resources[Unique Key],$AI115,[1]!Resources[Availability '#],"&gt;="&amp;2)</f>
        <v>1050</v>
      </c>
      <c r="AS115" s="6">
        <f>SUMIFS([1]!Resources[Summer Rating],[1]!Resources[COD],"&lt;="&amp;AS$77,[1]!Resources[Retirement Date],"&gt;="&amp;AS$77,[1]!Resources[Unique Key],$AI115,[1]!Resources[Availability '#],"&gt;="&amp;2)</f>
        <v>1050</v>
      </c>
      <c r="AT115" s="6">
        <f>SUMIFS([1]!Resources[Summer Rating],[1]!Resources[COD],"&lt;="&amp;AT$77,[1]!Resources[Retirement Date],"&gt;="&amp;AT$77,[1]!Resources[Unique Key],$AI115,[1]!Resources[Availability '#],"&gt;="&amp;2)</f>
        <v>1550</v>
      </c>
      <c r="AU115" s="6">
        <f>SUMIFS([1]!Resources[Summer Rating],[1]!Resources[COD],"&lt;="&amp;AU$77,[1]!Resources[Retirement Date],"&gt;="&amp;AU$77,[1]!Resources[Unique Key],$AI115,[1]!Resources[Availability '#],"&gt;="&amp;2)</f>
        <v>1600</v>
      </c>
      <c r="AV115" s="6">
        <f>SUMIFS([1]!Resources[Summer Rating],[1]!Resources[COD],"&lt;="&amp;AV$77,[1]!Resources[Retirement Date],"&gt;="&amp;AV$77,[1]!Resources[Unique Key],$AI115,[1]!Resources[Availability '#],"&gt;="&amp;2)</f>
        <v>1600</v>
      </c>
      <c r="AW115" s="6">
        <f>SUMIFS([1]!Resources[Summer Rating],[1]!Resources[COD],"&lt;="&amp;AW$77,[1]!Resources[Retirement Date],"&gt;="&amp;AW$77,[1]!Resources[Unique Key],$AI115,[1]!Resources[Availability '#],"&gt;="&amp;2)</f>
        <v>1600</v>
      </c>
      <c r="AX115" s="6">
        <f>SUMIFS([1]!Resources[Summer Rating],[1]!Resources[COD],"&lt;="&amp;AX$77,[1]!Resources[Retirement Date],"&gt;="&amp;AX$77,[1]!Resources[Unique Key],$AI115,[1]!Resources[Availability '#],"&gt;="&amp;2)</f>
        <v>1650</v>
      </c>
      <c r="AY115" s="6">
        <f>SUMIFS([1]!Resources[Summer Rating],[1]!Resources[COD],"&lt;="&amp;AY$77,[1]!Resources[Retirement Date],"&gt;="&amp;AY$77,[1]!Resources[Unique Key],$AI115,[1]!Resources[Availability '#],"&gt;="&amp;2)</f>
        <v>1650</v>
      </c>
      <c r="AZ115" s="6">
        <f>SUMIFS([1]!Resources[Summer Rating],[1]!Resources[COD],"&lt;="&amp;AZ$77,[1]!Resources[Retirement Date],"&gt;="&amp;AZ$77,[1]!Resources[Unique Key],$AI115,[1]!Resources[Availability '#],"&gt;="&amp;2)</f>
        <v>1650</v>
      </c>
      <c r="BA115" s="6">
        <f>SUMIFS([1]!Resources[Summer Rating],[1]!Resources[COD],"&lt;="&amp;BA$77,[1]!Resources[Retirement Date],"&gt;="&amp;BA$77,[1]!Resources[Unique Key],$AI115,[1]!Resources[Availability '#],"&gt;="&amp;2)</f>
        <v>1650</v>
      </c>
      <c r="BB115" s="6">
        <f>SUMIFS([1]!Resources[Summer Rating],[1]!Resources[COD],"&lt;="&amp;BB$77,[1]!Resources[Retirement Date],"&gt;="&amp;BB$77,[1]!Resources[Unique Key],$AI115,[1]!Resources[Availability '#],"&gt;="&amp;2)</f>
        <v>1650</v>
      </c>
      <c r="BC115" s="6">
        <f>SUMIFS([1]!Resources[Summer Rating],[1]!Resources[COD],"&lt;="&amp;BC$77,[1]!Resources[Retirement Date],"&gt;="&amp;BC$77,[1]!Resources[Unique Key],$AI115,[1]!Resources[Availability '#],"&gt;="&amp;2)</f>
        <v>1650</v>
      </c>
      <c r="BD115" s="6">
        <f>SUMIFS([1]!Resources[Summer Rating],[1]!Resources[COD],"&lt;="&amp;BD$77,[1]!Resources[Retirement Date],"&gt;="&amp;BD$77,[1]!Resources[Unique Key],$AI115,[1]!Resources[Availability '#],"&gt;="&amp;2)</f>
        <v>1650</v>
      </c>
      <c r="BE115" s="6">
        <f>SUMIFS([1]!Resources[Summer Rating],[1]!Resources[COD],"&lt;="&amp;BE$77,[1]!Resources[Retirement Date],"&gt;="&amp;BE$77,[1]!Resources[Unique Key],$AI115,[1]!Resources[Availability '#],"&gt;="&amp;2)</f>
        <v>1650</v>
      </c>
      <c r="BF115" s="6">
        <f>SUMIFS([1]!Resources[Summer Rating],[1]!Resources[COD],"&lt;="&amp;BF$77,[1]!Resources[Retirement Date],"&gt;="&amp;BF$77,[1]!Resources[Unique Key],$AI115,[1]!Resources[Availability '#],"&gt;="&amp;2)</f>
        <v>1650</v>
      </c>
      <c r="BG115" s="6">
        <f>SUMIFS([1]!Resources[Summer Rating],[1]!Resources[COD],"&lt;="&amp;BG$77,[1]!Resources[Retirement Date],"&gt;="&amp;BG$77,[1]!Resources[Unique Key],$AI115,[1]!Resources[Availability '#],"&gt;="&amp;2)</f>
        <v>1650</v>
      </c>
      <c r="BH115" s="6">
        <f>SUMIFS([1]!Resources[Summer Rating],[1]!Resources[COD],"&lt;="&amp;BH$77,[1]!Resources[Retirement Date],"&gt;="&amp;BH$77,[1]!Resources[Unique Key],$AI115,[1]!Resources[Availability '#],"&gt;="&amp;2)</f>
        <v>1650</v>
      </c>
      <c r="BI115" s="6">
        <f>SUMIFS([1]!Resources[Summer Rating],[1]!Resources[COD],"&lt;="&amp;BI$77,[1]!Resources[Retirement Date],"&gt;="&amp;BI$77,[1]!Resources[Unique Key],$AI115,[1]!Resources[Availability '#],"&gt;="&amp;2)</f>
        <v>1650</v>
      </c>
      <c r="BK115" s="5" t="s">
        <v>81</v>
      </c>
      <c r="BL115" s="20">
        <v>0.70399999999999996</v>
      </c>
      <c r="BM115" s="20">
        <v>0.95099999999999996</v>
      </c>
      <c r="BN115" s="20">
        <v>1.7769999999999999</v>
      </c>
      <c r="BO115" s="20">
        <v>3.0680000000000001</v>
      </c>
      <c r="BP115" s="20">
        <v>3.2559999999999998</v>
      </c>
      <c r="BQ115" s="20">
        <v>3.2879999999999998</v>
      </c>
      <c r="BR115" s="20">
        <v>3.3540000000000001</v>
      </c>
      <c r="BS115" s="20">
        <v>3.4060000000000001</v>
      </c>
      <c r="BT115" s="20">
        <v>3.4180000000000001</v>
      </c>
      <c r="BU115" s="20">
        <v>3.5609999999999999</v>
      </c>
      <c r="BV115" s="20">
        <v>4.5579999999999998</v>
      </c>
      <c r="BW115" s="20">
        <v>4.6669999999999998</v>
      </c>
      <c r="BX115" s="20">
        <v>4.67</v>
      </c>
      <c r="BY115" s="20">
        <v>4.6879999999999997</v>
      </c>
      <c r="BZ115" s="20">
        <v>4.9109999999999996</v>
      </c>
      <c r="CA115" s="20">
        <v>4.8979999999999997</v>
      </c>
      <c r="CB115" s="20">
        <v>4.835</v>
      </c>
      <c r="CC115" s="20">
        <v>4.7190000000000003</v>
      </c>
      <c r="CD115" s="20">
        <v>4.766</v>
      </c>
      <c r="CE115" s="20">
        <v>4.7850000000000001</v>
      </c>
      <c r="CF115" s="20">
        <v>4.7709999999999999</v>
      </c>
      <c r="CG115" s="20">
        <v>4.7809999999999997</v>
      </c>
      <c r="CH115" s="20">
        <v>4.8079999999999998</v>
      </c>
      <c r="CI115" s="20">
        <v>4.75</v>
      </c>
      <c r="CJ115" s="20">
        <v>4.5780000000000003</v>
      </c>
      <c r="CK115" s="20">
        <v>4.8239999999999998</v>
      </c>
      <c r="CM115" s="5" t="s">
        <v>81</v>
      </c>
      <c r="CN115" s="21">
        <v>0</v>
      </c>
      <c r="CO115" s="22">
        <v>0</v>
      </c>
      <c r="CP115" s="22">
        <v>0</v>
      </c>
      <c r="CQ115" s="22">
        <v>0</v>
      </c>
      <c r="CR115" s="22">
        <v>0</v>
      </c>
      <c r="CS115" s="22">
        <v>0</v>
      </c>
      <c r="CT115" s="22">
        <v>0</v>
      </c>
      <c r="CU115" s="22">
        <v>0</v>
      </c>
      <c r="CV115" s="22">
        <v>0</v>
      </c>
      <c r="CW115" s="22">
        <v>0</v>
      </c>
      <c r="CX115" s="22">
        <v>0</v>
      </c>
      <c r="CY115" s="22">
        <v>0</v>
      </c>
      <c r="CZ115" s="22">
        <v>0</v>
      </c>
      <c r="DA115" s="22">
        <v>0</v>
      </c>
      <c r="DB115" s="22">
        <v>0</v>
      </c>
      <c r="DC115" s="22">
        <v>0</v>
      </c>
      <c r="DD115" s="22">
        <v>0</v>
      </c>
      <c r="DE115" s="22">
        <v>0</v>
      </c>
      <c r="DF115" s="22">
        <v>0</v>
      </c>
      <c r="DG115" s="22">
        <v>0</v>
      </c>
      <c r="DH115" s="22">
        <v>0</v>
      </c>
      <c r="DI115" s="22">
        <v>0</v>
      </c>
      <c r="DJ115" s="22">
        <v>0</v>
      </c>
      <c r="DK115" s="22">
        <v>0</v>
      </c>
      <c r="DL115" s="22">
        <v>0</v>
      </c>
      <c r="DM115" s="22">
        <v>0</v>
      </c>
      <c r="DO115" s="5" t="s">
        <v>81</v>
      </c>
      <c r="DP115" s="23">
        <v>0.247</v>
      </c>
      <c r="DQ115" s="23">
        <v>0.24399999999999999</v>
      </c>
      <c r="DR115" s="23">
        <v>0.249</v>
      </c>
      <c r="DS115" s="23">
        <v>0.25600000000000001</v>
      </c>
      <c r="DT115" s="23">
        <v>0.245</v>
      </c>
      <c r="DU115" s="23">
        <v>0.248</v>
      </c>
      <c r="DV115" s="23">
        <v>0.245</v>
      </c>
      <c r="DW115" s="23">
        <v>0.248</v>
      </c>
      <c r="DX115" s="23">
        <v>0.24199999999999999</v>
      </c>
      <c r="DY115" s="23">
        <v>0.252</v>
      </c>
      <c r="DZ115" s="23">
        <v>0.246</v>
      </c>
      <c r="EA115" s="23">
        <v>0.246</v>
      </c>
      <c r="EB115" s="23">
        <v>0.246</v>
      </c>
      <c r="EC115" s="23">
        <v>0.247</v>
      </c>
      <c r="ED115" s="23">
        <v>0.253</v>
      </c>
      <c r="EE115" s="23">
        <v>0.252</v>
      </c>
      <c r="EF115" s="23">
        <v>0.249</v>
      </c>
      <c r="EG115" s="23">
        <v>0.24299999999999999</v>
      </c>
      <c r="EH115" s="23">
        <v>0.246</v>
      </c>
      <c r="EI115" s="23">
        <v>0.247</v>
      </c>
      <c r="EJ115" s="23">
        <v>0.246</v>
      </c>
      <c r="EK115" s="23">
        <v>0.246</v>
      </c>
      <c r="EL115" s="23">
        <v>0.248</v>
      </c>
      <c r="EM115" s="23">
        <v>0.245</v>
      </c>
      <c r="EN115" s="23">
        <v>0.23599999999999999</v>
      </c>
      <c r="EO115" s="23">
        <v>0.249</v>
      </c>
      <c r="EP115" s="24">
        <f>IFERROR(INDEX('[1]GenX Resources'!$AP$10:$AP$46,MATCH(DO115,'[1]GenX Resources'!$B$10:$B$46,0)),0)</f>
        <v>0</v>
      </c>
      <c r="EQ115" s="2" t="b">
        <f t="shared" si="35"/>
        <v>1</v>
      </c>
      <c r="ES115" s="25">
        <f ca="1">IFERROR(INDEX('[1]GenX Resources'!$AD:$AD,MATCH($G115,'[1]GenX Resources'!$B:$B,0)) - IF(OR(INDEX('[1]GenX Resources'!$L:$L,MATCH($G115,'[1]GenX Resources'!$B:$B,0)),ISNUMBER(SEARCH("New Generic",$G115))),0,INDEX('[1]GenX Resources'!$M:$M,MATCH($G115,'[1]GenX Resources'!$B:$B,0))),0)</f>
        <v>9194.65</v>
      </c>
      <c r="EU115" s="5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</row>
    <row r="116" spans="6:177" ht="16" x14ac:dyDescent="0.2">
      <c r="F116" s="19" t="str">
        <f>IFERROR(INDEX('[1]GenX Resources'!$A$10:$A$76,MATCH(G116,'[1]GenX Resources'!$B$10:$B$76,0)),"")</f>
        <v>Wind</v>
      </c>
      <c r="G116" s="5" t="s">
        <v>82</v>
      </c>
      <c r="H116" s="6">
        <v>0.09</v>
      </c>
      <c r="I116" s="6">
        <v>200.09</v>
      </c>
      <c r="J116" s="6">
        <v>400.09</v>
      </c>
      <c r="K116" s="6">
        <v>500.09</v>
      </c>
      <c r="L116" s="6">
        <v>500.09</v>
      </c>
      <c r="M116" s="6">
        <v>600.09</v>
      </c>
      <c r="N116" s="6">
        <v>700.09</v>
      </c>
      <c r="O116" s="6">
        <v>700.09</v>
      </c>
      <c r="P116" s="6">
        <v>700.09</v>
      </c>
      <c r="Q116" s="6">
        <v>700.09</v>
      </c>
      <c r="R116" s="6">
        <v>700.09</v>
      </c>
      <c r="S116" s="6">
        <v>700.09</v>
      </c>
      <c r="T116" s="6">
        <v>700.09</v>
      </c>
      <c r="U116" s="6">
        <v>700.09</v>
      </c>
      <c r="V116" s="6">
        <v>700.09</v>
      </c>
      <c r="W116" s="6">
        <v>700.09</v>
      </c>
      <c r="X116" s="6">
        <v>700.09</v>
      </c>
      <c r="Y116" s="6">
        <v>700.09</v>
      </c>
      <c r="Z116" s="6">
        <v>700.09</v>
      </c>
      <c r="AA116" s="6">
        <v>700.09</v>
      </c>
      <c r="AB116" s="6">
        <v>700.09</v>
      </c>
      <c r="AC116" s="6">
        <v>700.09</v>
      </c>
      <c r="AD116" s="6">
        <v>700.09</v>
      </c>
      <c r="AE116" s="6">
        <v>700.09</v>
      </c>
      <c r="AF116" s="6">
        <v>700.09</v>
      </c>
      <c r="AG116" s="6">
        <v>700.09</v>
      </c>
      <c r="AI116" s="5" t="s">
        <v>82</v>
      </c>
      <c r="AJ116" s="6">
        <f>SUMIFS([1]!Resources[Summer Rating],[1]!Resources[COD],"&lt;="&amp;AJ$77,[1]!Resources[Retirement Date],"&gt;="&amp;AJ$77,[1]!Resources[Unique Key],$AI116,[1]!Resources[Availability '#],"&gt;="&amp;2)</f>
        <v>0</v>
      </c>
      <c r="AK116" s="6">
        <f>SUMIFS([1]!Resources[Summer Rating],[1]!Resources[COD],"&lt;="&amp;AK$77,[1]!Resources[Retirement Date],"&gt;="&amp;AK$77,[1]!Resources[Unique Key],$AI116,[1]!Resources[Availability '#],"&gt;="&amp;2)</f>
        <v>200</v>
      </c>
      <c r="AL116" s="6">
        <f>SUMIFS([1]!Resources[Summer Rating],[1]!Resources[COD],"&lt;="&amp;AL$77,[1]!Resources[Retirement Date],"&gt;="&amp;AL$77,[1]!Resources[Unique Key],$AI116,[1]!Resources[Availability '#],"&gt;="&amp;2)</f>
        <v>400</v>
      </c>
      <c r="AM116" s="6">
        <f>SUMIFS([1]!Resources[Summer Rating],[1]!Resources[COD],"&lt;="&amp;AM$77,[1]!Resources[Retirement Date],"&gt;="&amp;AM$77,[1]!Resources[Unique Key],$AI116,[1]!Resources[Availability '#],"&gt;="&amp;2)</f>
        <v>500</v>
      </c>
      <c r="AN116" s="6">
        <f>SUMIFS([1]!Resources[Summer Rating],[1]!Resources[COD],"&lt;="&amp;AN$77,[1]!Resources[Retirement Date],"&gt;="&amp;AN$77,[1]!Resources[Unique Key],$AI116,[1]!Resources[Availability '#],"&gt;="&amp;2)</f>
        <v>500</v>
      </c>
      <c r="AO116" s="6">
        <f>SUMIFS([1]!Resources[Summer Rating],[1]!Resources[COD],"&lt;="&amp;AO$77,[1]!Resources[Retirement Date],"&gt;="&amp;AO$77,[1]!Resources[Unique Key],$AI116,[1]!Resources[Availability '#],"&gt;="&amp;2)</f>
        <v>600</v>
      </c>
      <c r="AP116" s="6">
        <f>SUMIFS([1]!Resources[Summer Rating],[1]!Resources[COD],"&lt;="&amp;AP$77,[1]!Resources[Retirement Date],"&gt;="&amp;AP$77,[1]!Resources[Unique Key],$AI116,[1]!Resources[Availability '#],"&gt;="&amp;2)</f>
        <v>700</v>
      </c>
      <c r="AQ116" s="6">
        <f>SUMIFS([1]!Resources[Summer Rating],[1]!Resources[COD],"&lt;="&amp;AQ$77,[1]!Resources[Retirement Date],"&gt;="&amp;AQ$77,[1]!Resources[Unique Key],$AI116,[1]!Resources[Availability '#],"&gt;="&amp;2)</f>
        <v>700</v>
      </c>
      <c r="AR116" s="6">
        <f>SUMIFS([1]!Resources[Summer Rating],[1]!Resources[COD],"&lt;="&amp;AR$77,[1]!Resources[Retirement Date],"&gt;="&amp;AR$77,[1]!Resources[Unique Key],$AI116,[1]!Resources[Availability '#],"&gt;="&amp;2)</f>
        <v>700</v>
      </c>
      <c r="AS116" s="6">
        <f>SUMIFS([1]!Resources[Summer Rating],[1]!Resources[COD],"&lt;="&amp;AS$77,[1]!Resources[Retirement Date],"&gt;="&amp;AS$77,[1]!Resources[Unique Key],$AI116,[1]!Resources[Availability '#],"&gt;="&amp;2)</f>
        <v>700</v>
      </c>
      <c r="AT116" s="6">
        <f>SUMIFS([1]!Resources[Summer Rating],[1]!Resources[COD],"&lt;="&amp;AT$77,[1]!Resources[Retirement Date],"&gt;="&amp;AT$77,[1]!Resources[Unique Key],$AI116,[1]!Resources[Availability '#],"&gt;="&amp;2)</f>
        <v>700</v>
      </c>
      <c r="AU116" s="6">
        <f>SUMIFS([1]!Resources[Summer Rating],[1]!Resources[COD],"&lt;="&amp;AU$77,[1]!Resources[Retirement Date],"&gt;="&amp;AU$77,[1]!Resources[Unique Key],$AI116,[1]!Resources[Availability '#],"&gt;="&amp;2)</f>
        <v>700</v>
      </c>
      <c r="AV116" s="6">
        <f>SUMIFS([1]!Resources[Summer Rating],[1]!Resources[COD],"&lt;="&amp;AV$77,[1]!Resources[Retirement Date],"&gt;="&amp;AV$77,[1]!Resources[Unique Key],$AI116,[1]!Resources[Availability '#],"&gt;="&amp;2)</f>
        <v>700</v>
      </c>
      <c r="AW116" s="6">
        <f>SUMIFS([1]!Resources[Summer Rating],[1]!Resources[COD],"&lt;="&amp;AW$77,[1]!Resources[Retirement Date],"&gt;="&amp;AW$77,[1]!Resources[Unique Key],$AI116,[1]!Resources[Availability '#],"&gt;="&amp;2)</f>
        <v>700</v>
      </c>
      <c r="AX116" s="6">
        <f>SUMIFS([1]!Resources[Summer Rating],[1]!Resources[COD],"&lt;="&amp;AX$77,[1]!Resources[Retirement Date],"&gt;="&amp;AX$77,[1]!Resources[Unique Key],$AI116,[1]!Resources[Availability '#],"&gt;="&amp;2)</f>
        <v>700</v>
      </c>
      <c r="AY116" s="6">
        <f>SUMIFS([1]!Resources[Summer Rating],[1]!Resources[COD],"&lt;="&amp;AY$77,[1]!Resources[Retirement Date],"&gt;="&amp;AY$77,[1]!Resources[Unique Key],$AI116,[1]!Resources[Availability '#],"&gt;="&amp;2)</f>
        <v>700</v>
      </c>
      <c r="AZ116" s="6">
        <f>SUMIFS([1]!Resources[Summer Rating],[1]!Resources[COD],"&lt;="&amp;AZ$77,[1]!Resources[Retirement Date],"&gt;="&amp;AZ$77,[1]!Resources[Unique Key],$AI116,[1]!Resources[Availability '#],"&gt;="&amp;2)</f>
        <v>700</v>
      </c>
      <c r="BA116" s="6">
        <f>SUMIFS([1]!Resources[Summer Rating],[1]!Resources[COD],"&lt;="&amp;BA$77,[1]!Resources[Retirement Date],"&gt;="&amp;BA$77,[1]!Resources[Unique Key],$AI116,[1]!Resources[Availability '#],"&gt;="&amp;2)</f>
        <v>700</v>
      </c>
      <c r="BB116" s="6">
        <f>SUMIFS([1]!Resources[Summer Rating],[1]!Resources[COD],"&lt;="&amp;BB$77,[1]!Resources[Retirement Date],"&gt;="&amp;BB$77,[1]!Resources[Unique Key],$AI116,[1]!Resources[Availability '#],"&gt;="&amp;2)</f>
        <v>700</v>
      </c>
      <c r="BC116" s="6">
        <f>SUMIFS([1]!Resources[Summer Rating],[1]!Resources[COD],"&lt;="&amp;BC$77,[1]!Resources[Retirement Date],"&gt;="&amp;BC$77,[1]!Resources[Unique Key],$AI116,[1]!Resources[Availability '#],"&gt;="&amp;2)</f>
        <v>700</v>
      </c>
      <c r="BD116" s="6">
        <f>SUMIFS([1]!Resources[Summer Rating],[1]!Resources[COD],"&lt;="&amp;BD$77,[1]!Resources[Retirement Date],"&gt;="&amp;BD$77,[1]!Resources[Unique Key],$AI116,[1]!Resources[Availability '#],"&gt;="&amp;2)</f>
        <v>700</v>
      </c>
      <c r="BE116" s="6">
        <f>SUMIFS([1]!Resources[Summer Rating],[1]!Resources[COD],"&lt;="&amp;BE$77,[1]!Resources[Retirement Date],"&gt;="&amp;BE$77,[1]!Resources[Unique Key],$AI116,[1]!Resources[Availability '#],"&gt;="&amp;2)</f>
        <v>700</v>
      </c>
      <c r="BF116" s="6">
        <f>SUMIFS([1]!Resources[Summer Rating],[1]!Resources[COD],"&lt;="&amp;BF$77,[1]!Resources[Retirement Date],"&gt;="&amp;BF$77,[1]!Resources[Unique Key],$AI116,[1]!Resources[Availability '#],"&gt;="&amp;2)</f>
        <v>700</v>
      </c>
      <c r="BG116" s="6">
        <f>SUMIFS([1]!Resources[Summer Rating],[1]!Resources[COD],"&lt;="&amp;BG$77,[1]!Resources[Retirement Date],"&gt;="&amp;BG$77,[1]!Resources[Unique Key],$AI116,[1]!Resources[Availability '#],"&gt;="&amp;2)</f>
        <v>700</v>
      </c>
      <c r="BH116" s="6">
        <f>SUMIFS([1]!Resources[Summer Rating],[1]!Resources[COD],"&lt;="&amp;BH$77,[1]!Resources[Retirement Date],"&gt;="&amp;BH$77,[1]!Resources[Unique Key],$AI116,[1]!Resources[Availability '#],"&gt;="&amp;2)</f>
        <v>700</v>
      </c>
      <c r="BI116" s="6">
        <f>SUMIFS([1]!Resources[Summer Rating],[1]!Resources[COD],"&lt;="&amp;BI$77,[1]!Resources[Retirement Date],"&gt;="&amp;BI$77,[1]!Resources[Unique Key],$AI116,[1]!Resources[Availability '#],"&gt;="&amp;2)</f>
        <v>700</v>
      </c>
      <c r="BK116" s="5" t="s">
        <v>82</v>
      </c>
      <c r="BL116" s="20">
        <v>0</v>
      </c>
      <c r="BM116" s="20">
        <v>0.69099999999999995</v>
      </c>
      <c r="BN116" s="20">
        <v>1.391</v>
      </c>
      <c r="BO116" s="20">
        <v>1.712</v>
      </c>
      <c r="BP116" s="20">
        <v>1.7030000000000001</v>
      </c>
      <c r="BQ116" s="20">
        <v>2.1030000000000002</v>
      </c>
      <c r="BR116" s="20">
        <v>2.3839999999999999</v>
      </c>
      <c r="BS116" s="20">
        <v>2.4049999999999998</v>
      </c>
      <c r="BT116" s="20">
        <v>2.41</v>
      </c>
      <c r="BU116" s="20">
        <v>2.48</v>
      </c>
      <c r="BV116" s="20">
        <v>2.44</v>
      </c>
      <c r="BW116" s="20">
        <v>2.4300000000000002</v>
      </c>
      <c r="BX116" s="20">
        <v>2.4089999999999998</v>
      </c>
      <c r="BY116" s="20">
        <v>2.415</v>
      </c>
      <c r="BZ116" s="20">
        <v>2.4569999999999999</v>
      </c>
      <c r="CA116" s="20">
        <v>2.4700000000000002</v>
      </c>
      <c r="CB116" s="20">
        <v>2.4209999999999998</v>
      </c>
      <c r="CC116" s="20">
        <v>2.3820000000000001</v>
      </c>
      <c r="CD116" s="20">
        <v>2.4209999999999998</v>
      </c>
      <c r="CE116" s="20">
        <v>2.4529999999999998</v>
      </c>
      <c r="CF116" s="20">
        <v>2.4300000000000002</v>
      </c>
      <c r="CG116" s="20">
        <v>2.407</v>
      </c>
      <c r="CH116" s="20">
        <v>2.4209999999999998</v>
      </c>
      <c r="CI116" s="20">
        <v>2.3719999999999999</v>
      </c>
      <c r="CJ116" s="20">
        <v>2.4239999999999999</v>
      </c>
      <c r="CK116" s="20">
        <v>2.3650000000000002</v>
      </c>
      <c r="CM116" s="5" t="s">
        <v>82</v>
      </c>
      <c r="CN116" s="21">
        <v>0</v>
      </c>
      <c r="CO116" s="22">
        <v>0</v>
      </c>
      <c r="CP116" s="22">
        <v>0</v>
      </c>
      <c r="CQ116" s="22">
        <v>0</v>
      </c>
      <c r="CR116" s="22">
        <v>0</v>
      </c>
      <c r="CS116" s="22">
        <v>0</v>
      </c>
      <c r="CT116" s="22">
        <v>0</v>
      </c>
      <c r="CU116" s="22">
        <v>0</v>
      </c>
      <c r="CV116" s="22">
        <v>0</v>
      </c>
      <c r="CW116" s="22">
        <v>0</v>
      </c>
      <c r="CX116" s="22">
        <v>0</v>
      </c>
      <c r="CY116" s="22">
        <v>0</v>
      </c>
      <c r="CZ116" s="22">
        <v>0</v>
      </c>
      <c r="DA116" s="22">
        <v>0</v>
      </c>
      <c r="DB116" s="22">
        <v>0</v>
      </c>
      <c r="DC116" s="22">
        <v>0</v>
      </c>
      <c r="DD116" s="22">
        <v>0</v>
      </c>
      <c r="DE116" s="22">
        <v>0</v>
      </c>
      <c r="DF116" s="22">
        <v>0</v>
      </c>
      <c r="DG116" s="22">
        <v>0</v>
      </c>
      <c r="DH116" s="22">
        <v>0</v>
      </c>
      <c r="DI116" s="22">
        <v>0</v>
      </c>
      <c r="DJ116" s="22">
        <v>0</v>
      </c>
      <c r="DK116" s="22">
        <v>0</v>
      </c>
      <c r="DL116" s="22">
        <v>0</v>
      </c>
      <c r="DM116" s="22">
        <v>0</v>
      </c>
      <c r="DO116" s="5" t="s">
        <v>82</v>
      </c>
      <c r="DP116" s="23">
        <v>0</v>
      </c>
      <c r="DQ116" s="23">
        <v>0.39400000000000002</v>
      </c>
      <c r="DR116" s="23">
        <v>0.39700000000000002</v>
      </c>
      <c r="DS116" s="23">
        <v>0.39100000000000001</v>
      </c>
      <c r="DT116" s="23">
        <v>0.38900000000000001</v>
      </c>
      <c r="DU116" s="23">
        <v>0.4</v>
      </c>
      <c r="DV116" s="23">
        <v>0.38900000000000001</v>
      </c>
      <c r="DW116" s="23">
        <v>0.39200000000000002</v>
      </c>
      <c r="DX116" s="23">
        <v>0.39300000000000002</v>
      </c>
      <c r="DY116" s="23">
        <v>0.40400000000000003</v>
      </c>
      <c r="DZ116" s="23">
        <v>0.39800000000000002</v>
      </c>
      <c r="EA116" s="23">
        <v>0.39600000000000002</v>
      </c>
      <c r="EB116" s="23">
        <v>0.39300000000000002</v>
      </c>
      <c r="EC116" s="23">
        <v>0.39400000000000002</v>
      </c>
      <c r="ED116" s="23">
        <v>0.40100000000000002</v>
      </c>
      <c r="EE116" s="23">
        <v>0.40300000000000002</v>
      </c>
      <c r="EF116" s="23">
        <v>0.39500000000000002</v>
      </c>
      <c r="EG116" s="23">
        <v>0.38800000000000001</v>
      </c>
      <c r="EH116" s="23">
        <v>0.39500000000000002</v>
      </c>
      <c r="EI116" s="23">
        <v>0.4</v>
      </c>
      <c r="EJ116" s="23">
        <v>0.39600000000000002</v>
      </c>
      <c r="EK116" s="23">
        <v>0.39300000000000002</v>
      </c>
      <c r="EL116" s="23">
        <v>0.39500000000000002</v>
      </c>
      <c r="EM116" s="23">
        <v>0.38700000000000001</v>
      </c>
      <c r="EN116" s="23">
        <v>0.39500000000000002</v>
      </c>
      <c r="EO116" s="23">
        <v>0.38600000000000001</v>
      </c>
      <c r="EP116" s="24">
        <f>IFERROR(INDEX('[1]GenX Resources'!$AP$10:$AP$46,MATCH(DO116,'[1]GenX Resources'!$B$10:$B$46,0)),0)</f>
        <v>0</v>
      </c>
      <c r="EQ116" s="2" t="b">
        <f t="shared" si="35"/>
        <v>1</v>
      </c>
      <c r="ES116" s="25">
        <f ca="1">IFERROR(INDEX('[1]GenX Resources'!$AD:$AD,MATCH($G116,'[1]GenX Resources'!$B:$B,0)) - IF(OR(INDEX('[1]GenX Resources'!$L:$L,MATCH($G116,'[1]GenX Resources'!$B:$B,0)),ISNUMBER(SEARCH("New Generic",$G116))),0,INDEX('[1]GenX Resources'!$M:$M,MATCH($G116,'[1]GenX Resources'!$B:$B,0))),0)</f>
        <v>31250</v>
      </c>
      <c r="EU116" s="5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</row>
    <row r="117" spans="6:177" ht="16" x14ac:dyDescent="0.2">
      <c r="F117" s="19" t="str">
        <f>IFERROR(INDEX('[1]GenX Resources'!$A$10:$A$76,MATCH(G117,'[1]GenX Resources'!$B$10:$B$76,0)),"")</f>
        <v>Wind</v>
      </c>
      <c r="G117" s="5" t="s">
        <v>83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I117" s="5" t="s">
        <v>83</v>
      </c>
      <c r="AJ117" s="6">
        <f>SUMIFS([1]!Resources[Summer Rating],[1]!Resources[COD],"&lt;="&amp;AJ$77,[1]!Resources[Retirement Date],"&gt;="&amp;AJ$77,[1]!Resources[Unique Key],$AI117,[1]!Resources[Availability '#],"&gt;="&amp;2)</f>
        <v>0</v>
      </c>
      <c r="AK117" s="6">
        <f>SUMIFS([1]!Resources[Summer Rating],[1]!Resources[COD],"&lt;="&amp;AK$77,[1]!Resources[Retirement Date],"&gt;="&amp;AK$77,[1]!Resources[Unique Key],$AI117,[1]!Resources[Availability '#],"&gt;="&amp;2)</f>
        <v>0</v>
      </c>
      <c r="AL117" s="6">
        <f>SUMIFS([1]!Resources[Summer Rating],[1]!Resources[COD],"&lt;="&amp;AL$77,[1]!Resources[Retirement Date],"&gt;="&amp;AL$77,[1]!Resources[Unique Key],$AI117,[1]!Resources[Availability '#],"&gt;="&amp;2)</f>
        <v>0</v>
      </c>
      <c r="AM117" s="6">
        <f>SUMIFS([1]!Resources[Summer Rating],[1]!Resources[COD],"&lt;="&amp;AM$77,[1]!Resources[Retirement Date],"&gt;="&amp;AM$77,[1]!Resources[Unique Key],$AI117,[1]!Resources[Availability '#],"&gt;="&amp;2)</f>
        <v>0</v>
      </c>
      <c r="AN117" s="6">
        <f>SUMIFS([1]!Resources[Summer Rating],[1]!Resources[COD],"&lt;="&amp;AN$77,[1]!Resources[Retirement Date],"&gt;="&amp;AN$77,[1]!Resources[Unique Key],$AI117,[1]!Resources[Availability '#],"&gt;="&amp;2)</f>
        <v>0</v>
      </c>
      <c r="AO117" s="6">
        <f>SUMIFS([1]!Resources[Summer Rating],[1]!Resources[COD],"&lt;="&amp;AO$77,[1]!Resources[Retirement Date],"&gt;="&amp;AO$77,[1]!Resources[Unique Key],$AI117,[1]!Resources[Availability '#],"&gt;="&amp;2)</f>
        <v>0</v>
      </c>
      <c r="AP117" s="6">
        <f>SUMIFS([1]!Resources[Summer Rating],[1]!Resources[COD],"&lt;="&amp;AP$77,[1]!Resources[Retirement Date],"&gt;="&amp;AP$77,[1]!Resources[Unique Key],$AI117,[1]!Resources[Availability '#],"&gt;="&amp;2)</f>
        <v>0</v>
      </c>
      <c r="AQ117" s="6">
        <f>SUMIFS([1]!Resources[Summer Rating],[1]!Resources[COD],"&lt;="&amp;AQ$77,[1]!Resources[Retirement Date],"&gt;="&amp;AQ$77,[1]!Resources[Unique Key],$AI117,[1]!Resources[Availability '#],"&gt;="&amp;2)</f>
        <v>0</v>
      </c>
      <c r="AR117" s="6">
        <f>SUMIFS([1]!Resources[Summer Rating],[1]!Resources[COD],"&lt;="&amp;AR$77,[1]!Resources[Retirement Date],"&gt;="&amp;AR$77,[1]!Resources[Unique Key],$AI117,[1]!Resources[Availability '#],"&gt;="&amp;2)</f>
        <v>0</v>
      </c>
      <c r="AS117" s="6">
        <f>SUMIFS([1]!Resources[Summer Rating],[1]!Resources[COD],"&lt;="&amp;AS$77,[1]!Resources[Retirement Date],"&gt;="&amp;AS$77,[1]!Resources[Unique Key],$AI117,[1]!Resources[Availability '#],"&gt;="&amp;2)</f>
        <v>0</v>
      </c>
      <c r="AT117" s="6">
        <f>SUMIFS([1]!Resources[Summer Rating],[1]!Resources[COD],"&lt;="&amp;AT$77,[1]!Resources[Retirement Date],"&gt;="&amp;AT$77,[1]!Resources[Unique Key],$AI117,[1]!Resources[Availability '#],"&gt;="&amp;2)</f>
        <v>0</v>
      </c>
      <c r="AU117" s="6">
        <f>SUMIFS([1]!Resources[Summer Rating],[1]!Resources[COD],"&lt;="&amp;AU$77,[1]!Resources[Retirement Date],"&gt;="&amp;AU$77,[1]!Resources[Unique Key],$AI117,[1]!Resources[Availability '#],"&gt;="&amp;2)</f>
        <v>0</v>
      </c>
      <c r="AV117" s="6">
        <f>SUMIFS([1]!Resources[Summer Rating],[1]!Resources[COD],"&lt;="&amp;AV$77,[1]!Resources[Retirement Date],"&gt;="&amp;AV$77,[1]!Resources[Unique Key],$AI117,[1]!Resources[Availability '#],"&gt;="&amp;2)</f>
        <v>0</v>
      </c>
      <c r="AW117" s="6">
        <f>SUMIFS([1]!Resources[Summer Rating],[1]!Resources[COD],"&lt;="&amp;AW$77,[1]!Resources[Retirement Date],"&gt;="&amp;AW$77,[1]!Resources[Unique Key],$AI117,[1]!Resources[Availability '#],"&gt;="&amp;2)</f>
        <v>0</v>
      </c>
      <c r="AX117" s="6">
        <f>SUMIFS([1]!Resources[Summer Rating],[1]!Resources[COD],"&lt;="&amp;AX$77,[1]!Resources[Retirement Date],"&gt;="&amp;AX$77,[1]!Resources[Unique Key],$AI117,[1]!Resources[Availability '#],"&gt;="&amp;2)</f>
        <v>0</v>
      </c>
      <c r="AY117" s="6">
        <f>SUMIFS([1]!Resources[Summer Rating],[1]!Resources[COD],"&lt;="&amp;AY$77,[1]!Resources[Retirement Date],"&gt;="&amp;AY$77,[1]!Resources[Unique Key],$AI117,[1]!Resources[Availability '#],"&gt;="&amp;2)</f>
        <v>0</v>
      </c>
      <c r="AZ117" s="6">
        <f>SUMIFS([1]!Resources[Summer Rating],[1]!Resources[COD],"&lt;="&amp;AZ$77,[1]!Resources[Retirement Date],"&gt;="&amp;AZ$77,[1]!Resources[Unique Key],$AI117,[1]!Resources[Availability '#],"&gt;="&amp;2)</f>
        <v>0</v>
      </c>
      <c r="BA117" s="6">
        <f>SUMIFS([1]!Resources[Summer Rating],[1]!Resources[COD],"&lt;="&amp;BA$77,[1]!Resources[Retirement Date],"&gt;="&amp;BA$77,[1]!Resources[Unique Key],$AI117,[1]!Resources[Availability '#],"&gt;="&amp;2)</f>
        <v>0</v>
      </c>
      <c r="BB117" s="6">
        <f>SUMIFS([1]!Resources[Summer Rating],[1]!Resources[COD],"&lt;="&amp;BB$77,[1]!Resources[Retirement Date],"&gt;="&amp;BB$77,[1]!Resources[Unique Key],$AI117,[1]!Resources[Availability '#],"&gt;="&amp;2)</f>
        <v>0</v>
      </c>
      <c r="BC117" s="6">
        <f>SUMIFS([1]!Resources[Summer Rating],[1]!Resources[COD],"&lt;="&amp;BC$77,[1]!Resources[Retirement Date],"&gt;="&amp;BC$77,[1]!Resources[Unique Key],$AI117,[1]!Resources[Availability '#],"&gt;="&amp;2)</f>
        <v>0</v>
      </c>
      <c r="BD117" s="6">
        <f>SUMIFS([1]!Resources[Summer Rating],[1]!Resources[COD],"&lt;="&amp;BD$77,[1]!Resources[Retirement Date],"&gt;="&amp;BD$77,[1]!Resources[Unique Key],$AI117,[1]!Resources[Availability '#],"&gt;="&amp;2)</f>
        <v>0</v>
      </c>
      <c r="BE117" s="6">
        <f>SUMIFS([1]!Resources[Summer Rating],[1]!Resources[COD],"&lt;="&amp;BE$77,[1]!Resources[Retirement Date],"&gt;="&amp;BE$77,[1]!Resources[Unique Key],$AI117,[1]!Resources[Availability '#],"&gt;="&amp;2)</f>
        <v>0</v>
      </c>
      <c r="BF117" s="6">
        <f>SUMIFS([1]!Resources[Summer Rating],[1]!Resources[COD],"&lt;="&amp;BF$77,[1]!Resources[Retirement Date],"&gt;="&amp;BF$77,[1]!Resources[Unique Key],$AI117,[1]!Resources[Availability '#],"&gt;="&amp;2)</f>
        <v>0</v>
      </c>
      <c r="BG117" s="6">
        <f>SUMIFS([1]!Resources[Summer Rating],[1]!Resources[COD],"&lt;="&amp;BG$77,[1]!Resources[Retirement Date],"&gt;="&amp;BG$77,[1]!Resources[Unique Key],$AI117,[1]!Resources[Availability '#],"&gt;="&amp;2)</f>
        <v>0</v>
      </c>
      <c r="BH117" s="6">
        <f>SUMIFS([1]!Resources[Summer Rating],[1]!Resources[COD],"&lt;="&amp;BH$77,[1]!Resources[Retirement Date],"&gt;="&amp;BH$77,[1]!Resources[Unique Key],$AI117,[1]!Resources[Availability '#],"&gt;="&amp;2)</f>
        <v>0</v>
      </c>
      <c r="BI117" s="6">
        <f>SUMIFS([1]!Resources[Summer Rating],[1]!Resources[COD],"&lt;="&amp;BI$77,[1]!Resources[Retirement Date],"&gt;="&amp;BI$77,[1]!Resources[Unique Key],$AI117,[1]!Resources[Availability '#],"&gt;="&amp;2)</f>
        <v>0</v>
      </c>
      <c r="BK117" s="5" t="s">
        <v>83</v>
      </c>
      <c r="BL117" s="20">
        <v>0</v>
      </c>
      <c r="BM117" s="20">
        <v>0</v>
      </c>
      <c r="BN117" s="20">
        <v>0</v>
      </c>
      <c r="BO117" s="20">
        <v>0</v>
      </c>
      <c r="BP117" s="20">
        <v>0</v>
      </c>
      <c r="BQ117" s="20">
        <v>0</v>
      </c>
      <c r="BR117" s="20">
        <v>0</v>
      </c>
      <c r="BS117" s="20">
        <v>0</v>
      </c>
      <c r="BT117" s="20">
        <v>0</v>
      </c>
      <c r="BU117" s="20">
        <v>0</v>
      </c>
      <c r="BV117" s="20">
        <v>0</v>
      </c>
      <c r="BW117" s="20">
        <v>0</v>
      </c>
      <c r="BX117" s="20">
        <v>0</v>
      </c>
      <c r="BY117" s="20">
        <v>0</v>
      </c>
      <c r="BZ117" s="20">
        <v>0</v>
      </c>
      <c r="CA117" s="20">
        <v>0</v>
      </c>
      <c r="CB117" s="20">
        <v>0</v>
      </c>
      <c r="CC117" s="20">
        <v>0</v>
      </c>
      <c r="CD117" s="20">
        <v>0</v>
      </c>
      <c r="CE117" s="20">
        <v>0</v>
      </c>
      <c r="CF117" s="20">
        <v>0</v>
      </c>
      <c r="CG117" s="20">
        <v>0</v>
      </c>
      <c r="CH117" s="20">
        <v>0</v>
      </c>
      <c r="CI117" s="20">
        <v>0</v>
      </c>
      <c r="CJ117" s="20">
        <v>0</v>
      </c>
      <c r="CK117" s="20">
        <v>0</v>
      </c>
      <c r="CM117" s="5" t="s">
        <v>83</v>
      </c>
      <c r="CN117" s="21">
        <v>0</v>
      </c>
      <c r="CO117" s="22">
        <v>0</v>
      </c>
      <c r="CP117" s="22">
        <v>0</v>
      </c>
      <c r="CQ117" s="22">
        <v>0</v>
      </c>
      <c r="CR117" s="22">
        <v>0</v>
      </c>
      <c r="CS117" s="22">
        <v>0</v>
      </c>
      <c r="CT117" s="22">
        <v>0</v>
      </c>
      <c r="CU117" s="22">
        <v>0</v>
      </c>
      <c r="CV117" s="22">
        <v>0</v>
      </c>
      <c r="CW117" s="22">
        <v>0</v>
      </c>
      <c r="CX117" s="22">
        <v>0</v>
      </c>
      <c r="CY117" s="22">
        <v>0</v>
      </c>
      <c r="CZ117" s="22">
        <v>0</v>
      </c>
      <c r="DA117" s="22">
        <v>0</v>
      </c>
      <c r="DB117" s="22">
        <v>0</v>
      </c>
      <c r="DC117" s="22">
        <v>0</v>
      </c>
      <c r="DD117" s="22">
        <v>0</v>
      </c>
      <c r="DE117" s="22">
        <v>0</v>
      </c>
      <c r="DF117" s="22">
        <v>0</v>
      </c>
      <c r="DG117" s="22">
        <v>0</v>
      </c>
      <c r="DH117" s="22">
        <v>0</v>
      </c>
      <c r="DI117" s="22">
        <v>0</v>
      </c>
      <c r="DJ117" s="22">
        <v>0</v>
      </c>
      <c r="DK117" s="22">
        <v>0</v>
      </c>
      <c r="DL117" s="22">
        <v>0</v>
      </c>
      <c r="DM117" s="22">
        <v>0</v>
      </c>
      <c r="DO117" s="5" t="s">
        <v>83</v>
      </c>
      <c r="DP117" s="23">
        <v>0</v>
      </c>
      <c r="DQ117" s="23">
        <v>0</v>
      </c>
      <c r="DR117" s="23">
        <v>0</v>
      </c>
      <c r="DS117" s="23">
        <v>0</v>
      </c>
      <c r="DT117" s="23">
        <v>0</v>
      </c>
      <c r="DU117" s="23">
        <v>0</v>
      </c>
      <c r="DV117" s="23">
        <v>0</v>
      </c>
      <c r="DW117" s="23">
        <v>0</v>
      </c>
      <c r="DX117" s="23">
        <v>0</v>
      </c>
      <c r="DY117" s="23">
        <v>0</v>
      </c>
      <c r="DZ117" s="23">
        <v>0</v>
      </c>
      <c r="EA117" s="23">
        <v>0</v>
      </c>
      <c r="EB117" s="23">
        <v>0</v>
      </c>
      <c r="EC117" s="23">
        <v>0</v>
      </c>
      <c r="ED117" s="23">
        <v>0</v>
      </c>
      <c r="EE117" s="23">
        <v>0</v>
      </c>
      <c r="EF117" s="23">
        <v>0</v>
      </c>
      <c r="EG117" s="23">
        <v>0</v>
      </c>
      <c r="EH117" s="23">
        <v>0</v>
      </c>
      <c r="EI117" s="23">
        <v>0</v>
      </c>
      <c r="EJ117" s="23">
        <v>0</v>
      </c>
      <c r="EK117" s="23">
        <v>0</v>
      </c>
      <c r="EL117" s="23">
        <v>0</v>
      </c>
      <c r="EM117" s="23">
        <v>0</v>
      </c>
      <c r="EN117" s="23">
        <v>0</v>
      </c>
      <c r="EO117" s="23">
        <v>0</v>
      </c>
      <c r="EP117" s="24">
        <f>IFERROR(INDEX('[1]GenX Resources'!$AP$10:$AP$46,MATCH(DO117,'[1]GenX Resources'!$B$10:$B$46,0)),0)</f>
        <v>0</v>
      </c>
      <c r="EQ117" s="2" t="b">
        <f t="shared" si="35"/>
        <v>1</v>
      </c>
      <c r="ES117" s="25">
        <f>IFERROR(INDEX('[1]GenX Resources'!$AD:$AD,MATCH($G117,'[1]GenX Resources'!$B:$B,0)) - IF(OR(INDEX('[1]GenX Resources'!$L:$L,MATCH($G117,'[1]GenX Resources'!$B:$B,0)),ISNUMBER(SEARCH("New Generic",$G117))),0,INDEX('[1]GenX Resources'!$M:$M,MATCH($G117,'[1]GenX Resources'!$B:$B,0))),0)</f>
        <v>31250</v>
      </c>
      <c r="EU117" s="5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</row>
    <row r="118" spans="6:177" ht="16" x14ac:dyDescent="0.2">
      <c r="F118" s="19" t="str">
        <f>IFERROR(INDEX('[1]GenX Resources'!$A$10:$A$76,MATCH(G118,'[1]GenX Resources'!$B$10:$B$76,0)),"")</f>
        <v>Wind</v>
      </c>
      <c r="G118" s="5" t="s">
        <v>84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I118" s="5" t="s">
        <v>84</v>
      </c>
      <c r="AJ118" s="6">
        <f>SUMIFS([1]!Resources[Summer Rating],[1]!Resources[COD],"&lt;="&amp;AJ$77,[1]!Resources[Retirement Date],"&gt;="&amp;AJ$77,[1]!Resources[Unique Key],$AI118,[1]!Resources[Availability '#],"&gt;="&amp;2)</f>
        <v>0</v>
      </c>
      <c r="AK118" s="6">
        <f>SUMIFS([1]!Resources[Summer Rating],[1]!Resources[COD],"&lt;="&amp;AK$77,[1]!Resources[Retirement Date],"&gt;="&amp;AK$77,[1]!Resources[Unique Key],$AI118,[1]!Resources[Availability '#],"&gt;="&amp;2)</f>
        <v>0</v>
      </c>
      <c r="AL118" s="6">
        <f>SUMIFS([1]!Resources[Summer Rating],[1]!Resources[COD],"&lt;="&amp;AL$77,[1]!Resources[Retirement Date],"&gt;="&amp;AL$77,[1]!Resources[Unique Key],$AI118,[1]!Resources[Availability '#],"&gt;="&amp;2)</f>
        <v>0</v>
      </c>
      <c r="AM118" s="6">
        <f>SUMIFS([1]!Resources[Summer Rating],[1]!Resources[COD],"&lt;="&amp;AM$77,[1]!Resources[Retirement Date],"&gt;="&amp;AM$77,[1]!Resources[Unique Key],$AI118,[1]!Resources[Availability '#],"&gt;="&amp;2)</f>
        <v>0</v>
      </c>
      <c r="AN118" s="6">
        <f>SUMIFS([1]!Resources[Summer Rating],[1]!Resources[COD],"&lt;="&amp;AN$77,[1]!Resources[Retirement Date],"&gt;="&amp;AN$77,[1]!Resources[Unique Key],$AI118,[1]!Resources[Availability '#],"&gt;="&amp;2)</f>
        <v>0</v>
      </c>
      <c r="AO118" s="6">
        <f>SUMIFS([1]!Resources[Summer Rating],[1]!Resources[COD],"&lt;="&amp;AO$77,[1]!Resources[Retirement Date],"&gt;="&amp;AO$77,[1]!Resources[Unique Key],$AI118,[1]!Resources[Availability '#],"&gt;="&amp;2)</f>
        <v>0</v>
      </c>
      <c r="AP118" s="6">
        <f>SUMIFS([1]!Resources[Summer Rating],[1]!Resources[COD],"&lt;="&amp;AP$77,[1]!Resources[Retirement Date],"&gt;="&amp;AP$77,[1]!Resources[Unique Key],$AI118,[1]!Resources[Availability '#],"&gt;="&amp;2)</f>
        <v>0</v>
      </c>
      <c r="AQ118" s="6">
        <f>SUMIFS([1]!Resources[Summer Rating],[1]!Resources[COD],"&lt;="&amp;AQ$77,[1]!Resources[Retirement Date],"&gt;="&amp;AQ$77,[1]!Resources[Unique Key],$AI118,[1]!Resources[Availability '#],"&gt;="&amp;2)</f>
        <v>0</v>
      </c>
      <c r="AR118" s="6">
        <f>SUMIFS([1]!Resources[Summer Rating],[1]!Resources[COD],"&lt;="&amp;AR$77,[1]!Resources[Retirement Date],"&gt;="&amp;AR$77,[1]!Resources[Unique Key],$AI118,[1]!Resources[Availability '#],"&gt;="&amp;2)</f>
        <v>0</v>
      </c>
      <c r="AS118" s="6">
        <f>SUMIFS([1]!Resources[Summer Rating],[1]!Resources[COD],"&lt;="&amp;AS$77,[1]!Resources[Retirement Date],"&gt;="&amp;AS$77,[1]!Resources[Unique Key],$AI118,[1]!Resources[Availability '#],"&gt;="&amp;2)</f>
        <v>0</v>
      </c>
      <c r="AT118" s="6">
        <f>SUMIFS([1]!Resources[Summer Rating],[1]!Resources[COD],"&lt;="&amp;AT$77,[1]!Resources[Retirement Date],"&gt;="&amp;AT$77,[1]!Resources[Unique Key],$AI118,[1]!Resources[Availability '#],"&gt;="&amp;2)</f>
        <v>0</v>
      </c>
      <c r="AU118" s="6">
        <f>SUMIFS([1]!Resources[Summer Rating],[1]!Resources[COD],"&lt;="&amp;AU$77,[1]!Resources[Retirement Date],"&gt;="&amp;AU$77,[1]!Resources[Unique Key],$AI118,[1]!Resources[Availability '#],"&gt;="&amp;2)</f>
        <v>0</v>
      </c>
      <c r="AV118" s="6">
        <f>SUMIFS([1]!Resources[Summer Rating],[1]!Resources[COD],"&lt;="&amp;AV$77,[1]!Resources[Retirement Date],"&gt;="&amp;AV$77,[1]!Resources[Unique Key],$AI118,[1]!Resources[Availability '#],"&gt;="&amp;2)</f>
        <v>0</v>
      </c>
      <c r="AW118" s="6">
        <f>SUMIFS([1]!Resources[Summer Rating],[1]!Resources[COD],"&lt;="&amp;AW$77,[1]!Resources[Retirement Date],"&gt;="&amp;AW$77,[1]!Resources[Unique Key],$AI118,[1]!Resources[Availability '#],"&gt;="&amp;2)</f>
        <v>0</v>
      </c>
      <c r="AX118" s="6">
        <f>SUMIFS([1]!Resources[Summer Rating],[1]!Resources[COD],"&lt;="&amp;AX$77,[1]!Resources[Retirement Date],"&gt;="&amp;AX$77,[1]!Resources[Unique Key],$AI118,[1]!Resources[Availability '#],"&gt;="&amp;2)</f>
        <v>0</v>
      </c>
      <c r="AY118" s="6">
        <f>SUMIFS([1]!Resources[Summer Rating],[1]!Resources[COD],"&lt;="&amp;AY$77,[1]!Resources[Retirement Date],"&gt;="&amp;AY$77,[1]!Resources[Unique Key],$AI118,[1]!Resources[Availability '#],"&gt;="&amp;2)</f>
        <v>0</v>
      </c>
      <c r="AZ118" s="6">
        <f>SUMIFS([1]!Resources[Summer Rating],[1]!Resources[COD],"&lt;="&amp;AZ$77,[1]!Resources[Retirement Date],"&gt;="&amp;AZ$77,[1]!Resources[Unique Key],$AI118,[1]!Resources[Availability '#],"&gt;="&amp;2)</f>
        <v>0</v>
      </c>
      <c r="BA118" s="6">
        <f>SUMIFS([1]!Resources[Summer Rating],[1]!Resources[COD],"&lt;="&amp;BA$77,[1]!Resources[Retirement Date],"&gt;="&amp;BA$77,[1]!Resources[Unique Key],$AI118,[1]!Resources[Availability '#],"&gt;="&amp;2)</f>
        <v>0</v>
      </c>
      <c r="BB118" s="6">
        <f>SUMIFS([1]!Resources[Summer Rating],[1]!Resources[COD],"&lt;="&amp;BB$77,[1]!Resources[Retirement Date],"&gt;="&amp;BB$77,[1]!Resources[Unique Key],$AI118,[1]!Resources[Availability '#],"&gt;="&amp;2)</f>
        <v>0</v>
      </c>
      <c r="BC118" s="6">
        <f>SUMIFS([1]!Resources[Summer Rating],[1]!Resources[COD],"&lt;="&amp;BC$77,[1]!Resources[Retirement Date],"&gt;="&amp;BC$77,[1]!Resources[Unique Key],$AI118,[1]!Resources[Availability '#],"&gt;="&amp;2)</f>
        <v>0</v>
      </c>
      <c r="BD118" s="6">
        <f>SUMIFS([1]!Resources[Summer Rating],[1]!Resources[COD],"&lt;="&amp;BD$77,[1]!Resources[Retirement Date],"&gt;="&amp;BD$77,[1]!Resources[Unique Key],$AI118,[1]!Resources[Availability '#],"&gt;="&amp;2)</f>
        <v>0</v>
      </c>
      <c r="BE118" s="6">
        <f>SUMIFS([1]!Resources[Summer Rating],[1]!Resources[COD],"&lt;="&amp;BE$77,[1]!Resources[Retirement Date],"&gt;="&amp;BE$77,[1]!Resources[Unique Key],$AI118,[1]!Resources[Availability '#],"&gt;="&amp;2)</f>
        <v>0</v>
      </c>
      <c r="BF118" s="6">
        <f>SUMIFS([1]!Resources[Summer Rating],[1]!Resources[COD],"&lt;="&amp;BF$77,[1]!Resources[Retirement Date],"&gt;="&amp;BF$77,[1]!Resources[Unique Key],$AI118,[1]!Resources[Availability '#],"&gt;="&amp;2)</f>
        <v>0</v>
      </c>
      <c r="BG118" s="6">
        <f>SUMIFS([1]!Resources[Summer Rating],[1]!Resources[COD],"&lt;="&amp;BG$77,[1]!Resources[Retirement Date],"&gt;="&amp;BG$77,[1]!Resources[Unique Key],$AI118,[1]!Resources[Availability '#],"&gt;="&amp;2)</f>
        <v>0</v>
      </c>
      <c r="BH118" s="6">
        <f>SUMIFS([1]!Resources[Summer Rating],[1]!Resources[COD],"&lt;="&amp;BH$77,[1]!Resources[Retirement Date],"&gt;="&amp;BH$77,[1]!Resources[Unique Key],$AI118,[1]!Resources[Availability '#],"&gt;="&amp;2)</f>
        <v>0</v>
      </c>
      <c r="BI118" s="6">
        <f>SUMIFS([1]!Resources[Summer Rating],[1]!Resources[COD],"&lt;="&amp;BI$77,[1]!Resources[Retirement Date],"&gt;="&amp;BI$77,[1]!Resources[Unique Key],$AI118,[1]!Resources[Availability '#],"&gt;="&amp;2)</f>
        <v>0</v>
      </c>
      <c r="BK118" s="5" t="s">
        <v>84</v>
      </c>
      <c r="BL118" s="20">
        <v>0</v>
      </c>
      <c r="BM118" s="20">
        <v>0</v>
      </c>
      <c r="BN118" s="20">
        <v>0</v>
      </c>
      <c r="BO118" s="20">
        <v>0</v>
      </c>
      <c r="BP118" s="20">
        <v>0</v>
      </c>
      <c r="BQ118" s="20">
        <v>0</v>
      </c>
      <c r="BR118" s="20">
        <v>0</v>
      </c>
      <c r="BS118" s="20">
        <v>0</v>
      </c>
      <c r="BT118" s="20">
        <v>0</v>
      </c>
      <c r="BU118" s="20">
        <v>0</v>
      </c>
      <c r="BV118" s="20">
        <v>0</v>
      </c>
      <c r="BW118" s="20">
        <v>0</v>
      </c>
      <c r="BX118" s="20">
        <v>0</v>
      </c>
      <c r="BY118" s="20">
        <v>0</v>
      </c>
      <c r="BZ118" s="20">
        <v>0</v>
      </c>
      <c r="CA118" s="20">
        <v>0</v>
      </c>
      <c r="CB118" s="20">
        <v>0</v>
      </c>
      <c r="CC118" s="20">
        <v>0</v>
      </c>
      <c r="CD118" s="20">
        <v>0</v>
      </c>
      <c r="CE118" s="20">
        <v>0</v>
      </c>
      <c r="CF118" s="20">
        <v>0</v>
      </c>
      <c r="CG118" s="20">
        <v>0</v>
      </c>
      <c r="CH118" s="20">
        <v>0</v>
      </c>
      <c r="CI118" s="20">
        <v>0</v>
      </c>
      <c r="CJ118" s="20">
        <v>0</v>
      </c>
      <c r="CK118" s="20">
        <v>0</v>
      </c>
      <c r="CM118" s="5" t="s">
        <v>84</v>
      </c>
      <c r="CN118" s="21">
        <v>0</v>
      </c>
      <c r="CO118" s="22">
        <v>0</v>
      </c>
      <c r="CP118" s="22">
        <v>0</v>
      </c>
      <c r="CQ118" s="22">
        <v>0</v>
      </c>
      <c r="CR118" s="22">
        <v>0</v>
      </c>
      <c r="CS118" s="22">
        <v>0</v>
      </c>
      <c r="CT118" s="22">
        <v>0</v>
      </c>
      <c r="CU118" s="22">
        <v>0</v>
      </c>
      <c r="CV118" s="22">
        <v>0</v>
      </c>
      <c r="CW118" s="22">
        <v>0</v>
      </c>
      <c r="CX118" s="22">
        <v>0</v>
      </c>
      <c r="CY118" s="22">
        <v>0</v>
      </c>
      <c r="CZ118" s="22">
        <v>0</v>
      </c>
      <c r="DA118" s="22">
        <v>0</v>
      </c>
      <c r="DB118" s="22">
        <v>0</v>
      </c>
      <c r="DC118" s="22">
        <v>0</v>
      </c>
      <c r="DD118" s="22">
        <v>0</v>
      </c>
      <c r="DE118" s="22">
        <v>0</v>
      </c>
      <c r="DF118" s="22">
        <v>0</v>
      </c>
      <c r="DG118" s="22">
        <v>0</v>
      </c>
      <c r="DH118" s="22">
        <v>0</v>
      </c>
      <c r="DI118" s="22">
        <v>0</v>
      </c>
      <c r="DJ118" s="22">
        <v>0</v>
      </c>
      <c r="DK118" s="22">
        <v>0</v>
      </c>
      <c r="DL118" s="22">
        <v>0</v>
      </c>
      <c r="DM118" s="22">
        <v>0</v>
      </c>
      <c r="DO118" s="5" t="s">
        <v>84</v>
      </c>
      <c r="DP118" s="23">
        <v>0</v>
      </c>
      <c r="DQ118" s="23">
        <v>0</v>
      </c>
      <c r="DR118" s="23">
        <v>0</v>
      </c>
      <c r="DS118" s="23">
        <v>0</v>
      </c>
      <c r="DT118" s="23">
        <v>0</v>
      </c>
      <c r="DU118" s="23">
        <v>0</v>
      </c>
      <c r="DV118" s="23">
        <v>0</v>
      </c>
      <c r="DW118" s="23">
        <v>0</v>
      </c>
      <c r="DX118" s="23">
        <v>0</v>
      </c>
      <c r="DY118" s="23">
        <v>0</v>
      </c>
      <c r="DZ118" s="23">
        <v>0</v>
      </c>
      <c r="EA118" s="23">
        <v>0</v>
      </c>
      <c r="EB118" s="23">
        <v>0</v>
      </c>
      <c r="EC118" s="23">
        <v>0</v>
      </c>
      <c r="ED118" s="23">
        <v>0</v>
      </c>
      <c r="EE118" s="23">
        <v>0</v>
      </c>
      <c r="EF118" s="23">
        <v>0</v>
      </c>
      <c r="EG118" s="23">
        <v>0</v>
      </c>
      <c r="EH118" s="23">
        <v>0</v>
      </c>
      <c r="EI118" s="23">
        <v>0</v>
      </c>
      <c r="EJ118" s="23">
        <v>0</v>
      </c>
      <c r="EK118" s="23">
        <v>0</v>
      </c>
      <c r="EL118" s="23">
        <v>0</v>
      </c>
      <c r="EM118" s="23">
        <v>0</v>
      </c>
      <c r="EN118" s="23">
        <v>0</v>
      </c>
      <c r="EO118" s="23">
        <v>0</v>
      </c>
      <c r="EP118" s="24">
        <f>IFERROR(INDEX('[1]GenX Resources'!$AP$10:$AP$46,MATCH(DO118,'[1]GenX Resources'!$B$10:$B$46,0)),0)</f>
        <v>0</v>
      </c>
      <c r="EQ118" s="2" t="b">
        <f t="shared" si="35"/>
        <v>1</v>
      </c>
      <c r="ES118" s="25">
        <f>IFERROR(INDEX('[1]GenX Resources'!$AD:$AD,MATCH($G118,'[1]GenX Resources'!$B:$B,0)) - IF(OR(INDEX('[1]GenX Resources'!$L:$L,MATCH($G118,'[1]GenX Resources'!$B:$B,0)),ISNUMBER(SEARCH("New Generic",$G118))),0,INDEX('[1]GenX Resources'!$M:$M,MATCH($G118,'[1]GenX Resources'!$B:$B,0))),0)</f>
        <v>31250</v>
      </c>
      <c r="EU118" s="5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</row>
    <row r="119" spans="6:177" ht="16" x14ac:dyDescent="0.2">
      <c r="F119" s="19" t="str">
        <f>IFERROR(INDEX('[1]GenX Resources'!$A$10:$A$76,MATCH(G119,'[1]GenX Resources'!$B$10:$B$76,0)),"")</f>
        <v>Wind</v>
      </c>
      <c r="G119" s="5" t="s">
        <v>85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I119" s="5" t="s">
        <v>85</v>
      </c>
      <c r="AJ119" s="6">
        <f>SUMIFS([1]!Resources[Summer Rating],[1]!Resources[COD],"&lt;="&amp;AJ$77,[1]!Resources[Retirement Date],"&gt;="&amp;AJ$77,[1]!Resources[Unique Key],$AI119,[1]!Resources[Availability '#],"&gt;="&amp;2)</f>
        <v>0</v>
      </c>
      <c r="AK119" s="6">
        <f>SUMIFS([1]!Resources[Summer Rating],[1]!Resources[COD],"&lt;="&amp;AK$77,[1]!Resources[Retirement Date],"&gt;="&amp;AK$77,[1]!Resources[Unique Key],$AI119,[1]!Resources[Availability '#],"&gt;="&amp;2)</f>
        <v>0</v>
      </c>
      <c r="AL119" s="6">
        <f>SUMIFS([1]!Resources[Summer Rating],[1]!Resources[COD],"&lt;="&amp;AL$77,[1]!Resources[Retirement Date],"&gt;="&amp;AL$77,[1]!Resources[Unique Key],$AI119,[1]!Resources[Availability '#],"&gt;="&amp;2)</f>
        <v>0</v>
      </c>
      <c r="AM119" s="6">
        <f>SUMIFS([1]!Resources[Summer Rating],[1]!Resources[COD],"&lt;="&amp;AM$77,[1]!Resources[Retirement Date],"&gt;="&amp;AM$77,[1]!Resources[Unique Key],$AI119,[1]!Resources[Availability '#],"&gt;="&amp;2)</f>
        <v>0</v>
      </c>
      <c r="AN119" s="6">
        <f>SUMIFS([1]!Resources[Summer Rating],[1]!Resources[COD],"&lt;="&amp;AN$77,[1]!Resources[Retirement Date],"&gt;="&amp;AN$77,[1]!Resources[Unique Key],$AI119,[1]!Resources[Availability '#],"&gt;="&amp;2)</f>
        <v>0</v>
      </c>
      <c r="AO119" s="6">
        <f>SUMIFS([1]!Resources[Summer Rating],[1]!Resources[COD],"&lt;="&amp;AO$77,[1]!Resources[Retirement Date],"&gt;="&amp;AO$77,[1]!Resources[Unique Key],$AI119,[1]!Resources[Availability '#],"&gt;="&amp;2)</f>
        <v>0</v>
      </c>
      <c r="AP119" s="6">
        <f>SUMIFS([1]!Resources[Summer Rating],[1]!Resources[COD],"&lt;="&amp;AP$77,[1]!Resources[Retirement Date],"&gt;="&amp;AP$77,[1]!Resources[Unique Key],$AI119,[1]!Resources[Availability '#],"&gt;="&amp;2)</f>
        <v>0</v>
      </c>
      <c r="AQ119" s="6">
        <f>SUMIFS([1]!Resources[Summer Rating],[1]!Resources[COD],"&lt;="&amp;AQ$77,[1]!Resources[Retirement Date],"&gt;="&amp;AQ$77,[1]!Resources[Unique Key],$AI119,[1]!Resources[Availability '#],"&gt;="&amp;2)</f>
        <v>0</v>
      </c>
      <c r="AR119" s="6">
        <f>SUMIFS([1]!Resources[Summer Rating],[1]!Resources[COD],"&lt;="&amp;AR$77,[1]!Resources[Retirement Date],"&gt;="&amp;AR$77,[1]!Resources[Unique Key],$AI119,[1]!Resources[Availability '#],"&gt;="&amp;2)</f>
        <v>0</v>
      </c>
      <c r="AS119" s="6">
        <f>SUMIFS([1]!Resources[Summer Rating],[1]!Resources[COD],"&lt;="&amp;AS$77,[1]!Resources[Retirement Date],"&gt;="&amp;AS$77,[1]!Resources[Unique Key],$AI119,[1]!Resources[Availability '#],"&gt;="&amp;2)</f>
        <v>0</v>
      </c>
      <c r="AT119" s="6">
        <f>SUMIFS([1]!Resources[Summer Rating],[1]!Resources[COD],"&lt;="&amp;AT$77,[1]!Resources[Retirement Date],"&gt;="&amp;AT$77,[1]!Resources[Unique Key],$AI119,[1]!Resources[Availability '#],"&gt;="&amp;2)</f>
        <v>0</v>
      </c>
      <c r="AU119" s="6">
        <f>SUMIFS([1]!Resources[Summer Rating],[1]!Resources[COD],"&lt;="&amp;AU$77,[1]!Resources[Retirement Date],"&gt;="&amp;AU$77,[1]!Resources[Unique Key],$AI119,[1]!Resources[Availability '#],"&gt;="&amp;2)</f>
        <v>0</v>
      </c>
      <c r="AV119" s="6">
        <f>SUMIFS([1]!Resources[Summer Rating],[1]!Resources[COD],"&lt;="&amp;AV$77,[1]!Resources[Retirement Date],"&gt;="&amp;AV$77,[1]!Resources[Unique Key],$AI119,[1]!Resources[Availability '#],"&gt;="&amp;2)</f>
        <v>0</v>
      </c>
      <c r="AW119" s="6">
        <f>SUMIFS([1]!Resources[Summer Rating],[1]!Resources[COD],"&lt;="&amp;AW$77,[1]!Resources[Retirement Date],"&gt;="&amp;AW$77,[1]!Resources[Unique Key],$AI119,[1]!Resources[Availability '#],"&gt;="&amp;2)</f>
        <v>0</v>
      </c>
      <c r="AX119" s="6">
        <f>SUMIFS([1]!Resources[Summer Rating],[1]!Resources[COD],"&lt;="&amp;AX$77,[1]!Resources[Retirement Date],"&gt;="&amp;AX$77,[1]!Resources[Unique Key],$AI119,[1]!Resources[Availability '#],"&gt;="&amp;2)</f>
        <v>0</v>
      </c>
      <c r="AY119" s="6">
        <f>SUMIFS([1]!Resources[Summer Rating],[1]!Resources[COD],"&lt;="&amp;AY$77,[1]!Resources[Retirement Date],"&gt;="&amp;AY$77,[1]!Resources[Unique Key],$AI119,[1]!Resources[Availability '#],"&gt;="&amp;2)</f>
        <v>0</v>
      </c>
      <c r="AZ119" s="6">
        <f>SUMIFS([1]!Resources[Summer Rating],[1]!Resources[COD],"&lt;="&amp;AZ$77,[1]!Resources[Retirement Date],"&gt;="&amp;AZ$77,[1]!Resources[Unique Key],$AI119,[1]!Resources[Availability '#],"&gt;="&amp;2)</f>
        <v>0</v>
      </c>
      <c r="BA119" s="6">
        <f>SUMIFS([1]!Resources[Summer Rating],[1]!Resources[COD],"&lt;="&amp;BA$77,[1]!Resources[Retirement Date],"&gt;="&amp;BA$77,[1]!Resources[Unique Key],$AI119,[1]!Resources[Availability '#],"&gt;="&amp;2)</f>
        <v>0</v>
      </c>
      <c r="BB119" s="6">
        <f>SUMIFS([1]!Resources[Summer Rating],[1]!Resources[COD],"&lt;="&amp;BB$77,[1]!Resources[Retirement Date],"&gt;="&amp;BB$77,[1]!Resources[Unique Key],$AI119,[1]!Resources[Availability '#],"&gt;="&amp;2)</f>
        <v>0</v>
      </c>
      <c r="BC119" s="6">
        <f>SUMIFS([1]!Resources[Summer Rating],[1]!Resources[COD],"&lt;="&amp;BC$77,[1]!Resources[Retirement Date],"&gt;="&amp;BC$77,[1]!Resources[Unique Key],$AI119,[1]!Resources[Availability '#],"&gt;="&amp;2)</f>
        <v>0</v>
      </c>
      <c r="BD119" s="6">
        <f>SUMIFS([1]!Resources[Summer Rating],[1]!Resources[COD],"&lt;="&amp;BD$77,[1]!Resources[Retirement Date],"&gt;="&amp;BD$77,[1]!Resources[Unique Key],$AI119,[1]!Resources[Availability '#],"&gt;="&amp;2)</f>
        <v>0</v>
      </c>
      <c r="BE119" s="6">
        <f>SUMIFS([1]!Resources[Summer Rating],[1]!Resources[COD],"&lt;="&amp;BE$77,[1]!Resources[Retirement Date],"&gt;="&amp;BE$77,[1]!Resources[Unique Key],$AI119,[1]!Resources[Availability '#],"&gt;="&amp;2)</f>
        <v>0</v>
      </c>
      <c r="BF119" s="6">
        <f>SUMIFS([1]!Resources[Summer Rating],[1]!Resources[COD],"&lt;="&amp;BF$77,[1]!Resources[Retirement Date],"&gt;="&amp;BF$77,[1]!Resources[Unique Key],$AI119,[1]!Resources[Availability '#],"&gt;="&amp;2)</f>
        <v>0</v>
      </c>
      <c r="BG119" s="6">
        <f>SUMIFS([1]!Resources[Summer Rating],[1]!Resources[COD],"&lt;="&amp;BG$77,[1]!Resources[Retirement Date],"&gt;="&amp;BG$77,[1]!Resources[Unique Key],$AI119,[1]!Resources[Availability '#],"&gt;="&amp;2)</f>
        <v>0</v>
      </c>
      <c r="BH119" s="6">
        <f>SUMIFS([1]!Resources[Summer Rating],[1]!Resources[COD],"&lt;="&amp;BH$77,[1]!Resources[Retirement Date],"&gt;="&amp;BH$77,[1]!Resources[Unique Key],$AI119,[1]!Resources[Availability '#],"&gt;="&amp;2)</f>
        <v>0</v>
      </c>
      <c r="BI119" s="6">
        <f>SUMIFS([1]!Resources[Summer Rating],[1]!Resources[COD],"&lt;="&amp;BI$77,[1]!Resources[Retirement Date],"&gt;="&amp;BI$77,[1]!Resources[Unique Key],$AI119,[1]!Resources[Availability '#],"&gt;="&amp;2)</f>
        <v>0</v>
      </c>
      <c r="BK119" s="5" t="s">
        <v>85</v>
      </c>
      <c r="BL119" s="20">
        <v>0</v>
      </c>
      <c r="BM119" s="20">
        <v>0</v>
      </c>
      <c r="BN119" s="20">
        <v>0</v>
      </c>
      <c r="BO119" s="20">
        <v>0</v>
      </c>
      <c r="BP119" s="20">
        <v>0</v>
      </c>
      <c r="BQ119" s="20">
        <v>0</v>
      </c>
      <c r="BR119" s="20">
        <v>0</v>
      </c>
      <c r="BS119" s="20">
        <v>0</v>
      </c>
      <c r="BT119" s="20">
        <v>0</v>
      </c>
      <c r="BU119" s="20">
        <v>0</v>
      </c>
      <c r="BV119" s="20">
        <v>0</v>
      </c>
      <c r="BW119" s="20">
        <v>0</v>
      </c>
      <c r="BX119" s="20">
        <v>0</v>
      </c>
      <c r="BY119" s="20">
        <v>0</v>
      </c>
      <c r="BZ119" s="20">
        <v>0</v>
      </c>
      <c r="CA119" s="20">
        <v>0</v>
      </c>
      <c r="CB119" s="20">
        <v>0</v>
      </c>
      <c r="CC119" s="20">
        <v>0</v>
      </c>
      <c r="CD119" s="20">
        <v>0</v>
      </c>
      <c r="CE119" s="20">
        <v>0</v>
      </c>
      <c r="CF119" s="20">
        <v>0</v>
      </c>
      <c r="CG119" s="20">
        <v>0</v>
      </c>
      <c r="CH119" s="20">
        <v>0</v>
      </c>
      <c r="CI119" s="20">
        <v>0</v>
      </c>
      <c r="CJ119" s="20">
        <v>0</v>
      </c>
      <c r="CK119" s="20">
        <v>0</v>
      </c>
      <c r="CM119" s="5" t="s">
        <v>85</v>
      </c>
      <c r="CN119" s="21">
        <v>0</v>
      </c>
      <c r="CO119" s="22">
        <v>0</v>
      </c>
      <c r="CP119" s="22">
        <v>0</v>
      </c>
      <c r="CQ119" s="22">
        <v>0</v>
      </c>
      <c r="CR119" s="22">
        <v>0</v>
      </c>
      <c r="CS119" s="22">
        <v>0</v>
      </c>
      <c r="CT119" s="22">
        <v>0</v>
      </c>
      <c r="CU119" s="22">
        <v>0</v>
      </c>
      <c r="CV119" s="22">
        <v>0</v>
      </c>
      <c r="CW119" s="22">
        <v>0</v>
      </c>
      <c r="CX119" s="22">
        <v>0</v>
      </c>
      <c r="CY119" s="22">
        <v>0</v>
      </c>
      <c r="CZ119" s="22">
        <v>0</v>
      </c>
      <c r="DA119" s="22">
        <v>0</v>
      </c>
      <c r="DB119" s="22">
        <v>0</v>
      </c>
      <c r="DC119" s="22">
        <v>0</v>
      </c>
      <c r="DD119" s="22">
        <v>0</v>
      </c>
      <c r="DE119" s="22">
        <v>0</v>
      </c>
      <c r="DF119" s="22">
        <v>0</v>
      </c>
      <c r="DG119" s="22">
        <v>0</v>
      </c>
      <c r="DH119" s="22">
        <v>0</v>
      </c>
      <c r="DI119" s="22">
        <v>0</v>
      </c>
      <c r="DJ119" s="22">
        <v>0</v>
      </c>
      <c r="DK119" s="22">
        <v>0</v>
      </c>
      <c r="DL119" s="22">
        <v>0</v>
      </c>
      <c r="DM119" s="22">
        <v>0</v>
      </c>
      <c r="DO119" s="5" t="s">
        <v>85</v>
      </c>
      <c r="DP119" s="23">
        <v>0</v>
      </c>
      <c r="DQ119" s="23">
        <v>0</v>
      </c>
      <c r="DR119" s="23">
        <v>0</v>
      </c>
      <c r="DS119" s="23">
        <v>0</v>
      </c>
      <c r="DT119" s="23">
        <v>0</v>
      </c>
      <c r="DU119" s="23">
        <v>0</v>
      </c>
      <c r="DV119" s="23">
        <v>0</v>
      </c>
      <c r="DW119" s="23">
        <v>0</v>
      </c>
      <c r="DX119" s="23">
        <v>0</v>
      </c>
      <c r="DY119" s="23">
        <v>0</v>
      </c>
      <c r="DZ119" s="23">
        <v>0</v>
      </c>
      <c r="EA119" s="23">
        <v>0</v>
      </c>
      <c r="EB119" s="23">
        <v>0</v>
      </c>
      <c r="EC119" s="23">
        <v>0</v>
      </c>
      <c r="ED119" s="23">
        <v>0</v>
      </c>
      <c r="EE119" s="23">
        <v>0</v>
      </c>
      <c r="EF119" s="23">
        <v>0</v>
      </c>
      <c r="EG119" s="23">
        <v>0</v>
      </c>
      <c r="EH119" s="23">
        <v>0</v>
      </c>
      <c r="EI119" s="23">
        <v>0</v>
      </c>
      <c r="EJ119" s="23">
        <v>0</v>
      </c>
      <c r="EK119" s="23">
        <v>0</v>
      </c>
      <c r="EL119" s="23">
        <v>0</v>
      </c>
      <c r="EM119" s="23">
        <v>0</v>
      </c>
      <c r="EN119" s="23">
        <v>0</v>
      </c>
      <c r="EO119" s="23">
        <v>0</v>
      </c>
      <c r="EP119" s="24">
        <f>IFERROR(INDEX('[1]GenX Resources'!$AP$10:$AP$46,MATCH(DO119,'[1]GenX Resources'!$B$10:$B$46,0)),0)</f>
        <v>0</v>
      </c>
      <c r="EQ119" s="2" t="b">
        <f t="shared" si="35"/>
        <v>1</v>
      </c>
      <c r="ES119" s="25">
        <f>IFERROR(INDEX('[1]GenX Resources'!$AD:$AD,MATCH($G119,'[1]GenX Resources'!$B:$B,0)) - IF(OR(INDEX('[1]GenX Resources'!$L:$L,MATCH($G119,'[1]GenX Resources'!$B:$B,0)),ISNUMBER(SEARCH("New Generic",$G119))),0,INDEX('[1]GenX Resources'!$M:$M,MATCH($G119,'[1]GenX Resources'!$B:$B,0))),0)</f>
        <v>31250</v>
      </c>
      <c r="EU119" s="5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</row>
    <row r="120" spans="6:177" ht="16" x14ac:dyDescent="0.2">
      <c r="F120" s="19" t="str">
        <f>IFERROR(INDEX('[1]GenX Resources'!$A$10:$A$76,MATCH(G120,'[1]GenX Resources'!$B$10:$B$76,0)),"")</f>
        <v>Wind</v>
      </c>
      <c r="G120" s="5" t="s">
        <v>86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I120" s="5" t="s">
        <v>86</v>
      </c>
      <c r="AJ120" s="6">
        <f>SUMIFS([1]!Resources[Summer Rating],[1]!Resources[COD],"&lt;="&amp;AJ$77,[1]!Resources[Retirement Date],"&gt;="&amp;AJ$77,[1]!Resources[Unique Key],$AI120,[1]!Resources[Availability '#],"&gt;="&amp;2)</f>
        <v>0</v>
      </c>
      <c r="AK120" s="6">
        <f>SUMIFS([1]!Resources[Summer Rating],[1]!Resources[COD],"&lt;="&amp;AK$77,[1]!Resources[Retirement Date],"&gt;="&amp;AK$77,[1]!Resources[Unique Key],$AI120,[1]!Resources[Availability '#],"&gt;="&amp;2)</f>
        <v>0</v>
      </c>
      <c r="AL120" s="6">
        <f>SUMIFS([1]!Resources[Summer Rating],[1]!Resources[COD],"&lt;="&amp;AL$77,[1]!Resources[Retirement Date],"&gt;="&amp;AL$77,[1]!Resources[Unique Key],$AI120,[1]!Resources[Availability '#],"&gt;="&amp;2)</f>
        <v>0</v>
      </c>
      <c r="AM120" s="6">
        <f>SUMIFS([1]!Resources[Summer Rating],[1]!Resources[COD],"&lt;="&amp;AM$77,[1]!Resources[Retirement Date],"&gt;="&amp;AM$77,[1]!Resources[Unique Key],$AI120,[1]!Resources[Availability '#],"&gt;="&amp;2)</f>
        <v>0</v>
      </c>
      <c r="AN120" s="6">
        <f>SUMIFS([1]!Resources[Summer Rating],[1]!Resources[COD],"&lt;="&amp;AN$77,[1]!Resources[Retirement Date],"&gt;="&amp;AN$77,[1]!Resources[Unique Key],$AI120,[1]!Resources[Availability '#],"&gt;="&amp;2)</f>
        <v>0</v>
      </c>
      <c r="AO120" s="6">
        <f>SUMIFS([1]!Resources[Summer Rating],[1]!Resources[COD],"&lt;="&amp;AO$77,[1]!Resources[Retirement Date],"&gt;="&amp;AO$77,[1]!Resources[Unique Key],$AI120,[1]!Resources[Availability '#],"&gt;="&amp;2)</f>
        <v>0</v>
      </c>
      <c r="AP120" s="6">
        <f>SUMIFS([1]!Resources[Summer Rating],[1]!Resources[COD],"&lt;="&amp;AP$77,[1]!Resources[Retirement Date],"&gt;="&amp;AP$77,[1]!Resources[Unique Key],$AI120,[1]!Resources[Availability '#],"&gt;="&amp;2)</f>
        <v>0</v>
      </c>
      <c r="AQ120" s="6">
        <f>SUMIFS([1]!Resources[Summer Rating],[1]!Resources[COD],"&lt;="&amp;AQ$77,[1]!Resources[Retirement Date],"&gt;="&amp;AQ$77,[1]!Resources[Unique Key],$AI120,[1]!Resources[Availability '#],"&gt;="&amp;2)</f>
        <v>0</v>
      </c>
      <c r="AR120" s="6">
        <f>SUMIFS([1]!Resources[Summer Rating],[1]!Resources[COD],"&lt;="&amp;AR$77,[1]!Resources[Retirement Date],"&gt;="&amp;AR$77,[1]!Resources[Unique Key],$AI120,[1]!Resources[Availability '#],"&gt;="&amp;2)</f>
        <v>0</v>
      </c>
      <c r="AS120" s="6">
        <f>SUMIFS([1]!Resources[Summer Rating],[1]!Resources[COD],"&lt;="&amp;AS$77,[1]!Resources[Retirement Date],"&gt;="&amp;AS$77,[1]!Resources[Unique Key],$AI120,[1]!Resources[Availability '#],"&gt;="&amp;2)</f>
        <v>0</v>
      </c>
      <c r="AT120" s="6">
        <f>SUMIFS([1]!Resources[Summer Rating],[1]!Resources[COD],"&lt;="&amp;AT$77,[1]!Resources[Retirement Date],"&gt;="&amp;AT$77,[1]!Resources[Unique Key],$AI120,[1]!Resources[Availability '#],"&gt;="&amp;2)</f>
        <v>0</v>
      </c>
      <c r="AU120" s="6">
        <f>SUMIFS([1]!Resources[Summer Rating],[1]!Resources[COD],"&lt;="&amp;AU$77,[1]!Resources[Retirement Date],"&gt;="&amp;AU$77,[1]!Resources[Unique Key],$AI120,[1]!Resources[Availability '#],"&gt;="&amp;2)</f>
        <v>0</v>
      </c>
      <c r="AV120" s="6">
        <f>SUMIFS([1]!Resources[Summer Rating],[1]!Resources[COD],"&lt;="&amp;AV$77,[1]!Resources[Retirement Date],"&gt;="&amp;AV$77,[1]!Resources[Unique Key],$AI120,[1]!Resources[Availability '#],"&gt;="&amp;2)</f>
        <v>0</v>
      </c>
      <c r="AW120" s="6">
        <f>SUMIFS([1]!Resources[Summer Rating],[1]!Resources[COD],"&lt;="&amp;AW$77,[1]!Resources[Retirement Date],"&gt;="&amp;AW$77,[1]!Resources[Unique Key],$AI120,[1]!Resources[Availability '#],"&gt;="&amp;2)</f>
        <v>0</v>
      </c>
      <c r="AX120" s="6">
        <f>SUMIFS([1]!Resources[Summer Rating],[1]!Resources[COD],"&lt;="&amp;AX$77,[1]!Resources[Retirement Date],"&gt;="&amp;AX$77,[1]!Resources[Unique Key],$AI120,[1]!Resources[Availability '#],"&gt;="&amp;2)</f>
        <v>0</v>
      </c>
      <c r="AY120" s="6">
        <f>SUMIFS([1]!Resources[Summer Rating],[1]!Resources[COD],"&lt;="&amp;AY$77,[1]!Resources[Retirement Date],"&gt;="&amp;AY$77,[1]!Resources[Unique Key],$AI120,[1]!Resources[Availability '#],"&gt;="&amp;2)</f>
        <v>0</v>
      </c>
      <c r="AZ120" s="6">
        <f>SUMIFS([1]!Resources[Summer Rating],[1]!Resources[COD],"&lt;="&amp;AZ$77,[1]!Resources[Retirement Date],"&gt;="&amp;AZ$77,[1]!Resources[Unique Key],$AI120,[1]!Resources[Availability '#],"&gt;="&amp;2)</f>
        <v>0</v>
      </c>
      <c r="BA120" s="6">
        <f>SUMIFS([1]!Resources[Summer Rating],[1]!Resources[COD],"&lt;="&amp;BA$77,[1]!Resources[Retirement Date],"&gt;="&amp;BA$77,[1]!Resources[Unique Key],$AI120,[1]!Resources[Availability '#],"&gt;="&amp;2)</f>
        <v>0</v>
      </c>
      <c r="BB120" s="6">
        <f>SUMIFS([1]!Resources[Summer Rating],[1]!Resources[COD],"&lt;="&amp;BB$77,[1]!Resources[Retirement Date],"&gt;="&amp;BB$77,[1]!Resources[Unique Key],$AI120,[1]!Resources[Availability '#],"&gt;="&amp;2)</f>
        <v>0</v>
      </c>
      <c r="BC120" s="6">
        <f>SUMIFS([1]!Resources[Summer Rating],[1]!Resources[COD],"&lt;="&amp;BC$77,[1]!Resources[Retirement Date],"&gt;="&amp;BC$77,[1]!Resources[Unique Key],$AI120,[1]!Resources[Availability '#],"&gt;="&amp;2)</f>
        <v>0</v>
      </c>
      <c r="BD120" s="6">
        <f>SUMIFS([1]!Resources[Summer Rating],[1]!Resources[COD],"&lt;="&amp;BD$77,[1]!Resources[Retirement Date],"&gt;="&amp;BD$77,[1]!Resources[Unique Key],$AI120,[1]!Resources[Availability '#],"&gt;="&amp;2)</f>
        <v>0</v>
      </c>
      <c r="BE120" s="6">
        <f>SUMIFS([1]!Resources[Summer Rating],[1]!Resources[COD],"&lt;="&amp;BE$77,[1]!Resources[Retirement Date],"&gt;="&amp;BE$77,[1]!Resources[Unique Key],$AI120,[1]!Resources[Availability '#],"&gt;="&amp;2)</f>
        <v>0</v>
      </c>
      <c r="BF120" s="6">
        <f>SUMIFS([1]!Resources[Summer Rating],[1]!Resources[COD],"&lt;="&amp;BF$77,[1]!Resources[Retirement Date],"&gt;="&amp;BF$77,[1]!Resources[Unique Key],$AI120,[1]!Resources[Availability '#],"&gt;="&amp;2)</f>
        <v>0</v>
      </c>
      <c r="BG120" s="6">
        <f>SUMIFS([1]!Resources[Summer Rating],[1]!Resources[COD],"&lt;="&amp;BG$77,[1]!Resources[Retirement Date],"&gt;="&amp;BG$77,[1]!Resources[Unique Key],$AI120,[1]!Resources[Availability '#],"&gt;="&amp;2)</f>
        <v>0</v>
      </c>
      <c r="BH120" s="6">
        <f>SUMIFS([1]!Resources[Summer Rating],[1]!Resources[COD],"&lt;="&amp;BH$77,[1]!Resources[Retirement Date],"&gt;="&amp;BH$77,[1]!Resources[Unique Key],$AI120,[1]!Resources[Availability '#],"&gt;="&amp;2)</f>
        <v>0</v>
      </c>
      <c r="BI120" s="6">
        <f>SUMIFS([1]!Resources[Summer Rating],[1]!Resources[COD],"&lt;="&amp;BI$77,[1]!Resources[Retirement Date],"&gt;="&amp;BI$77,[1]!Resources[Unique Key],$AI120,[1]!Resources[Availability '#],"&gt;="&amp;2)</f>
        <v>0</v>
      </c>
      <c r="BK120" s="5" t="s">
        <v>86</v>
      </c>
      <c r="BL120" s="20">
        <v>0</v>
      </c>
      <c r="BM120" s="20">
        <v>0</v>
      </c>
      <c r="BN120" s="20">
        <v>0</v>
      </c>
      <c r="BO120" s="20">
        <v>0</v>
      </c>
      <c r="BP120" s="20">
        <v>0</v>
      </c>
      <c r="BQ120" s="20">
        <v>0</v>
      </c>
      <c r="BR120" s="20">
        <v>0</v>
      </c>
      <c r="BS120" s="20">
        <v>0</v>
      </c>
      <c r="BT120" s="20">
        <v>0</v>
      </c>
      <c r="BU120" s="20">
        <v>0</v>
      </c>
      <c r="BV120" s="20">
        <v>0</v>
      </c>
      <c r="BW120" s="20">
        <v>0</v>
      </c>
      <c r="BX120" s="20">
        <v>0</v>
      </c>
      <c r="BY120" s="20">
        <v>0</v>
      </c>
      <c r="BZ120" s="20">
        <v>0</v>
      </c>
      <c r="CA120" s="20">
        <v>0</v>
      </c>
      <c r="CB120" s="20">
        <v>0</v>
      </c>
      <c r="CC120" s="20">
        <v>0</v>
      </c>
      <c r="CD120" s="20">
        <v>0</v>
      </c>
      <c r="CE120" s="20">
        <v>0</v>
      </c>
      <c r="CF120" s="20">
        <v>0</v>
      </c>
      <c r="CG120" s="20">
        <v>0</v>
      </c>
      <c r="CH120" s="20">
        <v>0</v>
      </c>
      <c r="CI120" s="20">
        <v>0</v>
      </c>
      <c r="CJ120" s="20">
        <v>0</v>
      </c>
      <c r="CK120" s="20">
        <v>0</v>
      </c>
      <c r="CM120" s="5" t="s">
        <v>86</v>
      </c>
      <c r="CN120" s="21">
        <v>0</v>
      </c>
      <c r="CO120" s="22">
        <v>0</v>
      </c>
      <c r="CP120" s="22">
        <v>0</v>
      </c>
      <c r="CQ120" s="22">
        <v>0</v>
      </c>
      <c r="CR120" s="22">
        <v>0</v>
      </c>
      <c r="CS120" s="22">
        <v>0</v>
      </c>
      <c r="CT120" s="22">
        <v>0</v>
      </c>
      <c r="CU120" s="22">
        <v>0</v>
      </c>
      <c r="CV120" s="22">
        <v>0</v>
      </c>
      <c r="CW120" s="22">
        <v>0</v>
      </c>
      <c r="CX120" s="22">
        <v>0</v>
      </c>
      <c r="CY120" s="22">
        <v>0</v>
      </c>
      <c r="CZ120" s="22">
        <v>0</v>
      </c>
      <c r="DA120" s="22">
        <v>0</v>
      </c>
      <c r="DB120" s="22">
        <v>0</v>
      </c>
      <c r="DC120" s="22">
        <v>0</v>
      </c>
      <c r="DD120" s="22">
        <v>0</v>
      </c>
      <c r="DE120" s="22">
        <v>0</v>
      </c>
      <c r="DF120" s="22">
        <v>0</v>
      </c>
      <c r="DG120" s="22">
        <v>0</v>
      </c>
      <c r="DH120" s="22">
        <v>0</v>
      </c>
      <c r="DI120" s="22">
        <v>0</v>
      </c>
      <c r="DJ120" s="22">
        <v>0</v>
      </c>
      <c r="DK120" s="22">
        <v>0</v>
      </c>
      <c r="DL120" s="22">
        <v>0</v>
      </c>
      <c r="DM120" s="22">
        <v>0</v>
      </c>
      <c r="DO120" s="5" t="s">
        <v>86</v>
      </c>
      <c r="DP120" s="23">
        <v>0</v>
      </c>
      <c r="DQ120" s="23">
        <v>0</v>
      </c>
      <c r="DR120" s="23">
        <v>0</v>
      </c>
      <c r="DS120" s="23">
        <v>0</v>
      </c>
      <c r="DT120" s="23">
        <v>0</v>
      </c>
      <c r="DU120" s="23">
        <v>0</v>
      </c>
      <c r="DV120" s="23">
        <v>0</v>
      </c>
      <c r="DW120" s="23">
        <v>0</v>
      </c>
      <c r="DX120" s="23">
        <v>0</v>
      </c>
      <c r="DY120" s="23">
        <v>0</v>
      </c>
      <c r="DZ120" s="23">
        <v>0</v>
      </c>
      <c r="EA120" s="23">
        <v>0</v>
      </c>
      <c r="EB120" s="23">
        <v>0</v>
      </c>
      <c r="EC120" s="23">
        <v>0</v>
      </c>
      <c r="ED120" s="23">
        <v>0</v>
      </c>
      <c r="EE120" s="23">
        <v>0</v>
      </c>
      <c r="EF120" s="23">
        <v>0</v>
      </c>
      <c r="EG120" s="23">
        <v>0</v>
      </c>
      <c r="EH120" s="23">
        <v>0</v>
      </c>
      <c r="EI120" s="23">
        <v>0</v>
      </c>
      <c r="EJ120" s="23">
        <v>0</v>
      </c>
      <c r="EK120" s="23">
        <v>0</v>
      </c>
      <c r="EL120" s="23">
        <v>0</v>
      </c>
      <c r="EM120" s="23">
        <v>0</v>
      </c>
      <c r="EN120" s="23">
        <v>0</v>
      </c>
      <c r="EO120" s="23">
        <v>0</v>
      </c>
      <c r="EP120" s="24">
        <f>IFERROR(INDEX('[1]GenX Resources'!$AP$10:$AP$46,MATCH(DO120,'[1]GenX Resources'!$B$10:$B$46,0)),0)</f>
        <v>0</v>
      </c>
      <c r="EQ120" s="2" t="b">
        <f t="shared" si="35"/>
        <v>1</v>
      </c>
      <c r="ES120" s="25">
        <f>IFERROR(INDEX('[1]GenX Resources'!$AD:$AD,MATCH($G120,'[1]GenX Resources'!$B:$B,0)) - IF(OR(INDEX('[1]GenX Resources'!$L:$L,MATCH($G120,'[1]GenX Resources'!$B:$B,0)),ISNUMBER(SEARCH("New Generic",$G120))),0,INDEX('[1]GenX Resources'!$M:$M,MATCH($G120,'[1]GenX Resources'!$B:$B,0))),0)</f>
        <v>31250</v>
      </c>
      <c r="EU120" s="5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</row>
    <row r="121" spans="6:177" ht="16" x14ac:dyDescent="0.2">
      <c r="F121" s="19" t="str">
        <f>IFERROR(INDEX('[1]GenX Resources'!$A$10:$A$76,MATCH(G121,'[1]GenX Resources'!$B$10:$B$76,0)),"")</f>
        <v>Solar</v>
      </c>
      <c r="G121" s="5" t="s">
        <v>87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I121" s="5" t="s">
        <v>87</v>
      </c>
      <c r="AJ121" s="6">
        <f>SUMIFS([1]!Resources[Summer Rating],[1]!Resources[COD],"&lt;="&amp;AJ$77,[1]!Resources[Retirement Date],"&gt;="&amp;AJ$77,[1]!Resources[Unique Key],$AI121,[1]!Resources[Availability '#],"&gt;="&amp;2)</f>
        <v>0</v>
      </c>
      <c r="AK121" s="6">
        <f>SUMIFS([1]!Resources[Summer Rating],[1]!Resources[COD],"&lt;="&amp;AK$77,[1]!Resources[Retirement Date],"&gt;="&amp;AK$77,[1]!Resources[Unique Key],$AI121,[1]!Resources[Availability '#],"&gt;="&amp;2)</f>
        <v>0</v>
      </c>
      <c r="AL121" s="6">
        <f>SUMIFS([1]!Resources[Summer Rating],[1]!Resources[COD],"&lt;="&amp;AL$77,[1]!Resources[Retirement Date],"&gt;="&amp;AL$77,[1]!Resources[Unique Key],$AI121,[1]!Resources[Availability '#],"&gt;="&amp;2)</f>
        <v>0</v>
      </c>
      <c r="AM121" s="6">
        <f>SUMIFS([1]!Resources[Summer Rating],[1]!Resources[COD],"&lt;="&amp;AM$77,[1]!Resources[Retirement Date],"&gt;="&amp;AM$77,[1]!Resources[Unique Key],$AI121,[1]!Resources[Availability '#],"&gt;="&amp;2)</f>
        <v>0</v>
      </c>
      <c r="AN121" s="6">
        <f>SUMIFS([1]!Resources[Summer Rating],[1]!Resources[COD],"&lt;="&amp;AN$77,[1]!Resources[Retirement Date],"&gt;="&amp;AN$77,[1]!Resources[Unique Key],$AI121,[1]!Resources[Availability '#],"&gt;="&amp;2)</f>
        <v>0</v>
      </c>
      <c r="AO121" s="6">
        <f>SUMIFS([1]!Resources[Summer Rating],[1]!Resources[COD],"&lt;="&amp;AO$77,[1]!Resources[Retirement Date],"&gt;="&amp;AO$77,[1]!Resources[Unique Key],$AI121,[1]!Resources[Availability '#],"&gt;="&amp;2)</f>
        <v>0</v>
      </c>
      <c r="AP121" s="6">
        <f>SUMIFS([1]!Resources[Summer Rating],[1]!Resources[COD],"&lt;="&amp;AP$77,[1]!Resources[Retirement Date],"&gt;="&amp;AP$77,[1]!Resources[Unique Key],$AI121,[1]!Resources[Availability '#],"&gt;="&amp;2)</f>
        <v>0</v>
      </c>
      <c r="AQ121" s="6">
        <f>SUMIFS([1]!Resources[Summer Rating],[1]!Resources[COD],"&lt;="&amp;AQ$77,[1]!Resources[Retirement Date],"&gt;="&amp;AQ$77,[1]!Resources[Unique Key],$AI121,[1]!Resources[Availability '#],"&gt;="&amp;2)</f>
        <v>0</v>
      </c>
      <c r="AR121" s="6">
        <f>SUMIFS([1]!Resources[Summer Rating],[1]!Resources[COD],"&lt;="&amp;AR$77,[1]!Resources[Retirement Date],"&gt;="&amp;AR$77,[1]!Resources[Unique Key],$AI121,[1]!Resources[Availability '#],"&gt;="&amp;2)</f>
        <v>0</v>
      </c>
      <c r="AS121" s="6">
        <f>SUMIFS([1]!Resources[Summer Rating],[1]!Resources[COD],"&lt;="&amp;AS$77,[1]!Resources[Retirement Date],"&gt;="&amp;AS$77,[1]!Resources[Unique Key],$AI121,[1]!Resources[Availability '#],"&gt;="&amp;2)</f>
        <v>0</v>
      </c>
      <c r="AT121" s="6">
        <f>SUMIFS([1]!Resources[Summer Rating],[1]!Resources[COD],"&lt;="&amp;AT$77,[1]!Resources[Retirement Date],"&gt;="&amp;AT$77,[1]!Resources[Unique Key],$AI121,[1]!Resources[Availability '#],"&gt;="&amp;2)</f>
        <v>0</v>
      </c>
      <c r="AU121" s="6">
        <f>SUMIFS([1]!Resources[Summer Rating],[1]!Resources[COD],"&lt;="&amp;AU$77,[1]!Resources[Retirement Date],"&gt;="&amp;AU$77,[1]!Resources[Unique Key],$AI121,[1]!Resources[Availability '#],"&gt;="&amp;2)</f>
        <v>0</v>
      </c>
      <c r="AV121" s="6">
        <f>SUMIFS([1]!Resources[Summer Rating],[1]!Resources[COD],"&lt;="&amp;AV$77,[1]!Resources[Retirement Date],"&gt;="&amp;AV$77,[1]!Resources[Unique Key],$AI121,[1]!Resources[Availability '#],"&gt;="&amp;2)</f>
        <v>0</v>
      </c>
      <c r="AW121" s="6">
        <f>SUMIFS([1]!Resources[Summer Rating],[1]!Resources[COD],"&lt;="&amp;AW$77,[1]!Resources[Retirement Date],"&gt;="&amp;AW$77,[1]!Resources[Unique Key],$AI121,[1]!Resources[Availability '#],"&gt;="&amp;2)</f>
        <v>0</v>
      </c>
      <c r="AX121" s="6">
        <f>SUMIFS([1]!Resources[Summer Rating],[1]!Resources[COD],"&lt;="&amp;AX$77,[1]!Resources[Retirement Date],"&gt;="&amp;AX$77,[1]!Resources[Unique Key],$AI121,[1]!Resources[Availability '#],"&gt;="&amp;2)</f>
        <v>0</v>
      </c>
      <c r="AY121" s="6">
        <f>SUMIFS([1]!Resources[Summer Rating],[1]!Resources[COD],"&lt;="&amp;AY$77,[1]!Resources[Retirement Date],"&gt;="&amp;AY$77,[1]!Resources[Unique Key],$AI121,[1]!Resources[Availability '#],"&gt;="&amp;2)</f>
        <v>0</v>
      </c>
      <c r="AZ121" s="6">
        <f>SUMIFS([1]!Resources[Summer Rating],[1]!Resources[COD],"&lt;="&amp;AZ$77,[1]!Resources[Retirement Date],"&gt;="&amp;AZ$77,[1]!Resources[Unique Key],$AI121,[1]!Resources[Availability '#],"&gt;="&amp;2)</f>
        <v>0</v>
      </c>
      <c r="BA121" s="6">
        <f>SUMIFS([1]!Resources[Summer Rating],[1]!Resources[COD],"&lt;="&amp;BA$77,[1]!Resources[Retirement Date],"&gt;="&amp;BA$77,[1]!Resources[Unique Key],$AI121,[1]!Resources[Availability '#],"&gt;="&amp;2)</f>
        <v>0</v>
      </c>
      <c r="BB121" s="6">
        <f>SUMIFS([1]!Resources[Summer Rating],[1]!Resources[COD],"&lt;="&amp;BB$77,[1]!Resources[Retirement Date],"&gt;="&amp;BB$77,[1]!Resources[Unique Key],$AI121,[1]!Resources[Availability '#],"&gt;="&amp;2)</f>
        <v>0</v>
      </c>
      <c r="BC121" s="6">
        <f>SUMIFS([1]!Resources[Summer Rating],[1]!Resources[COD],"&lt;="&amp;BC$77,[1]!Resources[Retirement Date],"&gt;="&amp;BC$77,[1]!Resources[Unique Key],$AI121,[1]!Resources[Availability '#],"&gt;="&amp;2)</f>
        <v>0</v>
      </c>
      <c r="BD121" s="6">
        <f>SUMIFS([1]!Resources[Summer Rating],[1]!Resources[COD],"&lt;="&amp;BD$77,[1]!Resources[Retirement Date],"&gt;="&amp;BD$77,[1]!Resources[Unique Key],$AI121,[1]!Resources[Availability '#],"&gt;="&amp;2)</f>
        <v>0</v>
      </c>
      <c r="BE121" s="6">
        <f>SUMIFS([1]!Resources[Summer Rating],[1]!Resources[COD],"&lt;="&amp;BE$77,[1]!Resources[Retirement Date],"&gt;="&amp;BE$77,[1]!Resources[Unique Key],$AI121,[1]!Resources[Availability '#],"&gt;="&amp;2)</f>
        <v>0</v>
      </c>
      <c r="BF121" s="6">
        <f>SUMIFS([1]!Resources[Summer Rating],[1]!Resources[COD],"&lt;="&amp;BF$77,[1]!Resources[Retirement Date],"&gt;="&amp;BF$77,[1]!Resources[Unique Key],$AI121,[1]!Resources[Availability '#],"&gt;="&amp;2)</f>
        <v>0</v>
      </c>
      <c r="BG121" s="6">
        <f>SUMIFS([1]!Resources[Summer Rating],[1]!Resources[COD],"&lt;="&amp;BG$77,[1]!Resources[Retirement Date],"&gt;="&amp;BG$77,[1]!Resources[Unique Key],$AI121,[1]!Resources[Availability '#],"&gt;="&amp;2)</f>
        <v>0</v>
      </c>
      <c r="BH121" s="6">
        <f>SUMIFS([1]!Resources[Summer Rating],[1]!Resources[COD],"&lt;="&amp;BH$77,[1]!Resources[Retirement Date],"&gt;="&amp;BH$77,[1]!Resources[Unique Key],$AI121,[1]!Resources[Availability '#],"&gt;="&amp;2)</f>
        <v>0</v>
      </c>
      <c r="BI121" s="6">
        <f>SUMIFS([1]!Resources[Summer Rating],[1]!Resources[COD],"&lt;="&amp;BI$77,[1]!Resources[Retirement Date],"&gt;="&amp;BI$77,[1]!Resources[Unique Key],$AI121,[1]!Resources[Availability '#],"&gt;="&amp;2)</f>
        <v>0</v>
      </c>
      <c r="BK121" s="5" t="s">
        <v>87</v>
      </c>
      <c r="BL121" s="20">
        <v>0</v>
      </c>
      <c r="BM121" s="20">
        <v>0</v>
      </c>
      <c r="BN121" s="20">
        <v>0</v>
      </c>
      <c r="BO121" s="20">
        <v>0</v>
      </c>
      <c r="BP121" s="20">
        <v>0</v>
      </c>
      <c r="BQ121" s="20">
        <v>0</v>
      </c>
      <c r="BR121" s="20">
        <v>0</v>
      </c>
      <c r="BS121" s="20">
        <v>0</v>
      </c>
      <c r="BT121" s="20">
        <v>0</v>
      </c>
      <c r="BU121" s="20">
        <v>0</v>
      </c>
      <c r="BV121" s="20">
        <v>0</v>
      </c>
      <c r="BW121" s="20">
        <v>0</v>
      </c>
      <c r="BX121" s="20">
        <v>0</v>
      </c>
      <c r="BY121" s="20">
        <v>0</v>
      </c>
      <c r="BZ121" s="20">
        <v>0</v>
      </c>
      <c r="CA121" s="20">
        <v>0</v>
      </c>
      <c r="CB121" s="20">
        <v>0</v>
      </c>
      <c r="CC121" s="20">
        <v>0</v>
      </c>
      <c r="CD121" s="20">
        <v>0</v>
      </c>
      <c r="CE121" s="20">
        <v>0</v>
      </c>
      <c r="CF121" s="20">
        <v>0</v>
      </c>
      <c r="CG121" s="20">
        <v>0</v>
      </c>
      <c r="CH121" s="20">
        <v>0</v>
      </c>
      <c r="CI121" s="20">
        <v>0</v>
      </c>
      <c r="CJ121" s="20">
        <v>0</v>
      </c>
      <c r="CK121" s="20">
        <v>0</v>
      </c>
      <c r="CM121" s="5" t="s">
        <v>87</v>
      </c>
      <c r="CN121" s="21">
        <v>0</v>
      </c>
      <c r="CO121" s="22">
        <v>0</v>
      </c>
      <c r="CP121" s="22">
        <v>0</v>
      </c>
      <c r="CQ121" s="22">
        <v>0</v>
      </c>
      <c r="CR121" s="22">
        <v>0</v>
      </c>
      <c r="CS121" s="22">
        <v>0</v>
      </c>
      <c r="CT121" s="22">
        <v>0</v>
      </c>
      <c r="CU121" s="22">
        <v>0</v>
      </c>
      <c r="CV121" s="22">
        <v>0</v>
      </c>
      <c r="CW121" s="22">
        <v>0</v>
      </c>
      <c r="CX121" s="22">
        <v>0</v>
      </c>
      <c r="CY121" s="22">
        <v>0</v>
      </c>
      <c r="CZ121" s="22">
        <v>0</v>
      </c>
      <c r="DA121" s="22">
        <v>0</v>
      </c>
      <c r="DB121" s="22">
        <v>0</v>
      </c>
      <c r="DC121" s="22">
        <v>0</v>
      </c>
      <c r="DD121" s="22">
        <v>0</v>
      </c>
      <c r="DE121" s="22">
        <v>0</v>
      </c>
      <c r="DF121" s="22">
        <v>0</v>
      </c>
      <c r="DG121" s="22">
        <v>0</v>
      </c>
      <c r="DH121" s="22">
        <v>0</v>
      </c>
      <c r="DI121" s="22">
        <v>0</v>
      </c>
      <c r="DJ121" s="22">
        <v>0</v>
      </c>
      <c r="DK121" s="22">
        <v>0</v>
      </c>
      <c r="DL121" s="22">
        <v>0</v>
      </c>
      <c r="DM121" s="22">
        <v>0</v>
      </c>
      <c r="DO121" s="5" t="s">
        <v>87</v>
      </c>
      <c r="DP121" s="23">
        <v>0</v>
      </c>
      <c r="DQ121" s="23">
        <v>0</v>
      </c>
      <c r="DR121" s="23">
        <v>0</v>
      </c>
      <c r="DS121" s="23">
        <v>0</v>
      </c>
      <c r="DT121" s="23">
        <v>0</v>
      </c>
      <c r="DU121" s="23">
        <v>0</v>
      </c>
      <c r="DV121" s="23">
        <v>0</v>
      </c>
      <c r="DW121" s="23">
        <v>0</v>
      </c>
      <c r="DX121" s="23">
        <v>0</v>
      </c>
      <c r="DY121" s="23">
        <v>0</v>
      </c>
      <c r="DZ121" s="23">
        <v>0</v>
      </c>
      <c r="EA121" s="23">
        <v>0</v>
      </c>
      <c r="EB121" s="23">
        <v>0</v>
      </c>
      <c r="EC121" s="23">
        <v>0</v>
      </c>
      <c r="ED121" s="23">
        <v>0</v>
      </c>
      <c r="EE121" s="23">
        <v>0</v>
      </c>
      <c r="EF121" s="23">
        <v>0</v>
      </c>
      <c r="EG121" s="23">
        <v>0</v>
      </c>
      <c r="EH121" s="23">
        <v>0</v>
      </c>
      <c r="EI121" s="23">
        <v>0</v>
      </c>
      <c r="EJ121" s="23">
        <v>0</v>
      </c>
      <c r="EK121" s="23">
        <v>0</v>
      </c>
      <c r="EL121" s="23">
        <v>0</v>
      </c>
      <c r="EM121" s="23">
        <v>0</v>
      </c>
      <c r="EN121" s="23">
        <v>0</v>
      </c>
      <c r="EO121" s="23">
        <v>0</v>
      </c>
      <c r="EP121" s="24">
        <f>IFERROR(INDEX('[1]GenX Resources'!$AP$10:$AP$46,MATCH(DO121,'[1]GenX Resources'!$B$10:$B$46,0)),0)</f>
        <v>0</v>
      </c>
      <c r="EQ121" s="2" t="b">
        <f t="shared" si="35"/>
        <v>1</v>
      </c>
      <c r="ES121" s="25">
        <f>IFERROR(INDEX('[1]GenX Resources'!$AD:$AD,MATCH($G121,'[1]GenX Resources'!$B:$B,0)) - IF(OR(INDEX('[1]GenX Resources'!$L:$L,MATCH($G121,'[1]GenX Resources'!$B:$B,0)),ISNUMBER(SEARCH("New Generic",$G121))),0,INDEX('[1]GenX Resources'!$M:$M,MATCH($G121,'[1]GenX Resources'!$B:$B,0))),0)</f>
        <v>21001</v>
      </c>
      <c r="EU121" s="5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</row>
    <row r="122" spans="6:177" ht="16" x14ac:dyDescent="0.2">
      <c r="F122" s="19" t="str">
        <f>IFERROR(INDEX('[1]GenX Resources'!$A$10:$A$76,MATCH(G122,'[1]GenX Resources'!$B$10:$B$76,0)),"")</f>
        <v>Solar</v>
      </c>
      <c r="G122" s="5" t="s">
        <v>88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I122" s="5" t="s">
        <v>88</v>
      </c>
      <c r="AJ122" s="6">
        <f>SUMIFS([1]!Resources[Summer Rating],[1]!Resources[COD],"&lt;="&amp;AJ$77,[1]!Resources[Retirement Date],"&gt;="&amp;AJ$77,[1]!Resources[Unique Key],$AI122,[1]!Resources[Availability '#],"&gt;="&amp;2)</f>
        <v>0</v>
      </c>
      <c r="AK122" s="6">
        <f>SUMIFS([1]!Resources[Summer Rating],[1]!Resources[COD],"&lt;="&amp;AK$77,[1]!Resources[Retirement Date],"&gt;="&amp;AK$77,[1]!Resources[Unique Key],$AI122,[1]!Resources[Availability '#],"&gt;="&amp;2)</f>
        <v>0</v>
      </c>
      <c r="AL122" s="6">
        <f>SUMIFS([1]!Resources[Summer Rating],[1]!Resources[COD],"&lt;="&amp;AL$77,[1]!Resources[Retirement Date],"&gt;="&amp;AL$77,[1]!Resources[Unique Key],$AI122,[1]!Resources[Availability '#],"&gt;="&amp;2)</f>
        <v>0</v>
      </c>
      <c r="AM122" s="6">
        <f>SUMIFS([1]!Resources[Summer Rating],[1]!Resources[COD],"&lt;="&amp;AM$77,[1]!Resources[Retirement Date],"&gt;="&amp;AM$77,[1]!Resources[Unique Key],$AI122,[1]!Resources[Availability '#],"&gt;="&amp;2)</f>
        <v>0</v>
      </c>
      <c r="AN122" s="6">
        <f>SUMIFS([1]!Resources[Summer Rating],[1]!Resources[COD],"&lt;="&amp;AN$77,[1]!Resources[Retirement Date],"&gt;="&amp;AN$77,[1]!Resources[Unique Key],$AI122,[1]!Resources[Availability '#],"&gt;="&amp;2)</f>
        <v>0</v>
      </c>
      <c r="AO122" s="6">
        <f>SUMIFS([1]!Resources[Summer Rating],[1]!Resources[COD],"&lt;="&amp;AO$77,[1]!Resources[Retirement Date],"&gt;="&amp;AO$77,[1]!Resources[Unique Key],$AI122,[1]!Resources[Availability '#],"&gt;="&amp;2)</f>
        <v>0</v>
      </c>
      <c r="AP122" s="6">
        <f>SUMIFS([1]!Resources[Summer Rating],[1]!Resources[COD],"&lt;="&amp;AP$77,[1]!Resources[Retirement Date],"&gt;="&amp;AP$77,[1]!Resources[Unique Key],$AI122,[1]!Resources[Availability '#],"&gt;="&amp;2)</f>
        <v>0</v>
      </c>
      <c r="AQ122" s="6">
        <f>SUMIFS([1]!Resources[Summer Rating],[1]!Resources[COD],"&lt;="&amp;AQ$77,[1]!Resources[Retirement Date],"&gt;="&amp;AQ$77,[1]!Resources[Unique Key],$AI122,[1]!Resources[Availability '#],"&gt;="&amp;2)</f>
        <v>0</v>
      </c>
      <c r="AR122" s="6">
        <f>SUMIFS([1]!Resources[Summer Rating],[1]!Resources[COD],"&lt;="&amp;AR$77,[1]!Resources[Retirement Date],"&gt;="&amp;AR$77,[1]!Resources[Unique Key],$AI122,[1]!Resources[Availability '#],"&gt;="&amp;2)</f>
        <v>0</v>
      </c>
      <c r="AS122" s="6">
        <f>SUMIFS([1]!Resources[Summer Rating],[1]!Resources[COD],"&lt;="&amp;AS$77,[1]!Resources[Retirement Date],"&gt;="&amp;AS$77,[1]!Resources[Unique Key],$AI122,[1]!Resources[Availability '#],"&gt;="&amp;2)</f>
        <v>0</v>
      </c>
      <c r="AT122" s="6">
        <f>SUMIFS([1]!Resources[Summer Rating],[1]!Resources[COD],"&lt;="&amp;AT$77,[1]!Resources[Retirement Date],"&gt;="&amp;AT$77,[1]!Resources[Unique Key],$AI122,[1]!Resources[Availability '#],"&gt;="&amp;2)</f>
        <v>0</v>
      </c>
      <c r="AU122" s="6">
        <f>SUMIFS([1]!Resources[Summer Rating],[1]!Resources[COD],"&lt;="&amp;AU$77,[1]!Resources[Retirement Date],"&gt;="&amp;AU$77,[1]!Resources[Unique Key],$AI122,[1]!Resources[Availability '#],"&gt;="&amp;2)</f>
        <v>0</v>
      </c>
      <c r="AV122" s="6">
        <f>SUMIFS([1]!Resources[Summer Rating],[1]!Resources[COD],"&lt;="&amp;AV$77,[1]!Resources[Retirement Date],"&gt;="&amp;AV$77,[1]!Resources[Unique Key],$AI122,[1]!Resources[Availability '#],"&gt;="&amp;2)</f>
        <v>0</v>
      </c>
      <c r="AW122" s="6">
        <f>SUMIFS([1]!Resources[Summer Rating],[1]!Resources[COD],"&lt;="&amp;AW$77,[1]!Resources[Retirement Date],"&gt;="&amp;AW$77,[1]!Resources[Unique Key],$AI122,[1]!Resources[Availability '#],"&gt;="&amp;2)</f>
        <v>0</v>
      </c>
      <c r="AX122" s="6">
        <f>SUMIFS([1]!Resources[Summer Rating],[1]!Resources[COD],"&lt;="&amp;AX$77,[1]!Resources[Retirement Date],"&gt;="&amp;AX$77,[1]!Resources[Unique Key],$AI122,[1]!Resources[Availability '#],"&gt;="&amp;2)</f>
        <v>0</v>
      </c>
      <c r="AY122" s="6">
        <f>SUMIFS([1]!Resources[Summer Rating],[1]!Resources[COD],"&lt;="&amp;AY$77,[1]!Resources[Retirement Date],"&gt;="&amp;AY$77,[1]!Resources[Unique Key],$AI122,[1]!Resources[Availability '#],"&gt;="&amp;2)</f>
        <v>0</v>
      </c>
      <c r="AZ122" s="6">
        <f>SUMIFS([1]!Resources[Summer Rating],[1]!Resources[COD],"&lt;="&amp;AZ$77,[1]!Resources[Retirement Date],"&gt;="&amp;AZ$77,[1]!Resources[Unique Key],$AI122,[1]!Resources[Availability '#],"&gt;="&amp;2)</f>
        <v>0</v>
      </c>
      <c r="BA122" s="6">
        <f>SUMIFS([1]!Resources[Summer Rating],[1]!Resources[COD],"&lt;="&amp;BA$77,[1]!Resources[Retirement Date],"&gt;="&amp;BA$77,[1]!Resources[Unique Key],$AI122,[1]!Resources[Availability '#],"&gt;="&amp;2)</f>
        <v>0</v>
      </c>
      <c r="BB122" s="6">
        <f>SUMIFS([1]!Resources[Summer Rating],[1]!Resources[COD],"&lt;="&amp;BB$77,[1]!Resources[Retirement Date],"&gt;="&amp;BB$77,[1]!Resources[Unique Key],$AI122,[1]!Resources[Availability '#],"&gt;="&amp;2)</f>
        <v>0</v>
      </c>
      <c r="BC122" s="6">
        <f>SUMIFS([1]!Resources[Summer Rating],[1]!Resources[COD],"&lt;="&amp;BC$77,[1]!Resources[Retirement Date],"&gt;="&amp;BC$77,[1]!Resources[Unique Key],$AI122,[1]!Resources[Availability '#],"&gt;="&amp;2)</f>
        <v>0</v>
      </c>
      <c r="BD122" s="6">
        <f>SUMIFS([1]!Resources[Summer Rating],[1]!Resources[COD],"&lt;="&amp;BD$77,[1]!Resources[Retirement Date],"&gt;="&amp;BD$77,[1]!Resources[Unique Key],$AI122,[1]!Resources[Availability '#],"&gt;="&amp;2)</f>
        <v>0</v>
      </c>
      <c r="BE122" s="6">
        <f>SUMIFS([1]!Resources[Summer Rating],[1]!Resources[COD],"&lt;="&amp;BE$77,[1]!Resources[Retirement Date],"&gt;="&amp;BE$77,[1]!Resources[Unique Key],$AI122,[1]!Resources[Availability '#],"&gt;="&amp;2)</f>
        <v>0</v>
      </c>
      <c r="BF122" s="6">
        <f>SUMIFS([1]!Resources[Summer Rating],[1]!Resources[COD],"&lt;="&amp;BF$77,[1]!Resources[Retirement Date],"&gt;="&amp;BF$77,[1]!Resources[Unique Key],$AI122,[1]!Resources[Availability '#],"&gt;="&amp;2)</f>
        <v>0</v>
      </c>
      <c r="BG122" s="6">
        <f>SUMIFS([1]!Resources[Summer Rating],[1]!Resources[COD],"&lt;="&amp;BG$77,[1]!Resources[Retirement Date],"&gt;="&amp;BG$77,[1]!Resources[Unique Key],$AI122,[1]!Resources[Availability '#],"&gt;="&amp;2)</f>
        <v>0</v>
      </c>
      <c r="BH122" s="6">
        <f>SUMIFS([1]!Resources[Summer Rating],[1]!Resources[COD],"&lt;="&amp;BH$77,[1]!Resources[Retirement Date],"&gt;="&amp;BH$77,[1]!Resources[Unique Key],$AI122,[1]!Resources[Availability '#],"&gt;="&amp;2)</f>
        <v>0</v>
      </c>
      <c r="BI122" s="6">
        <f>SUMIFS([1]!Resources[Summer Rating],[1]!Resources[COD],"&lt;="&amp;BI$77,[1]!Resources[Retirement Date],"&gt;="&amp;BI$77,[1]!Resources[Unique Key],$AI122,[1]!Resources[Availability '#],"&gt;="&amp;2)</f>
        <v>0</v>
      </c>
      <c r="BK122" s="5" t="s">
        <v>88</v>
      </c>
      <c r="BL122" s="20">
        <v>0</v>
      </c>
      <c r="BM122" s="20">
        <v>0</v>
      </c>
      <c r="BN122" s="20">
        <v>0</v>
      </c>
      <c r="BO122" s="20">
        <v>0</v>
      </c>
      <c r="BP122" s="20">
        <v>0</v>
      </c>
      <c r="BQ122" s="20">
        <v>0</v>
      </c>
      <c r="BR122" s="20">
        <v>0</v>
      </c>
      <c r="BS122" s="20">
        <v>0</v>
      </c>
      <c r="BT122" s="20">
        <v>0</v>
      </c>
      <c r="BU122" s="20">
        <v>0</v>
      </c>
      <c r="BV122" s="20">
        <v>0</v>
      </c>
      <c r="BW122" s="20">
        <v>0</v>
      </c>
      <c r="BX122" s="20">
        <v>0</v>
      </c>
      <c r="BY122" s="20">
        <v>0</v>
      </c>
      <c r="BZ122" s="20">
        <v>0</v>
      </c>
      <c r="CA122" s="20">
        <v>0</v>
      </c>
      <c r="CB122" s="20">
        <v>0</v>
      </c>
      <c r="CC122" s="20">
        <v>0</v>
      </c>
      <c r="CD122" s="20">
        <v>0</v>
      </c>
      <c r="CE122" s="20">
        <v>0</v>
      </c>
      <c r="CF122" s="20">
        <v>0</v>
      </c>
      <c r="CG122" s="20">
        <v>0</v>
      </c>
      <c r="CH122" s="20">
        <v>0</v>
      </c>
      <c r="CI122" s="20">
        <v>0</v>
      </c>
      <c r="CJ122" s="20">
        <v>0</v>
      </c>
      <c r="CK122" s="20">
        <v>0</v>
      </c>
      <c r="CM122" s="5" t="s">
        <v>88</v>
      </c>
      <c r="CN122" s="21">
        <v>0</v>
      </c>
      <c r="CO122" s="22">
        <v>0</v>
      </c>
      <c r="CP122" s="22">
        <v>0</v>
      </c>
      <c r="CQ122" s="22">
        <v>0</v>
      </c>
      <c r="CR122" s="22">
        <v>0</v>
      </c>
      <c r="CS122" s="22">
        <v>0</v>
      </c>
      <c r="CT122" s="22">
        <v>0</v>
      </c>
      <c r="CU122" s="22">
        <v>0</v>
      </c>
      <c r="CV122" s="22">
        <v>0</v>
      </c>
      <c r="CW122" s="22">
        <v>0</v>
      </c>
      <c r="CX122" s="22">
        <v>0</v>
      </c>
      <c r="CY122" s="22">
        <v>0</v>
      </c>
      <c r="CZ122" s="22">
        <v>0</v>
      </c>
      <c r="DA122" s="22">
        <v>0</v>
      </c>
      <c r="DB122" s="22">
        <v>0</v>
      </c>
      <c r="DC122" s="22">
        <v>0</v>
      </c>
      <c r="DD122" s="22">
        <v>0</v>
      </c>
      <c r="DE122" s="22">
        <v>0</v>
      </c>
      <c r="DF122" s="22">
        <v>0</v>
      </c>
      <c r="DG122" s="22">
        <v>0</v>
      </c>
      <c r="DH122" s="22">
        <v>0</v>
      </c>
      <c r="DI122" s="22">
        <v>0</v>
      </c>
      <c r="DJ122" s="22">
        <v>0</v>
      </c>
      <c r="DK122" s="22">
        <v>0</v>
      </c>
      <c r="DL122" s="22">
        <v>0</v>
      </c>
      <c r="DM122" s="22">
        <v>0</v>
      </c>
      <c r="DO122" s="5" t="s">
        <v>88</v>
      </c>
      <c r="DP122" s="23">
        <v>0</v>
      </c>
      <c r="DQ122" s="23">
        <v>0</v>
      </c>
      <c r="DR122" s="23">
        <v>0</v>
      </c>
      <c r="DS122" s="23">
        <v>0</v>
      </c>
      <c r="DT122" s="23">
        <v>0</v>
      </c>
      <c r="DU122" s="23">
        <v>0</v>
      </c>
      <c r="DV122" s="23">
        <v>0</v>
      </c>
      <c r="DW122" s="23">
        <v>0</v>
      </c>
      <c r="DX122" s="23">
        <v>0</v>
      </c>
      <c r="DY122" s="23">
        <v>0</v>
      </c>
      <c r="DZ122" s="23">
        <v>0</v>
      </c>
      <c r="EA122" s="23">
        <v>0</v>
      </c>
      <c r="EB122" s="23">
        <v>0</v>
      </c>
      <c r="EC122" s="23">
        <v>0</v>
      </c>
      <c r="ED122" s="23">
        <v>0</v>
      </c>
      <c r="EE122" s="23">
        <v>0</v>
      </c>
      <c r="EF122" s="23">
        <v>0</v>
      </c>
      <c r="EG122" s="23">
        <v>0</v>
      </c>
      <c r="EH122" s="23">
        <v>0</v>
      </c>
      <c r="EI122" s="23">
        <v>0</v>
      </c>
      <c r="EJ122" s="23">
        <v>0</v>
      </c>
      <c r="EK122" s="23">
        <v>0</v>
      </c>
      <c r="EL122" s="23">
        <v>0</v>
      </c>
      <c r="EM122" s="23">
        <v>0</v>
      </c>
      <c r="EN122" s="23">
        <v>0</v>
      </c>
      <c r="EO122" s="23">
        <v>0</v>
      </c>
      <c r="EP122" s="24">
        <f>IFERROR(INDEX('[1]GenX Resources'!$AP$10:$AP$46,MATCH(DO122,'[1]GenX Resources'!$B$10:$B$46,0)),0)</f>
        <v>0</v>
      </c>
      <c r="EQ122" s="2" t="b">
        <f t="shared" si="35"/>
        <v>1</v>
      </c>
      <c r="ES122" s="25">
        <f>IFERROR(INDEX('[1]GenX Resources'!$AD:$AD,MATCH($G122,'[1]GenX Resources'!$B:$B,0)) - IF(OR(INDEX('[1]GenX Resources'!$L:$L,MATCH($G122,'[1]GenX Resources'!$B:$B,0)),ISNUMBER(SEARCH("New Generic",$G122))),0,INDEX('[1]GenX Resources'!$M:$M,MATCH($G122,'[1]GenX Resources'!$B:$B,0))),0)</f>
        <v>21001</v>
      </c>
      <c r="EU122" s="5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</row>
    <row r="123" spans="6:177" ht="16" x14ac:dyDescent="0.2">
      <c r="F123" s="19" t="str">
        <f>IFERROR(INDEX('[1]GenX Resources'!$A$10:$A$76,MATCH(G123,'[1]GenX Resources'!$B$10:$B$76,0)),"")</f>
        <v>Solar</v>
      </c>
      <c r="G123" s="5" t="s">
        <v>89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I123" s="5" t="s">
        <v>89</v>
      </c>
      <c r="AJ123" s="6">
        <f>SUMIFS([1]!Resources[Summer Rating],[1]!Resources[COD],"&lt;="&amp;AJ$77,[1]!Resources[Retirement Date],"&gt;="&amp;AJ$77,[1]!Resources[Unique Key],$AI123,[1]!Resources[Availability '#],"&gt;="&amp;2)</f>
        <v>0</v>
      </c>
      <c r="AK123" s="6">
        <f>SUMIFS([1]!Resources[Summer Rating],[1]!Resources[COD],"&lt;="&amp;AK$77,[1]!Resources[Retirement Date],"&gt;="&amp;AK$77,[1]!Resources[Unique Key],$AI123,[1]!Resources[Availability '#],"&gt;="&amp;2)</f>
        <v>0</v>
      </c>
      <c r="AL123" s="6">
        <f>SUMIFS([1]!Resources[Summer Rating],[1]!Resources[COD],"&lt;="&amp;AL$77,[1]!Resources[Retirement Date],"&gt;="&amp;AL$77,[1]!Resources[Unique Key],$AI123,[1]!Resources[Availability '#],"&gt;="&amp;2)</f>
        <v>0</v>
      </c>
      <c r="AM123" s="6">
        <f>SUMIFS([1]!Resources[Summer Rating],[1]!Resources[COD],"&lt;="&amp;AM$77,[1]!Resources[Retirement Date],"&gt;="&amp;AM$77,[1]!Resources[Unique Key],$AI123,[1]!Resources[Availability '#],"&gt;="&amp;2)</f>
        <v>0</v>
      </c>
      <c r="AN123" s="6">
        <f>SUMIFS([1]!Resources[Summer Rating],[1]!Resources[COD],"&lt;="&amp;AN$77,[1]!Resources[Retirement Date],"&gt;="&amp;AN$77,[1]!Resources[Unique Key],$AI123,[1]!Resources[Availability '#],"&gt;="&amp;2)</f>
        <v>0</v>
      </c>
      <c r="AO123" s="6">
        <f>SUMIFS([1]!Resources[Summer Rating],[1]!Resources[COD],"&lt;="&amp;AO$77,[1]!Resources[Retirement Date],"&gt;="&amp;AO$77,[1]!Resources[Unique Key],$AI123,[1]!Resources[Availability '#],"&gt;="&amp;2)</f>
        <v>0</v>
      </c>
      <c r="AP123" s="6">
        <f>SUMIFS([1]!Resources[Summer Rating],[1]!Resources[COD],"&lt;="&amp;AP$77,[1]!Resources[Retirement Date],"&gt;="&amp;AP$77,[1]!Resources[Unique Key],$AI123,[1]!Resources[Availability '#],"&gt;="&amp;2)</f>
        <v>0</v>
      </c>
      <c r="AQ123" s="6">
        <f>SUMIFS([1]!Resources[Summer Rating],[1]!Resources[COD],"&lt;="&amp;AQ$77,[1]!Resources[Retirement Date],"&gt;="&amp;AQ$77,[1]!Resources[Unique Key],$AI123,[1]!Resources[Availability '#],"&gt;="&amp;2)</f>
        <v>0</v>
      </c>
      <c r="AR123" s="6">
        <f>SUMIFS([1]!Resources[Summer Rating],[1]!Resources[COD],"&lt;="&amp;AR$77,[1]!Resources[Retirement Date],"&gt;="&amp;AR$77,[1]!Resources[Unique Key],$AI123,[1]!Resources[Availability '#],"&gt;="&amp;2)</f>
        <v>0</v>
      </c>
      <c r="AS123" s="6">
        <f>SUMIFS([1]!Resources[Summer Rating],[1]!Resources[COD],"&lt;="&amp;AS$77,[1]!Resources[Retirement Date],"&gt;="&amp;AS$77,[1]!Resources[Unique Key],$AI123,[1]!Resources[Availability '#],"&gt;="&amp;2)</f>
        <v>0</v>
      </c>
      <c r="AT123" s="6">
        <f>SUMIFS([1]!Resources[Summer Rating],[1]!Resources[COD],"&lt;="&amp;AT$77,[1]!Resources[Retirement Date],"&gt;="&amp;AT$77,[1]!Resources[Unique Key],$AI123,[1]!Resources[Availability '#],"&gt;="&amp;2)</f>
        <v>0</v>
      </c>
      <c r="AU123" s="6">
        <f>SUMIFS([1]!Resources[Summer Rating],[1]!Resources[COD],"&lt;="&amp;AU$77,[1]!Resources[Retirement Date],"&gt;="&amp;AU$77,[1]!Resources[Unique Key],$AI123,[1]!Resources[Availability '#],"&gt;="&amp;2)</f>
        <v>0</v>
      </c>
      <c r="AV123" s="6">
        <f>SUMIFS([1]!Resources[Summer Rating],[1]!Resources[COD],"&lt;="&amp;AV$77,[1]!Resources[Retirement Date],"&gt;="&amp;AV$77,[1]!Resources[Unique Key],$AI123,[1]!Resources[Availability '#],"&gt;="&amp;2)</f>
        <v>0</v>
      </c>
      <c r="AW123" s="6">
        <f>SUMIFS([1]!Resources[Summer Rating],[1]!Resources[COD],"&lt;="&amp;AW$77,[1]!Resources[Retirement Date],"&gt;="&amp;AW$77,[1]!Resources[Unique Key],$AI123,[1]!Resources[Availability '#],"&gt;="&amp;2)</f>
        <v>0</v>
      </c>
      <c r="AX123" s="6">
        <f>SUMIFS([1]!Resources[Summer Rating],[1]!Resources[COD],"&lt;="&amp;AX$77,[1]!Resources[Retirement Date],"&gt;="&amp;AX$77,[1]!Resources[Unique Key],$AI123,[1]!Resources[Availability '#],"&gt;="&amp;2)</f>
        <v>0</v>
      </c>
      <c r="AY123" s="6">
        <f>SUMIFS([1]!Resources[Summer Rating],[1]!Resources[COD],"&lt;="&amp;AY$77,[1]!Resources[Retirement Date],"&gt;="&amp;AY$77,[1]!Resources[Unique Key],$AI123,[1]!Resources[Availability '#],"&gt;="&amp;2)</f>
        <v>0</v>
      </c>
      <c r="AZ123" s="6">
        <f>SUMIFS([1]!Resources[Summer Rating],[1]!Resources[COD],"&lt;="&amp;AZ$77,[1]!Resources[Retirement Date],"&gt;="&amp;AZ$77,[1]!Resources[Unique Key],$AI123,[1]!Resources[Availability '#],"&gt;="&amp;2)</f>
        <v>0</v>
      </c>
      <c r="BA123" s="6">
        <f>SUMIFS([1]!Resources[Summer Rating],[1]!Resources[COD],"&lt;="&amp;BA$77,[1]!Resources[Retirement Date],"&gt;="&amp;BA$77,[1]!Resources[Unique Key],$AI123,[1]!Resources[Availability '#],"&gt;="&amp;2)</f>
        <v>0</v>
      </c>
      <c r="BB123" s="6">
        <f>SUMIFS([1]!Resources[Summer Rating],[1]!Resources[COD],"&lt;="&amp;BB$77,[1]!Resources[Retirement Date],"&gt;="&amp;BB$77,[1]!Resources[Unique Key],$AI123,[1]!Resources[Availability '#],"&gt;="&amp;2)</f>
        <v>0</v>
      </c>
      <c r="BC123" s="6">
        <f>SUMIFS([1]!Resources[Summer Rating],[1]!Resources[COD],"&lt;="&amp;BC$77,[1]!Resources[Retirement Date],"&gt;="&amp;BC$77,[1]!Resources[Unique Key],$AI123,[1]!Resources[Availability '#],"&gt;="&amp;2)</f>
        <v>0</v>
      </c>
      <c r="BD123" s="6">
        <f>SUMIFS([1]!Resources[Summer Rating],[1]!Resources[COD],"&lt;="&amp;BD$77,[1]!Resources[Retirement Date],"&gt;="&amp;BD$77,[1]!Resources[Unique Key],$AI123,[1]!Resources[Availability '#],"&gt;="&amp;2)</f>
        <v>0</v>
      </c>
      <c r="BE123" s="6">
        <f>SUMIFS([1]!Resources[Summer Rating],[1]!Resources[COD],"&lt;="&amp;BE$77,[1]!Resources[Retirement Date],"&gt;="&amp;BE$77,[1]!Resources[Unique Key],$AI123,[1]!Resources[Availability '#],"&gt;="&amp;2)</f>
        <v>0</v>
      </c>
      <c r="BF123" s="6">
        <f>SUMIFS([1]!Resources[Summer Rating],[1]!Resources[COD],"&lt;="&amp;BF$77,[1]!Resources[Retirement Date],"&gt;="&amp;BF$77,[1]!Resources[Unique Key],$AI123,[1]!Resources[Availability '#],"&gt;="&amp;2)</f>
        <v>0</v>
      </c>
      <c r="BG123" s="6">
        <f>SUMIFS([1]!Resources[Summer Rating],[1]!Resources[COD],"&lt;="&amp;BG$77,[1]!Resources[Retirement Date],"&gt;="&amp;BG$77,[1]!Resources[Unique Key],$AI123,[1]!Resources[Availability '#],"&gt;="&amp;2)</f>
        <v>0</v>
      </c>
      <c r="BH123" s="6">
        <f>SUMIFS([1]!Resources[Summer Rating],[1]!Resources[COD],"&lt;="&amp;BH$77,[1]!Resources[Retirement Date],"&gt;="&amp;BH$77,[1]!Resources[Unique Key],$AI123,[1]!Resources[Availability '#],"&gt;="&amp;2)</f>
        <v>0</v>
      </c>
      <c r="BI123" s="6">
        <f>SUMIFS([1]!Resources[Summer Rating],[1]!Resources[COD],"&lt;="&amp;BI$77,[1]!Resources[Retirement Date],"&gt;="&amp;BI$77,[1]!Resources[Unique Key],$AI123,[1]!Resources[Availability '#],"&gt;="&amp;2)</f>
        <v>0</v>
      </c>
      <c r="BK123" s="5" t="s">
        <v>89</v>
      </c>
      <c r="BL123" s="20">
        <v>0</v>
      </c>
      <c r="BM123" s="20">
        <v>0</v>
      </c>
      <c r="BN123" s="20">
        <v>0</v>
      </c>
      <c r="BO123" s="20">
        <v>0</v>
      </c>
      <c r="BP123" s="20">
        <v>0</v>
      </c>
      <c r="BQ123" s="20">
        <v>0</v>
      </c>
      <c r="BR123" s="20">
        <v>0</v>
      </c>
      <c r="BS123" s="20">
        <v>0</v>
      </c>
      <c r="BT123" s="20">
        <v>0</v>
      </c>
      <c r="BU123" s="20">
        <v>0</v>
      </c>
      <c r="BV123" s="20">
        <v>0</v>
      </c>
      <c r="BW123" s="20">
        <v>0</v>
      </c>
      <c r="BX123" s="20">
        <v>0</v>
      </c>
      <c r="BY123" s="20">
        <v>0</v>
      </c>
      <c r="BZ123" s="20">
        <v>0</v>
      </c>
      <c r="CA123" s="20">
        <v>0</v>
      </c>
      <c r="CB123" s="20">
        <v>0</v>
      </c>
      <c r="CC123" s="20">
        <v>0</v>
      </c>
      <c r="CD123" s="20">
        <v>0</v>
      </c>
      <c r="CE123" s="20">
        <v>0</v>
      </c>
      <c r="CF123" s="20">
        <v>0</v>
      </c>
      <c r="CG123" s="20">
        <v>0</v>
      </c>
      <c r="CH123" s="20">
        <v>0</v>
      </c>
      <c r="CI123" s="20">
        <v>0</v>
      </c>
      <c r="CJ123" s="20">
        <v>0</v>
      </c>
      <c r="CK123" s="20">
        <v>0</v>
      </c>
      <c r="CM123" s="5" t="s">
        <v>89</v>
      </c>
      <c r="CN123" s="21">
        <v>0</v>
      </c>
      <c r="CO123" s="22">
        <v>0</v>
      </c>
      <c r="CP123" s="22">
        <v>0</v>
      </c>
      <c r="CQ123" s="22">
        <v>0</v>
      </c>
      <c r="CR123" s="22">
        <v>0</v>
      </c>
      <c r="CS123" s="22">
        <v>0</v>
      </c>
      <c r="CT123" s="22">
        <v>0</v>
      </c>
      <c r="CU123" s="22">
        <v>0</v>
      </c>
      <c r="CV123" s="22">
        <v>0</v>
      </c>
      <c r="CW123" s="22">
        <v>0</v>
      </c>
      <c r="CX123" s="22">
        <v>0</v>
      </c>
      <c r="CY123" s="22">
        <v>0</v>
      </c>
      <c r="CZ123" s="22">
        <v>0</v>
      </c>
      <c r="DA123" s="22">
        <v>0</v>
      </c>
      <c r="DB123" s="22">
        <v>0</v>
      </c>
      <c r="DC123" s="22">
        <v>0</v>
      </c>
      <c r="DD123" s="22">
        <v>0</v>
      </c>
      <c r="DE123" s="22">
        <v>0</v>
      </c>
      <c r="DF123" s="22">
        <v>0</v>
      </c>
      <c r="DG123" s="22">
        <v>0</v>
      </c>
      <c r="DH123" s="22">
        <v>0</v>
      </c>
      <c r="DI123" s="22">
        <v>0</v>
      </c>
      <c r="DJ123" s="22">
        <v>0</v>
      </c>
      <c r="DK123" s="22">
        <v>0</v>
      </c>
      <c r="DL123" s="22">
        <v>0</v>
      </c>
      <c r="DM123" s="22">
        <v>0</v>
      </c>
      <c r="DO123" s="5" t="s">
        <v>89</v>
      </c>
      <c r="DP123" s="23">
        <v>0</v>
      </c>
      <c r="DQ123" s="23">
        <v>0</v>
      </c>
      <c r="DR123" s="23">
        <v>0</v>
      </c>
      <c r="DS123" s="23">
        <v>0</v>
      </c>
      <c r="DT123" s="23">
        <v>0</v>
      </c>
      <c r="DU123" s="23">
        <v>0</v>
      </c>
      <c r="DV123" s="23">
        <v>0</v>
      </c>
      <c r="DW123" s="23">
        <v>0</v>
      </c>
      <c r="DX123" s="23">
        <v>0</v>
      </c>
      <c r="DY123" s="23">
        <v>0</v>
      </c>
      <c r="DZ123" s="23">
        <v>0</v>
      </c>
      <c r="EA123" s="23">
        <v>0</v>
      </c>
      <c r="EB123" s="23">
        <v>0</v>
      </c>
      <c r="EC123" s="23">
        <v>0</v>
      </c>
      <c r="ED123" s="23">
        <v>0</v>
      </c>
      <c r="EE123" s="23">
        <v>0</v>
      </c>
      <c r="EF123" s="23">
        <v>0</v>
      </c>
      <c r="EG123" s="23">
        <v>0</v>
      </c>
      <c r="EH123" s="23">
        <v>0</v>
      </c>
      <c r="EI123" s="23">
        <v>0</v>
      </c>
      <c r="EJ123" s="23">
        <v>0</v>
      </c>
      <c r="EK123" s="23">
        <v>0</v>
      </c>
      <c r="EL123" s="23">
        <v>0</v>
      </c>
      <c r="EM123" s="23">
        <v>0</v>
      </c>
      <c r="EN123" s="23">
        <v>0</v>
      </c>
      <c r="EO123" s="23">
        <v>0</v>
      </c>
      <c r="EP123" s="24">
        <f>IFERROR(INDEX('[1]GenX Resources'!$AP$10:$AP$46,MATCH(DO123,'[1]GenX Resources'!$B$10:$B$46,0)),0)</f>
        <v>0</v>
      </c>
      <c r="EQ123" s="2" t="b">
        <f t="shared" si="35"/>
        <v>1</v>
      </c>
      <c r="ES123" s="25">
        <f>IFERROR(INDEX('[1]GenX Resources'!$AD:$AD,MATCH($G123,'[1]GenX Resources'!$B:$B,0)) - IF(OR(INDEX('[1]GenX Resources'!$L:$L,MATCH($G123,'[1]GenX Resources'!$B:$B,0)),ISNUMBER(SEARCH("New Generic",$G123))),0,INDEX('[1]GenX Resources'!$M:$M,MATCH($G123,'[1]GenX Resources'!$B:$B,0))),0)</f>
        <v>21001</v>
      </c>
      <c r="EU123" s="5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</row>
    <row r="124" spans="6:177" ht="16" x14ac:dyDescent="0.2">
      <c r="F124" s="19" t="str">
        <f>IFERROR(INDEX('[1]GenX Resources'!$A$10:$A$76,MATCH(G124,'[1]GenX Resources'!$B$10:$B$76,0)),"")</f>
        <v>Solar</v>
      </c>
      <c r="G124" s="5" t="s">
        <v>90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I124" s="5" t="s">
        <v>90</v>
      </c>
      <c r="AJ124" s="6">
        <f>SUMIFS([1]!Resources[Summer Rating],[1]!Resources[COD],"&lt;="&amp;AJ$77,[1]!Resources[Retirement Date],"&gt;="&amp;AJ$77,[1]!Resources[Unique Key],$AI124,[1]!Resources[Availability '#],"&gt;="&amp;2)</f>
        <v>0</v>
      </c>
      <c r="AK124" s="6">
        <f>SUMIFS([1]!Resources[Summer Rating],[1]!Resources[COD],"&lt;="&amp;AK$77,[1]!Resources[Retirement Date],"&gt;="&amp;AK$77,[1]!Resources[Unique Key],$AI124,[1]!Resources[Availability '#],"&gt;="&amp;2)</f>
        <v>0</v>
      </c>
      <c r="AL124" s="6">
        <f>SUMIFS([1]!Resources[Summer Rating],[1]!Resources[COD],"&lt;="&amp;AL$77,[1]!Resources[Retirement Date],"&gt;="&amp;AL$77,[1]!Resources[Unique Key],$AI124,[1]!Resources[Availability '#],"&gt;="&amp;2)</f>
        <v>0</v>
      </c>
      <c r="AM124" s="6">
        <f>SUMIFS([1]!Resources[Summer Rating],[1]!Resources[COD],"&lt;="&amp;AM$77,[1]!Resources[Retirement Date],"&gt;="&amp;AM$77,[1]!Resources[Unique Key],$AI124,[1]!Resources[Availability '#],"&gt;="&amp;2)</f>
        <v>0</v>
      </c>
      <c r="AN124" s="6">
        <f>SUMIFS([1]!Resources[Summer Rating],[1]!Resources[COD],"&lt;="&amp;AN$77,[1]!Resources[Retirement Date],"&gt;="&amp;AN$77,[1]!Resources[Unique Key],$AI124,[1]!Resources[Availability '#],"&gt;="&amp;2)</f>
        <v>0</v>
      </c>
      <c r="AO124" s="6">
        <f>SUMIFS([1]!Resources[Summer Rating],[1]!Resources[COD],"&lt;="&amp;AO$77,[1]!Resources[Retirement Date],"&gt;="&amp;AO$77,[1]!Resources[Unique Key],$AI124,[1]!Resources[Availability '#],"&gt;="&amp;2)</f>
        <v>0</v>
      </c>
      <c r="AP124" s="6">
        <f>SUMIFS([1]!Resources[Summer Rating],[1]!Resources[COD],"&lt;="&amp;AP$77,[1]!Resources[Retirement Date],"&gt;="&amp;AP$77,[1]!Resources[Unique Key],$AI124,[1]!Resources[Availability '#],"&gt;="&amp;2)</f>
        <v>0</v>
      </c>
      <c r="AQ124" s="6">
        <f>SUMIFS([1]!Resources[Summer Rating],[1]!Resources[COD],"&lt;="&amp;AQ$77,[1]!Resources[Retirement Date],"&gt;="&amp;AQ$77,[1]!Resources[Unique Key],$AI124,[1]!Resources[Availability '#],"&gt;="&amp;2)</f>
        <v>0</v>
      </c>
      <c r="AR124" s="6">
        <f>SUMIFS([1]!Resources[Summer Rating],[1]!Resources[COD],"&lt;="&amp;AR$77,[1]!Resources[Retirement Date],"&gt;="&amp;AR$77,[1]!Resources[Unique Key],$AI124,[1]!Resources[Availability '#],"&gt;="&amp;2)</f>
        <v>0</v>
      </c>
      <c r="AS124" s="6">
        <f>SUMIFS([1]!Resources[Summer Rating],[1]!Resources[COD],"&lt;="&amp;AS$77,[1]!Resources[Retirement Date],"&gt;="&amp;AS$77,[1]!Resources[Unique Key],$AI124,[1]!Resources[Availability '#],"&gt;="&amp;2)</f>
        <v>0</v>
      </c>
      <c r="AT124" s="6">
        <f>SUMIFS([1]!Resources[Summer Rating],[1]!Resources[COD],"&lt;="&amp;AT$77,[1]!Resources[Retirement Date],"&gt;="&amp;AT$77,[1]!Resources[Unique Key],$AI124,[1]!Resources[Availability '#],"&gt;="&amp;2)</f>
        <v>0</v>
      </c>
      <c r="AU124" s="6">
        <f>SUMIFS([1]!Resources[Summer Rating],[1]!Resources[COD],"&lt;="&amp;AU$77,[1]!Resources[Retirement Date],"&gt;="&amp;AU$77,[1]!Resources[Unique Key],$AI124,[1]!Resources[Availability '#],"&gt;="&amp;2)</f>
        <v>0</v>
      </c>
      <c r="AV124" s="6">
        <f>SUMIFS([1]!Resources[Summer Rating],[1]!Resources[COD],"&lt;="&amp;AV$77,[1]!Resources[Retirement Date],"&gt;="&amp;AV$77,[1]!Resources[Unique Key],$AI124,[1]!Resources[Availability '#],"&gt;="&amp;2)</f>
        <v>0</v>
      </c>
      <c r="AW124" s="6">
        <f>SUMIFS([1]!Resources[Summer Rating],[1]!Resources[COD],"&lt;="&amp;AW$77,[1]!Resources[Retirement Date],"&gt;="&amp;AW$77,[1]!Resources[Unique Key],$AI124,[1]!Resources[Availability '#],"&gt;="&amp;2)</f>
        <v>0</v>
      </c>
      <c r="AX124" s="6">
        <f>SUMIFS([1]!Resources[Summer Rating],[1]!Resources[COD],"&lt;="&amp;AX$77,[1]!Resources[Retirement Date],"&gt;="&amp;AX$77,[1]!Resources[Unique Key],$AI124,[1]!Resources[Availability '#],"&gt;="&amp;2)</f>
        <v>0</v>
      </c>
      <c r="AY124" s="6">
        <f>SUMIFS([1]!Resources[Summer Rating],[1]!Resources[COD],"&lt;="&amp;AY$77,[1]!Resources[Retirement Date],"&gt;="&amp;AY$77,[1]!Resources[Unique Key],$AI124,[1]!Resources[Availability '#],"&gt;="&amp;2)</f>
        <v>0</v>
      </c>
      <c r="AZ124" s="6">
        <f>SUMIFS([1]!Resources[Summer Rating],[1]!Resources[COD],"&lt;="&amp;AZ$77,[1]!Resources[Retirement Date],"&gt;="&amp;AZ$77,[1]!Resources[Unique Key],$AI124,[1]!Resources[Availability '#],"&gt;="&amp;2)</f>
        <v>0</v>
      </c>
      <c r="BA124" s="6">
        <f>SUMIFS([1]!Resources[Summer Rating],[1]!Resources[COD],"&lt;="&amp;BA$77,[1]!Resources[Retirement Date],"&gt;="&amp;BA$77,[1]!Resources[Unique Key],$AI124,[1]!Resources[Availability '#],"&gt;="&amp;2)</f>
        <v>0</v>
      </c>
      <c r="BB124" s="6">
        <f>SUMIFS([1]!Resources[Summer Rating],[1]!Resources[COD],"&lt;="&amp;BB$77,[1]!Resources[Retirement Date],"&gt;="&amp;BB$77,[1]!Resources[Unique Key],$AI124,[1]!Resources[Availability '#],"&gt;="&amp;2)</f>
        <v>0</v>
      </c>
      <c r="BC124" s="6">
        <f>SUMIFS([1]!Resources[Summer Rating],[1]!Resources[COD],"&lt;="&amp;BC$77,[1]!Resources[Retirement Date],"&gt;="&amp;BC$77,[1]!Resources[Unique Key],$AI124,[1]!Resources[Availability '#],"&gt;="&amp;2)</f>
        <v>0</v>
      </c>
      <c r="BD124" s="6">
        <f>SUMIFS([1]!Resources[Summer Rating],[1]!Resources[COD],"&lt;="&amp;BD$77,[1]!Resources[Retirement Date],"&gt;="&amp;BD$77,[1]!Resources[Unique Key],$AI124,[1]!Resources[Availability '#],"&gt;="&amp;2)</f>
        <v>0</v>
      </c>
      <c r="BE124" s="6">
        <f>SUMIFS([1]!Resources[Summer Rating],[1]!Resources[COD],"&lt;="&amp;BE$77,[1]!Resources[Retirement Date],"&gt;="&amp;BE$77,[1]!Resources[Unique Key],$AI124,[1]!Resources[Availability '#],"&gt;="&amp;2)</f>
        <v>0</v>
      </c>
      <c r="BF124" s="6">
        <f>SUMIFS([1]!Resources[Summer Rating],[1]!Resources[COD],"&lt;="&amp;BF$77,[1]!Resources[Retirement Date],"&gt;="&amp;BF$77,[1]!Resources[Unique Key],$AI124,[1]!Resources[Availability '#],"&gt;="&amp;2)</f>
        <v>0</v>
      </c>
      <c r="BG124" s="6">
        <f>SUMIFS([1]!Resources[Summer Rating],[1]!Resources[COD],"&lt;="&amp;BG$77,[1]!Resources[Retirement Date],"&gt;="&amp;BG$77,[1]!Resources[Unique Key],$AI124,[1]!Resources[Availability '#],"&gt;="&amp;2)</f>
        <v>0</v>
      </c>
      <c r="BH124" s="6">
        <f>SUMIFS([1]!Resources[Summer Rating],[1]!Resources[COD],"&lt;="&amp;BH$77,[1]!Resources[Retirement Date],"&gt;="&amp;BH$77,[1]!Resources[Unique Key],$AI124,[1]!Resources[Availability '#],"&gt;="&amp;2)</f>
        <v>0</v>
      </c>
      <c r="BI124" s="6">
        <f>SUMIFS([1]!Resources[Summer Rating],[1]!Resources[COD],"&lt;="&amp;BI$77,[1]!Resources[Retirement Date],"&gt;="&amp;BI$77,[1]!Resources[Unique Key],$AI124,[1]!Resources[Availability '#],"&gt;="&amp;2)</f>
        <v>0</v>
      </c>
      <c r="BK124" s="5" t="s">
        <v>90</v>
      </c>
      <c r="BL124" s="20">
        <v>0</v>
      </c>
      <c r="BM124" s="20">
        <v>0</v>
      </c>
      <c r="BN124" s="20">
        <v>0</v>
      </c>
      <c r="BO124" s="20">
        <v>0</v>
      </c>
      <c r="BP124" s="20">
        <v>0</v>
      </c>
      <c r="BQ124" s="20">
        <v>0</v>
      </c>
      <c r="BR124" s="20">
        <v>0</v>
      </c>
      <c r="BS124" s="20">
        <v>0</v>
      </c>
      <c r="BT124" s="20">
        <v>0</v>
      </c>
      <c r="BU124" s="20">
        <v>0</v>
      </c>
      <c r="BV124" s="20">
        <v>0</v>
      </c>
      <c r="BW124" s="20">
        <v>0</v>
      </c>
      <c r="BX124" s="20">
        <v>0</v>
      </c>
      <c r="BY124" s="20">
        <v>0</v>
      </c>
      <c r="BZ124" s="20">
        <v>0</v>
      </c>
      <c r="CA124" s="20">
        <v>0</v>
      </c>
      <c r="CB124" s="20">
        <v>0</v>
      </c>
      <c r="CC124" s="20">
        <v>0</v>
      </c>
      <c r="CD124" s="20">
        <v>0</v>
      </c>
      <c r="CE124" s="20">
        <v>0</v>
      </c>
      <c r="CF124" s="20">
        <v>0</v>
      </c>
      <c r="CG124" s="20">
        <v>0</v>
      </c>
      <c r="CH124" s="20">
        <v>0</v>
      </c>
      <c r="CI124" s="20">
        <v>0</v>
      </c>
      <c r="CJ124" s="20">
        <v>0</v>
      </c>
      <c r="CK124" s="20">
        <v>0</v>
      </c>
      <c r="CM124" s="5" t="s">
        <v>90</v>
      </c>
      <c r="CN124" s="21">
        <v>0</v>
      </c>
      <c r="CO124" s="22">
        <v>0</v>
      </c>
      <c r="CP124" s="22">
        <v>0</v>
      </c>
      <c r="CQ124" s="22">
        <v>0</v>
      </c>
      <c r="CR124" s="22">
        <v>0</v>
      </c>
      <c r="CS124" s="22">
        <v>0</v>
      </c>
      <c r="CT124" s="22">
        <v>0</v>
      </c>
      <c r="CU124" s="22">
        <v>0</v>
      </c>
      <c r="CV124" s="22">
        <v>0</v>
      </c>
      <c r="CW124" s="22">
        <v>0</v>
      </c>
      <c r="CX124" s="22">
        <v>0</v>
      </c>
      <c r="CY124" s="22">
        <v>0</v>
      </c>
      <c r="CZ124" s="22">
        <v>0</v>
      </c>
      <c r="DA124" s="22">
        <v>0</v>
      </c>
      <c r="DB124" s="22">
        <v>0</v>
      </c>
      <c r="DC124" s="22">
        <v>0</v>
      </c>
      <c r="DD124" s="22">
        <v>0</v>
      </c>
      <c r="DE124" s="22">
        <v>0</v>
      </c>
      <c r="DF124" s="22">
        <v>0</v>
      </c>
      <c r="DG124" s="22">
        <v>0</v>
      </c>
      <c r="DH124" s="22">
        <v>0</v>
      </c>
      <c r="DI124" s="22">
        <v>0</v>
      </c>
      <c r="DJ124" s="22">
        <v>0</v>
      </c>
      <c r="DK124" s="22">
        <v>0</v>
      </c>
      <c r="DL124" s="22">
        <v>0</v>
      </c>
      <c r="DM124" s="22">
        <v>0</v>
      </c>
      <c r="DO124" s="5" t="s">
        <v>90</v>
      </c>
      <c r="DP124" s="23">
        <v>0</v>
      </c>
      <c r="DQ124" s="23">
        <v>0</v>
      </c>
      <c r="DR124" s="23">
        <v>0</v>
      </c>
      <c r="DS124" s="23">
        <v>0</v>
      </c>
      <c r="DT124" s="23">
        <v>0</v>
      </c>
      <c r="DU124" s="23">
        <v>0</v>
      </c>
      <c r="DV124" s="23">
        <v>0</v>
      </c>
      <c r="DW124" s="23">
        <v>0</v>
      </c>
      <c r="DX124" s="23">
        <v>0</v>
      </c>
      <c r="DY124" s="23">
        <v>0</v>
      </c>
      <c r="DZ124" s="23">
        <v>0</v>
      </c>
      <c r="EA124" s="23">
        <v>0</v>
      </c>
      <c r="EB124" s="23">
        <v>0</v>
      </c>
      <c r="EC124" s="23">
        <v>0</v>
      </c>
      <c r="ED124" s="23">
        <v>0</v>
      </c>
      <c r="EE124" s="23">
        <v>0</v>
      </c>
      <c r="EF124" s="23">
        <v>0</v>
      </c>
      <c r="EG124" s="23">
        <v>0</v>
      </c>
      <c r="EH124" s="23">
        <v>0</v>
      </c>
      <c r="EI124" s="23">
        <v>0</v>
      </c>
      <c r="EJ124" s="23">
        <v>0</v>
      </c>
      <c r="EK124" s="23">
        <v>0</v>
      </c>
      <c r="EL124" s="23">
        <v>0</v>
      </c>
      <c r="EM124" s="23">
        <v>0</v>
      </c>
      <c r="EN124" s="23">
        <v>0</v>
      </c>
      <c r="EO124" s="23">
        <v>0</v>
      </c>
      <c r="EP124" s="24">
        <f>IFERROR(INDEX('[1]GenX Resources'!$AP$10:$AP$46,MATCH(DO124,'[1]GenX Resources'!$B$10:$B$46,0)),0)</f>
        <v>0</v>
      </c>
      <c r="EQ124" s="2" t="b">
        <f t="shared" si="35"/>
        <v>1</v>
      </c>
      <c r="ES124" s="25">
        <f>IFERROR(INDEX('[1]GenX Resources'!$AD:$AD,MATCH($G124,'[1]GenX Resources'!$B:$B,0)) - IF(OR(INDEX('[1]GenX Resources'!$L:$L,MATCH($G124,'[1]GenX Resources'!$B:$B,0)),ISNUMBER(SEARCH("New Generic",$G124))),0,INDEX('[1]GenX Resources'!$M:$M,MATCH($G124,'[1]GenX Resources'!$B:$B,0))),0)</f>
        <v>21001</v>
      </c>
      <c r="EU124" s="5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</row>
    <row r="125" spans="6:177" ht="16" x14ac:dyDescent="0.2">
      <c r="F125" s="19" t="str">
        <f>IFERROR(INDEX('[1]GenX Resources'!$A$10:$A$76,MATCH(G125,'[1]GenX Resources'!$B$10:$B$76,0)),"")</f>
        <v>4-hr Battery</v>
      </c>
      <c r="G125" s="5" t="s">
        <v>91</v>
      </c>
      <c r="H125" s="6">
        <v>0</v>
      </c>
      <c r="I125" s="6">
        <v>125</v>
      </c>
      <c r="J125" s="6">
        <v>125</v>
      </c>
      <c r="K125" s="6">
        <v>575</v>
      </c>
      <c r="L125" s="6">
        <v>575</v>
      </c>
      <c r="M125" s="6">
        <v>575</v>
      </c>
      <c r="N125" s="6">
        <v>575</v>
      </c>
      <c r="O125" s="6">
        <v>575</v>
      </c>
      <c r="P125" s="6">
        <v>575</v>
      </c>
      <c r="Q125" s="6">
        <v>575</v>
      </c>
      <c r="R125" s="6">
        <v>1125</v>
      </c>
      <c r="S125" s="6">
        <v>1125</v>
      </c>
      <c r="T125" s="6">
        <v>1125</v>
      </c>
      <c r="U125" s="6">
        <v>1125</v>
      </c>
      <c r="V125" s="6">
        <v>1125</v>
      </c>
      <c r="W125" s="6">
        <v>1125</v>
      </c>
      <c r="X125" s="6">
        <v>1125</v>
      </c>
      <c r="Y125" s="6">
        <v>1125</v>
      </c>
      <c r="Z125" s="6">
        <v>1125</v>
      </c>
      <c r="AA125" s="6">
        <v>1125</v>
      </c>
      <c r="AB125" s="6">
        <v>1125</v>
      </c>
      <c r="AC125" s="6">
        <v>1125</v>
      </c>
      <c r="AD125" s="6">
        <v>1125</v>
      </c>
      <c r="AE125" s="6">
        <v>1125</v>
      </c>
      <c r="AF125" s="6">
        <v>1125</v>
      </c>
      <c r="AG125" s="6">
        <v>1125</v>
      </c>
      <c r="AI125" s="5" t="s">
        <v>91</v>
      </c>
      <c r="AJ125" s="6">
        <f>SUMIFS([1]!Resources[Summer Rating],[1]!Resources[COD],"&lt;="&amp;AJ$77,[1]!Resources[Retirement Date],"&gt;="&amp;AJ$77,[1]!Resources[Unique Key],$AI125,[1]!Resources[Availability '#],"&gt;="&amp;2)</f>
        <v>0</v>
      </c>
      <c r="AK125" s="6">
        <f>SUMIFS([1]!Resources[Summer Rating],[1]!Resources[COD],"&lt;="&amp;AK$77,[1]!Resources[Retirement Date],"&gt;="&amp;AK$77,[1]!Resources[Unique Key],$AI125,[1]!Resources[Availability '#],"&gt;="&amp;2)</f>
        <v>0</v>
      </c>
      <c r="AL125" s="6">
        <f>SUMIFS([1]!Resources[Summer Rating],[1]!Resources[COD],"&lt;="&amp;AL$77,[1]!Resources[Retirement Date],"&gt;="&amp;AL$77,[1]!Resources[Unique Key],$AI125,[1]!Resources[Availability '#],"&gt;="&amp;2)</f>
        <v>0</v>
      </c>
      <c r="AM125" s="6">
        <f>SUMIFS([1]!Resources[Summer Rating],[1]!Resources[COD],"&lt;="&amp;AM$77,[1]!Resources[Retirement Date],"&gt;="&amp;AM$77,[1]!Resources[Unique Key],$AI125,[1]!Resources[Availability '#],"&gt;="&amp;2)</f>
        <v>450</v>
      </c>
      <c r="AN125" s="6">
        <f>SUMIFS([1]!Resources[Summer Rating],[1]!Resources[COD],"&lt;="&amp;AN$77,[1]!Resources[Retirement Date],"&gt;="&amp;AN$77,[1]!Resources[Unique Key],$AI125,[1]!Resources[Availability '#],"&gt;="&amp;2)</f>
        <v>450</v>
      </c>
      <c r="AO125" s="6">
        <f>SUMIFS([1]!Resources[Summer Rating],[1]!Resources[COD],"&lt;="&amp;AO$77,[1]!Resources[Retirement Date],"&gt;="&amp;AO$77,[1]!Resources[Unique Key],$AI125,[1]!Resources[Availability '#],"&gt;="&amp;2)</f>
        <v>450</v>
      </c>
      <c r="AP125" s="6">
        <f>SUMIFS([1]!Resources[Summer Rating],[1]!Resources[COD],"&lt;="&amp;AP$77,[1]!Resources[Retirement Date],"&gt;="&amp;AP$77,[1]!Resources[Unique Key],$AI125,[1]!Resources[Availability '#],"&gt;="&amp;2)</f>
        <v>450</v>
      </c>
      <c r="AQ125" s="6">
        <f>SUMIFS([1]!Resources[Summer Rating],[1]!Resources[COD],"&lt;="&amp;AQ$77,[1]!Resources[Retirement Date],"&gt;="&amp;AQ$77,[1]!Resources[Unique Key],$AI125,[1]!Resources[Availability '#],"&gt;="&amp;2)</f>
        <v>450</v>
      </c>
      <c r="AR125" s="6">
        <f>SUMIFS([1]!Resources[Summer Rating],[1]!Resources[COD],"&lt;="&amp;AR$77,[1]!Resources[Retirement Date],"&gt;="&amp;AR$77,[1]!Resources[Unique Key],$AI125,[1]!Resources[Availability '#],"&gt;="&amp;2)</f>
        <v>450</v>
      </c>
      <c r="AS125" s="6">
        <f>SUMIFS([1]!Resources[Summer Rating],[1]!Resources[COD],"&lt;="&amp;AS$77,[1]!Resources[Retirement Date],"&gt;="&amp;AS$77,[1]!Resources[Unique Key],$AI125,[1]!Resources[Availability '#],"&gt;="&amp;2)</f>
        <v>450</v>
      </c>
      <c r="AT125" s="6">
        <f>SUMIFS([1]!Resources[Summer Rating],[1]!Resources[COD],"&lt;="&amp;AT$77,[1]!Resources[Retirement Date],"&gt;="&amp;AT$77,[1]!Resources[Unique Key],$AI125,[1]!Resources[Availability '#],"&gt;="&amp;2)</f>
        <v>1000</v>
      </c>
      <c r="AU125" s="6">
        <f>SUMIFS([1]!Resources[Summer Rating],[1]!Resources[COD],"&lt;="&amp;AU$77,[1]!Resources[Retirement Date],"&gt;="&amp;AU$77,[1]!Resources[Unique Key],$AI125,[1]!Resources[Availability '#],"&gt;="&amp;2)</f>
        <v>1000</v>
      </c>
      <c r="AV125" s="6">
        <f>SUMIFS([1]!Resources[Summer Rating],[1]!Resources[COD],"&lt;="&amp;AV$77,[1]!Resources[Retirement Date],"&gt;="&amp;AV$77,[1]!Resources[Unique Key],$AI125,[1]!Resources[Availability '#],"&gt;="&amp;2)</f>
        <v>1000</v>
      </c>
      <c r="AW125" s="6">
        <f>SUMIFS([1]!Resources[Summer Rating],[1]!Resources[COD],"&lt;="&amp;AW$77,[1]!Resources[Retirement Date],"&gt;="&amp;AW$77,[1]!Resources[Unique Key],$AI125,[1]!Resources[Availability '#],"&gt;="&amp;2)</f>
        <v>1000</v>
      </c>
      <c r="AX125" s="6">
        <f>SUMIFS([1]!Resources[Summer Rating],[1]!Resources[COD],"&lt;="&amp;AX$77,[1]!Resources[Retirement Date],"&gt;="&amp;AX$77,[1]!Resources[Unique Key],$AI125,[1]!Resources[Availability '#],"&gt;="&amp;2)</f>
        <v>1000</v>
      </c>
      <c r="AY125" s="6">
        <f>SUMIFS([1]!Resources[Summer Rating],[1]!Resources[COD],"&lt;="&amp;AY$77,[1]!Resources[Retirement Date],"&gt;="&amp;AY$77,[1]!Resources[Unique Key],$AI125,[1]!Resources[Availability '#],"&gt;="&amp;2)</f>
        <v>1000</v>
      </c>
      <c r="AZ125" s="6">
        <f>SUMIFS([1]!Resources[Summer Rating],[1]!Resources[COD],"&lt;="&amp;AZ$77,[1]!Resources[Retirement Date],"&gt;="&amp;AZ$77,[1]!Resources[Unique Key],$AI125,[1]!Resources[Availability '#],"&gt;="&amp;2)</f>
        <v>1000</v>
      </c>
      <c r="BA125" s="6">
        <f>SUMIFS([1]!Resources[Summer Rating],[1]!Resources[COD],"&lt;="&amp;BA$77,[1]!Resources[Retirement Date],"&gt;="&amp;BA$77,[1]!Resources[Unique Key],$AI125,[1]!Resources[Availability '#],"&gt;="&amp;2)</f>
        <v>1000</v>
      </c>
      <c r="BB125" s="6">
        <f>SUMIFS([1]!Resources[Summer Rating],[1]!Resources[COD],"&lt;="&amp;BB$77,[1]!Resources[Retirement Date],"&gt;="&amp;BB$77,[1]!Resources[Unique Key],$AI125,[1]!Resources[Availability '#],"&gt;="&amp;2)</f>
        <v>1000</v>
      </c>
      <c r="BC125" s="6">
        <f>SUMIFS([1]!Resources[Summer Rating],[1]!Resources[COD],"&lt;="&amp;BC$77,[1]!Resources[Retirement Date],"&gt;="&amp;BC$77,[1]!Resources[Unique Key],$AI125,[1]!Resources[Availability '#],"&gt;="&amp;2)</f>
        <v>1000</v>
      </c>
      <c r="BD125" s="6">
        <f>SUMIFS([1]!Resources[Summer Rating],[1]!Resources[COD],"&lt;="&amp;BD$77,[1]!Resources[Retirement Date],"&gt;="&amp;BD$77,[1]!Resources[Unique Key],$AI125,[1]!Resources[Availability '#],"&gt;="&amp;2)</f>
        <v>1000</v>
      </c>
      <c r="BE125" s="6">
        <f>SUMIFS([1]!Resources[Summer Rating],[1]!Resources[COD],"&lt;="&amp;BE$77,[1]!Resources[Retirement Date],"&gt;="&amp;BE$77,[1]!Resources[Unique Key],$AI125,[1]!Resources[Availability '#],"&gt;="&amp;2)</f>
        <v>1000</v>
      </c>
      <c r="BF125" s="6">
        <f>SUMIFS([1]!Resources[Summer Rating],[1]!Resources[COD],"&lt;="&amp;BF$77,[1]!Resources[Retirement Date],"&gt;="&amp;BF$77,[1]!Resources[Unique Key],$AI125,[1]!Resources[Availability '#],"&gt;="&amp;2)</f>
        <v>1000</v>
      </c>
      <c r="BG125" s="6">
        <f>SUMIFS([1]!Resources[Summer Rating],[1]!Resources[COD],"&lt;="&amp;BG$77,[1]!Resources[Retirement Date],"&gt;="&amp;BG$77,[1]!Resources[Unique Key],$AI125,[1]!Resources[Availability '#],"&gt;="&amp;2)</f>
        <v>1000</v>
      </c>
      <c r="BH125" s="6">
        <f>SUMIFS([1]!Resources[Summer Rating],[1]!Resources[COD],"&lt;="&amp;BH$77,[1]!Resources[Retirement Date],"&gt;="&amp;BH$77,[1]!Resources[Unique Key],$AI125,[1]!Resources[Availability '#],"&gt;="&amp;2)</f>
        <v>1000</v>
      </c>
      <c r="BI125" s="6">
        <f>SUMIFS([1]!Resources[Summer Rating],[1]!Resources[COD],"&lt;="&amp;BI$77,[1]!Resources[Retirement Date],"&gt;="&amp;BI$77,[1]!Resources[Unique Key],$AI125,[1]!Resources[Availability '#],"&gt;="&amp;2)</f>
        <v>1000</v>
      </c>
      <c r="BK125" s="5" t="s">
        <v>91</v>
      </c>
      <c r="BL125" s="20">
        <v>0</v>
      </c>
      <c r="BM125" s="20">
        <v>0</v>
      </c>
      <c r="BN125" s="20">
        <v>0</v>
      </c>
      <c r="BO125" s="20">
        <v>0</v>
      </c>
      <c r="BP125" s="20">
        <v>0</v>
      </c>
      <c r="BQ125" s="20">
        <v>0</v>
      </c>
      <c r="BR125" s="20">
        <v>0</v>
      </c>
      <c r="BS125" s="20">
        <v>0</v>
      </c>
      <c r="BT125" s="20">
        <v>0</v>
      </c>
      <c r="BU125" s="20">
        <v>0</v>
      </c>
      <c r="BV125" s="20">
        <v>0</v>
      </c>
      <c r="BW125" s="20">
        <v>0</v>
      </c>
      <c r="BX125" s="20">
        <v>0</v>
      </c>
      <c r="BY125" s="20">
        <v>0</v>
      </c>
      <c r="BZ125" s="20">
        <v>0</v>
      </c>
      <c r="CA125" s="20">
        <v>0</v>
      </c>
      <c r="CB125" s="20">
        <v>0</v>
      </c>
      <c r="CC125" s="20">
        <v>0</v>
      </c>
      <c r="CD125" s="20">
        <v>0</v>
      </c>
      <c r="CE125" s="20">
        <v>0</v>
      </c>
      <c r="CF125" s="20">
        <v>0</v>
      </c>
      <c r="CG125" s="20">
        <v>0</v>
      </c>
      <c r="CH125" s="20">
        <v>0</v>
      </c>
      <c r="CI125" s="20">
        <v>0</v>
      </c>
      <c r="CJ125" s="20">
        <v>0</v>
      </c>
      <c r="CK125" s="20">
        <v>0</v>
      </c>
      <c r="CM125" s="5" t="s">
        <v>91</v>
      </c>
      <c r="CN125" s="21">
        <v>0</v>
      </c>
      <c r="CO125" s="22">
        <v>0</v>
      </c>
      <c r="CP125" s="22">
        <v>0</v>
      </c>
      <c r="CQ125" s="22">
        <v>0</v>
      </c>
      <c r="CR125" s="22">
        <v>0</v>
      </c>
      <c r="CS125" s="22">
        <v>0</v>
      </c>
      <c r="CT125" s="22">
        <v>0</v>
      </c>
      <c r="CU125" s="22">
        <v>0</v>
      </c>
      <c r="CV125" s="22">
        <v>0</v>
      </c>
      <c r="CW125" s="22">
        <v>0</v>
      </c>
      <c r="CX125" s="22">
        <v>0</v>
      </c>
      <c r="CY125" s="22">
        <v>0</v>
      </c>
      <c r="CZ125" s="22">
        <v>0</v>
      </c>
      <c r="DA125" s="22">
        <v>0</v>
      </c>
      <c r="DB125" s="22">
        <v>0</v>
      </c>
      <c r="DC125" s="22">
        <v>0</v>
      </c>
      <c r="DD125" s="22">
        <v>0</v>
      </c>
      <c r="DE125" s="22">
        <v>0</v>
      </c>
      <c r="DF125" s="22">
        <v>0</v>
      </c>
      <c r="DG125" s="22">
        <v>0</v>
      </c>
      <c r="DH125" s="22">
        <v>0</v>
      </c>
      <c r="DI125" s="22">
        <v>0</v>
      </c>
      <c r="DJ125" s="22">
        <v>0</v>
      </c>
      <c r="DK125" s="22">
        <v>0</v>
      </c>
      <c r="DL125" s="22">
        <v>0</v>
      </c>
      <c r="DM125" s="22">
        <v>0</v>
      </c>
      <c r="DO125" s="5" t="s">
        <v>91</v>
      </c>
      <c r="DP125" s="23">
        <v>0</v>
      </c>
      <c r="DQ125" s="23">
        <v>0</v>
      </c>
      <c r="DR125" s="23">
        <v>0</v>
      </c>
      <c r="DS125" s="23">
        <v>0</v>
      </c>
      <c r="DT125" s="23">
        <v>0</v>
      </c>
      <c r="DU125" s="23">
        <v>0</v>
      </c>
      <c r="DV125" s="23">
        <v>0</v>
      </c>
      <c r="DW125" s="23">
        <v>0</v>
      </c>
      <c r="DX125" s="23">
        <v>0</v>
      </c>
      <c r="DY125" s="23">
        <v>0</v>
      </c>
      <c r="DZ125" s="23">
        <v>0</v>
      </c>
      <c r="EA125" s="23">
        <v>0</v>
      </c>
      <c r="EB125" s="23">
        <v>0</v>
      </c>
      <c r="EC125" s="23">
        <v>0</v>
      </c>
      <c r="ED125" s="23">
        <v>0</v>
      </c>
      <c r="EE125" s="23">
        <v>0</v>
      </c>
      <c r="EF125" s="23">
        <v>0</v>
      </c>
      <c r="EG125" s="23">
        <v>0</v>
      </c>
      <c r="EH125" s="23">
        <v>0</v>
      </c>
      <c r="EI125" s="23">
        <v>0</v>
      </c>
      <c r="EJ125" s="23">
        <v>0</v>
      </c>
      <c r="EK125" s="23">
        <v>0</v>
      </c>
      <c r="EL125" s="23">
        <v>0</v>
      </c>
      <c r="EM125" s="23">
        <v>0</v>
      </c>
      <c r="EN125" s="23">
        <v>0</v>
      </c>
      <c r="EO125" s="23">
        <v>0</v>
      </c>
      <c r="EP125" s="24">
        <f>IFERROR(INDEX('[1]GenX Resources'!$AP$10:$AP$46,MATCH(DO125,'[1]GenX Resources'!$B$10:$B$46,0)),0)</f>
        <v>0</v>
      </c>
      <c r="EQ125" s="2" t="b">
        <f t="shared" si="35"/>
        <v>1</v>
      </c>
      <c r="ES125" s="25">
        <f ca="1">IFERROR(INDEX('[1]GenX Resources'!$AD:$AD,MATCH($G125,'[1]GenX Resources'!$B:$B,0)) - IF(OR(INDEX('[1]GenX Resources'!$L:$L,MATCH($G125,'[1]GenX Resources'!$B:$B,0)),ISNUMBER(SEARCH("New Generic",$G125))),0,INDEX('[1]GenX Resources'!$M:$M,MATCH($G125,'[1]GenX Resources'!$B:$B,0))),0)</f>
        <v>0</v>
      </c>
      <c r="EU125" s="5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</row>
    <row r="126" spans="6:177" ht="16" x14ac:dyDescent="0.2">
      <c r="F126" s="19" t="str">
        <f>IFERROR(INDEX('[1]GenX Resources'!$A$10:$A$76,MATCH(G126,'[1]GenX Resources'!$B$10:$B$76,0)),"")</f>
        <v>4-hr Battery</v>
      </c>
      <c r="G126" s="5" t="s">
        <v>92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I126" s="5" t="s">
        <v>92</v>
      </c>
      <c r="AJ126" s="6">
        <f>SUMIFS([1]!Resources[Summer Rating],[1]!Resources[COD],"&lt;="&amp;AJ$77,[1]!Resources[Retirement Date],"&gt;="&amp;AJ$77,[1]!Resources[Unique Key],$AI126,[1]!Resources[Availability '#],"&gt;="&amp;2)</f>
        <v>0</v>
      </c>
      <c r="AK126" s="6">
        <f>SUMIFS([1]!Resources[Summer Rating],[1]!Resources[COD],"&lt;="&amp;AK$77,[1]!Resources[Retirement Date],"&gt;="&amp;AK$77,[1]!Resources[Unique Key],$AI126,[1]!Resources[Availability '#],"&gt;="&amp;2)</f>
        <v>0</v>
      </c>
      <c r="AL126" s="6">
        <f>SUMIFS([1]!Resources[Summer Rating],[1]!Resources[COD],"&lt;="&amp;AL$77,[1]!Resources[Retirement Date],"&gt;="&amp;AL$77,[1]!Resources[Unique Key],$AI126,[1]!Resources[Availability '#],"&gt;="&amp;2)</f>
        <v>0</v>
      </c>
      <c r="AM126" s="6">
        <f>SUMIFS([1]!Resources[Summer Rating],[1]!Resources[COD],"&lt;="&amp;AM$77,[1]!Resources[Retirement Date],"&gt;="&amp;AM$77,[1]!Resources[Unique Key],$AI126,[1]!Resources[Availability '#],"&gt;="&amp;2)</f>
        <v>0</v>
      </c>
      <c r="AN126" s="6">
        <f>SUMIFS([1]!Resources[Summer Rating],[1]!Resources[COD],"&lt;="&amp;AN$77,[1]!Resources[Retirement Date],"&gt;="&amp;AN$77,[1]!Resources[Unique Key],$AI126,[1]!Resources[Availability '#],"&gt;="&amp;2)</f>
        <v>0</v>
      </c>
      <c r="AO126" s="6">
        <f>SUMIFS([1]!Resources[Summer Rating],[1]!Resources[COD],"&lt;="&amp;AO$77,[1]!Resources[Retirement Date],"&gt;="&amp;AO$77,[1]!Resources[Unique Key],$AI126,[1]!Resources[Availability '#],"&gt;="&amp;2)</f>
        <v>0</v>
      </c>
      <c r="AP126" s="6">
        <f>SUMIFS([1]!Resources[Summer Rating],[1]!Resources[COD],"&lt;="&amp;AP$77,[1]!Resources[Retirement Date],"&gt;="&amp;AP$77,[1]!Resources[Unique Key],$AI126,[1]!Resources[Availability '#],"&gt;="&amp;2)</f>
        <v>0</v>
      </c>
      <c r="AQ126" s="6">
        <f>SUMIFS([1]!Resources[Summer Rating],[1]!Resources[COD],"&lt;="&amp;AQ$77,[1]!Resources[Retirement Date],"&gt;="&amp;AQ$77,[1]!Resources[Unique Key],$AI126,[1]!Resources[Availability '#],"&gt;="&amp;2)</f>
        <v>0</v>
      </c>
      <c r="AR126" s="6">
        <f>SUMIFS([1]!Resources[Summer Rating],[1]!Resources[COD],"&lt;="&amp;AR$77,[1]!Resources[Retirement Date],"&gt;="&amp;AR$77,[1]!Resources[Unique Key],$AI126,[1]!Resources[Availability '#],"&gt;="&amp;2)</f>
        <v>0</v>
      </c>
      <c r="AS126" s="6">
        <f>SUMIFS([1]!Resources[Summer Rating],[1]!Resources[COD],"&lt;="&amp;AS$77,[1]!Resources[Retirement Date],"&gt;="&amp;AS$77,[1]!Resources[Unique Key],$AI126,[1]!Resources[Availability '#],"&gt;="&amp;2)</f>
        <v>0</v>
      </c>
      <c r="AT126" s="6">
        <f>SUMIFS([1]!Resources[Summer Rating],[1]!Resources[COD],"&lt;="&amp;AT$77,[1]!Resources[Retirement Date],"&gt;="&amp;AT$77,[1]!Resources[Unique Key],$AI126,[1]!Resources[Availability '#],"&gt;="&amp;2)</f>
        <v>0</v>
      </c>
      <c r="AU126" s="6">
        <f>SUMIFS([1]!Resources[Summer Rating],[1]!Resources[COD],"&lt;="&amp;AU$77,[1]!Resources[Retirement Date],"&gt;="&amp;AU$77,[1]!Resources[Unique Key],$AI126,[1]!Resources[Availability '#],"&gt;="&amp;2)</f>
        <v>0</v>
      </c>
      <c r="AV126" s="6">
        <f>SUMIFS([1]!Resources[Summer Rating],[1]!Resources[COD],"&lt;="&amp;AV$77,[1]!Resources[Retirement Date],"&gt;="&amp;AV$77,[1]!Resources[Unique Key],$AI126,[1]!Resources[Availability '#],"&gt;="&amp;2)</f>
        <v>0</v>
      </c>
      <c r="AW126" s="6">
        <f>SUMIFS([1]!Resources[Summer Rating],[1]!Resources[COD],"&lt;="&amp;AW$77,[1]!Resources[Retirement Date],"&gt;="&amp;AW$77,[1]!Resources[Unique Key],$AI126,[1]!Resources[Availability '#],"&gt;="&amp;2)</f>
        <v>0</v>
      </c>
      <c r="AX126" s="6">
        <f>SUMIFS([1]!Resources[Summer Rating],[1]!Resources[COD],"&lt;="&amp;AX$77,[1]!Resources[Retirement Date],"&gt;="&amp;AX$77,[1]!Resources[Unique Key],$AI126,[1]!Resources[Availability '#],"&gt;="&amp;2)</f>
        <v>0</v>
      </c>
      <c r="AY126" s="6">
        <f>SUMIFS([1]!Resources[Summer Rating],[1]!Resources[COD],"&lt;="&amp;AY$77,[1]!Resources[Retirement Date],"&gt;="&amp;AY$77,[1]!Resources[Unique Key],$AI126,[1]!Resources[Availability '#],"&gt;="&amp;2)</f>
        <v>0</v>
      </c>
      <c r="AZ126" s="6">
        <f>SUMIFS([1]!Resources[Summer Rating],[1]!Resources[COD],"&lt;="&amp;AZ$77,[1]!Resources[Retirement Date],"&gt;="&amp;AZ$77,[1]!Resources[Unique Key],$AI126,[1]!Resources[Availability '#],"&gt;="&amp;2)</f>
        <v>0</v>
      </c>
      <c r="BA126" s="6">
        <f>SUMIFS([1]!Resources[Summer Rating],[1]!Resources[COD],"&lt;="&amp;BA$77,[1]!Resources[Retirement Date],"&gt;="&amp;BA$77,[1]!Resources[Unique Key],$AI126,[1]!Resources[Availability '#],"&gt;="&amp;2)</f>
        <v>0</v>
      </c>
      <c r="BB126" s="6">
        <f>SUMIFS([1]!Resources[Summer Rating],[1]!Resources[COD],"&lt;="&amp;BB$77,[1]!Resources[Retirement Date],"&gt;="&amp;BB$77,[1]!Resources[Unique Key],$AI126,[1]!Resources[Availability '#],"&gt;="&amp;2)</f>
        <v>0</v>
      </c>
      <c r="BC126" s="6">
        <f>SUMIFS([1]!Resources[Summer Rating],[1]!Resources[COD],"&lt;="&amp;BC$77,[1]!Resources[Retirement Date],"&gt;="&amp;BC$77,[1]!Resources[Unique Key],$AI126,[1]!Resources[Availability '#],"&gt;="&amp;2)</f>
        <v>0</v>
      </c>
      <c r="BD126" s="6">
        <f>SUMIFS([1]!Resources[Summer Rating],[1]!Resources[COD],"&lt;="&amp;BD$77,[1]!Resources[Retirement Date],"&gt;="&amp;BD$77,[1]!Resources[Unique Key],$AI126,[1]!Resources[Availability '#],"&gt;="&amp;2)</f>
        <v>0</v>
      </c>
      <c r="BE126" s="6">
        <f>SUMIFS([1]!Resources[Summer Rating],[1]!Resources[COD],"&lt;="&amp;BE$77,[1]!Resources[Retirement Date],"&gt;="&amp;BE$77,[1]!Resources[Unique Key],$AI126,[1]!Resources[Availability '#],"&gt;="&amp;2)</f>
        <v>0</v>
      </c>
      <c r="BF126" s="6">
        <f>SUMIFS([1]!Resources[Summer Rating],[1]!Resources[COD],"&lt;="&amp;BF$77,[1]!Resources[Retirement Date],"&gt;="&amp;BF$77,[1]!Resources[Unique Key],$AI126,[1]!Resources[Availability '#],"&gt;="&amp;2)</f>
        <v>0</v>
      </c>
      <c r="BG126" s="6">
        <f>SUMIFS([1]!Resources[Summer Rating],[1]!Resources[COD],"&lt;="&amp;BG$77,[1]!Resources[Retirement Date],"&gt;="&amp;BG$77,[1]!Resources[Unique Key],$AI126,[1]!Resources[Availability '#],"&gt;="&amp;2)</f>
        <v>0</v>
      </c>
      <c r="BH126" s="6">
        <f>SUMIFS([1]!Resources[Summer Rating],[1]!Resources[COD],"&lt;="&amp;BH$77,[1]!Resources[Retirement Date],"&gt;="&amp;BH$77,[1]!Resources[Unique Key],$AI126,[1]!Resources[Availability '#],"&gt;="&amp;2)</f>
        <v>0</v>
      </c>
      <c r="BI126" s="6">
        <f>SUMIFS([1]!Resources[Summer Rating],[1]!Resources[COD],"&lt;="&amp;BI$77,[1]!Resources[Retirement Date],"&gt;="&amp;BI$77,[1]!Resources[Unique Key],$AI126,[1]!Resources[Availability '#],"&gt;="&amp;2)</f>
        <v>0</v>
      </c>
      <c r="BK126" s="5" t="s">
        <v>92</v>
      </c>
      <c r="BL126" s="20">
        <v>0</v>
      </c>
      <c r="BM126" s="20">
        <v>0</v>
      </c>
      <c r="BN126" s="20">
        <v>0</v>
      </c>
      <c r="BO126" s="20">
        <v>0</v>
      </c>
      <c r="BP126" s="20">
        <v>0</v>
      </c>
      <c r="BQ126" s="20">
        <v>0</v>
      </c>
      <c r="BR126" s="20">
        <v>0</v>
      </c>
      <c r="BS126" s="20">
        <v>0</v>
      </c>
      <c r="BT126" s="20">
        <v>0</v>
      </c>
      <c r="BU126" s="20">
        <v>0</v>
      </c>
      <c r="BV126" s="20">
        <v>0</v>
      </c>
      <c r="BW126" s="20">
        <v>0</v>
      </c>
      <c r="BX126" s="20">
        <v>0</v>
      </c>
      <c r="BY126" s="20">
        <v>0</v>
      </c>
      <c r="BZ126" s="20">
        <v>0</v>
      </c>
      <c r="CA126" s="20">
        <v>0</v>
      </c>
      <c r="CB126" s="20">
        <v>0</v>
      </c>
      <c r="CC126" s="20">
        <v>0</v>
      </c>
      <c r="CD126" s="20">
        <v>0</v>
      </c>
      <c r="CE126" s="20">
        <v>0</v>
      </c>
      <c r="CF126" s="20">
        <v>0</v>
      </c>
      <c r="CG126" s="20">
        <v>0</v>
      </c>
      <c r="CH126" s="20">
        <v>0</v>
      </c>
      <c r="CI126" s="20">
        <v>0</v>
      </c>
      <c r="CJ126" s="20">
        <v>0</v>
      </c>
      <c r="CK126" s="20">
        <v>0</v>
      </c>
      <c r="CM126" s="5" t="s">
        <v>92</v>
      </c>
      <c r="CN126" s="21">
        <v>0</v>
      </c>
      <c r="CO126" s="22">
        <v>0</v>
      </c>
      <c r="CP126" s="22">
        <v>0</v>
      </c>
      <c r="CQ126" s="22">
        <v>0</v>
      </c>
      <c r="CR126" s="22">
        <v>0</v>
      </c>
      <c r="CS126" s="22">
        <v>0</v>
      </c>
      <c r="CT126" s="22">
        <v>0</v>
      </c>
      <c r="CU126" s="22">
        <v>0</v>
      </c>
      <c r="CV126" s="22">
        <v>0</v>
      </c>
      <c r="CW126" s="22">
        <v>0</v>
      </c>
      <c r="CX126" s="22">
        <v>0</v>
      </c>
      <c r="CY126" s="22">
        <v>0</v>
      </c>
      <c r="CZ126" s="22">
        <v>0</v>
      </c>
      <c r="DA126" s="22">
        <v>0</v>
      </c>
      <c r="DB126" s="22">
        <v>0</v>
      </c>
      <c r="DC126" s="22">
        <v>0</v>
      </c>
      <c r="DD126" s="22">
        <v>0</v>
      </c>
      <c r="DE126" s="22">
        <v>0</v>
      </c>
      <c r="DF126" s="22">
        <v>0</v>
      </c>
      <c r="DG126" s="22">
        <v>0</v>
      </c>
      <c r="DH126" s="22">
        <v>0</v>
      </c>
      <c r="DI126" s="22">
        <v>0</v>
      </c>
      <c r="DJ126" s="22">
        <v>0</v>
      </c>
      <c r="DK126" s="22">
        <v>0</v>
      </c>
      <c r="DL126" s="22">
        <v>0</v>
      </c>
      <c r="DM126" s="22">
        <v>0</v>
      </c>
      <c r="DO126" s="5" t="s">
        <v>92</v>
      </c>
      <c r="DP126" s="23">
        <v>0</v>
      </c>
      <c r="DQ126" s="23">
        <v>0</v>
      </c>
      <c r="DR126" s="23">
        <v>0</v>
      </c>
      <c r="DS126" s="23">
        <v>0</v>
      </c>
      <c r="DT126" s="23">
        <v>0</v>
      </c>
      <c r="DU126" s="23">
        <v>0</v>
      </c>
      <c r="DV126" s="23">
        <v>0</v>
      </c>
      <c r="DW126" s="23">
        <v>0</v>
      </c>
      <c r="DX126" s="23">
        <v>0</v>
      </c>
      <c r="DY126" s="23">
        <v>0</v>
      </c>
      <c r="DZ126" s="23">
        <v>0</v>
      </c>
      <c r="EA126" s="23">
        <v>0</v>
      </c>
      <c r="EB126" s="23">
        <v>0</v>
      </c>
      <c r="EC126" s="23">
        <v>0</v>
      </c>
      <c r="ED126" s="23">
        <v>0</v>
      </c>
      <c r="EE126" s="23">
        <v>0</v>
      </c>
      <c r="EF126" s="23">
        <v>0</v>
      </c>
      <c r="EG126" s="23">
        <v>0</v>
      </c>
      <c r="EH126" s="23">
        <v>0</v>
      </c>
      <c r="EI126" s="23">
        <v>0</v>
      </c>
      <c r="EJ126" s="23">
        <v>0</v>
      </c>
      <c r="EK126" s="23">
        <v>0</v>
      </c>
      <c r="EL126" s="23">
        <v>0</v>
      </c>
      <c r="EM126" s="23">
        <v>0</v>
      </c>
      <c r="EN126" s="23">
        <v>0</v>
      </c>
      <c r="EO126" s="23">
        <v>0</v>
      </c>
      <c r="EP126" s="24">
        <f>IFERROR(INDEX('[1]GenX Resources'!$AP$10:$AP$46,MATCH(DO126,'[1]GenX Resources'!$B$10:$B$46,0)),0)</f>
        <v>0</v>
      </c>
      <c r="EQ126" s="2" t="b">
        <f t="shared" si="35"/>
        <v>1</v>
      </c>
      <c r="ES126" s="25">
        <f>IFERROR(INDEX('[1]GenX Resources'!$AD:$AD,MATCH($G126,'[1]GenX Resources'!$B:$B,0)) - IF(OR(INDEX('[1]GenX Resources'!$L:$L,MATCH($G126,'[1]GenX Resources'!$B:$B,0)),ISNUMBER(SEARCH("New Generic",$G126))),0,INDEX('[1]GenX Resources'!$M:$M,MATCH($G126,'[1]GenX Resources'!$B:$B,0))),0)</f>
        <v>38775</v>
      </c>
      <c r="EU126" s="5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</row>
    <row r="127" spans="6:177" ht="16" x14ac:dyDescent="0.2">
      <c r="F127" s="19" t="str">
        <f>IFERROR(INDEX('[1]GenX Resources'!$A$10:$A$76,MATCH(G127,'[1]GenX Resources'!$B$10:$B$76,0)),"")</f>
        <v>8-hr Battery</v>
      </c>
      <c r="G127" s="5" t="s">
        <v>93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I127" s="5" t="s">
        <v>93</v>
      </c>
      <c r="AJ127" s="6">
        <f>SUMIFS([1]!Resources[Summer Rating],[1]!Resources[COD],"&lt;="&amp;AJ$77,[1]!Resources[Retirement Date],"&gt;="&amp;AJ$77,[1]!Resources[Unique Key],$AI127,[1]!Resources[Availability '#],"&gt;="&amp;2)</f>
        <v>0</v>
      </c>
      <c r="AK127" s="6">
        <f>SUMIFS([1]!Resources[Summer Rating],[1]!Resources[COD],"&lt;="&amp;AK$77,[1]!Resources[Retirement Date],"&gt;="&amp;AK$77,[1]!Resources[Unique Key],$AI127,[1]!Resources[Availability '#],"&gt;="&amp;2)</f>
        <v>0</v>
      </c>
      <c r="AL127" s="6">
        <f>SUMIFS([1]!Resources[Summer Rating],[1]!Resources[COD],"&lt;="&amp;AL$77,[1]!Resources[Retirement Date],"&gt;="&amp;AL$77,[1]!Resources[Unique Key],$AI127,[1]!Resources[Availability '#],"&gt;="&amp;2)</f>
        <v>0</v>
      </c>
      <c r="AM127" s="6">
        <f>SUMIFS([1]!Resources[Summer Rating],[1]!Resources[COD],"&lt;="&amp;AM$77,[1]!Resources[Retirement Date],"&gt;="&amp;AM$77,[1]!Resources[Unique Key],$AI127,[1]!Resources[Availability '#],"&gt;="&amp;2)</f>
        <v>0</v>
      </c>
      <c r="AN127" s="6">
        <f>SUMIFS([1]!Resources[Summer Rating],[1]!Resources[COD],"&lt;="&amp;AN$77,[1]!Resources[Retirement Date],"&gt;="&amp;AN$77,[1]!Resources[Unique Key],$AI127,[1]!Resources[Availability '#],"&gt;="&amp;2)</f>
        <v>0</v>
      </c>
      <c r="AO127" s="6">
        <f>SUMIFS([1]!Resources[Summer Rating],[1]!Resources[COD],"&lt;="&amp;AO$77,[1]!Resources[Retirement Date],"&gt;="&amp;AO$77,[1]!Resources[Unique Key],$AI127,[1]!Resources[Availability '#],"&gt;="&amp;2)</f>
        <v>0</v>
      </c>
      <c r="AP127" s="6">
        <f>SUMIFS([1]!Resources[Summer Rating],[1]!Resources[COD],"&lt;="&amp;AP$77,[1]!Resources[Retirement Date],"&gt;="&amp;AP$77,[1]!Resources[Unique Key],$AI127,[1]!Resources[Availability '#],"&gt;="&amp;2)</f>
        <v>0</v>
      </c>
      <c r="AQ127" s="6">
        <f>SUMIFS([1]!Resources[Summer Rating],[1]!Resources[COD],"&lt;="&amp;AQ$77,[1]!Resources[Retirement Date],"&gt;="&amp;AQ$77,[1]!Resources[Unique Key],$AI127,[1]!Resources[Availability '#],"&gt;="&amp;2)</f>
        <v>0</v>
      </c>
      <c r="AR127" s="6">
        <f>SUMIFS([1]!Resources[Summer Rating],[1]!Resources[COD],"&lt;="&amp;AR$77,[1]!Resources[Retirement Date],"&gt;="&amp;AR$77,[1]!Resources[Unique Key],$AI127,[1]!Resources[Availability '#],"&gt;="&amp;2)</f>
        <v>0</v>
      </c>
      <c r="AS127" s="6">
        <f>SUMIFS([1]!Resources[Summer Rating],[1]!Resources[COD],"&lt;="&amp;AS$77,[1]!Resources[Retirement Date],"&gt;="&amp;AS$77,[1]!Resources[Unique Key],$AI127,[1]!Resources[Availability '#],"&gt;="&amp;2)</f>
        <v>0</v>
      </c>
      <c r="AT127" s="6">
        <f>SUMIFS([1]!Resources[Summer Rating],[1]!Resources[COD],"&lt;="&amp;AT$77,[1]!Resources[Retirement Date],"&gt;="&amp;AT$77,[1]!Resources[Unique Key],$AI127,[1]!Resources[Availability '#],"&gt;="&amp;2)</f>
        <v>0</v>
      </c>
      <c r="AU127" s="6">
        <f>SUMIFS([1]!Resources[Summer Rating],[1]!Resources[COD],"&lt;="&amp;AU$77,[1]!Resources[Retirement Date],"&gt;="&amp;AU$77,[1]!Resources[Unique Key],$AI127,[1]!Resources[Availability '#],"&gt;="&amp;2)</f>
        <v>0</v>
      </c>
      <c r="AV127" s="6">
        <f>SUMIFS([1]!Resources[Summer Rating],[1]!Resources[COD],"&lt;="&amp;AV$77,[1]!Resources[Retirement Date],"&gt;="&amp;AV$77,[1]!Resources[Unique Key],$AI127,[1]!Resources[Availability '#],"&gt;="&amp;2)</f>
        <v>0</v>
      </c>
      <c r="AW127" s="6">
        <f>SUMIFS([1]!Resources[Summer Rating],[1]!Resources[COD],"&lt;="&amp;AW$77,[1]!Resources[Retirement Date],"&gt;="&amp;AW$77,[1]!Resources[Unique Key],$AI127,[1]!Resources[Availability '#],"&gt;="&amp;2)</f>
        <v>0</v>
      </c>
      <c r="AX127" s="6">
        <f>SUMIFS([1]!Resources[Summer Rating],[1]!Resources[COD],"&lt;="&amp;AX$77,[1]!Resources[Retirement Date],"&gt;="&amp;AX$77,[1]!Resources[Unique Key],$AI127,[1]!Resources[Availability '#],"&gt;="&amp;2)</f>
        <v>0</v>
      </c>
      <c r="AY127" s="6">
        <f>SUMIFS([1]!Resources[Summer Rating],[1]!Resources[COD],"&lt;="&amp;AY$77,[1]!Resources[Retirement Date],"&gt;="&amp;AY$77,[1]!Resources[Unique Key],$AI127,[1]!Resources[Availability '#],"&gt;="&amp;2)</f>
        <v>0</v>
      </c>
      <c r="AZ127" s="6">
        <f>SUMIFS([1]!Resources[Summer Rating],[1]!Resources[COD],"&lt;="&amp;AZ$77,[1]!Resources[Retirement Date],"&gt;="&amp;AZ$77,[1]!Resources[Unique Key],$AI127,[1]!Resources[Availability '#],"&gt;="&amp;2)</f>
        <v>0</v>
      </c>
      <c r="BA127" s="6">
        <f>SUMIFS([1]!Resources[Summer Rating],[1]!Resources[COD],"&lt;="&amp;BA$77,[1]!Resources[Retirement Date],"&gt;="&amp;BA$77,[1]!Resources[Unique Key],$AI127,[1]!Resources[Availability '#],"&gt;="&amp;2)</f>
        <v>0</v>
      </c>
      <c r="BB127" s="6">
        <f>SUMIFS([1]!Resources[Summer Rating],[1]!Resources[COD],"&lt;="&amp;BB$77,[1]!Resources[Retirement Date],"&gt;="&amp;BB$77,[1]!Resources[Unique Key],$AI127,[1]!Resources[Availability '#],"&gt;="&amp;2)</f>
        <v>0</v>
      </c>
      <c r="BC127" s="6">
        <f>SUMIFS([1]!Resources[Summer Rating],[1]!Resources[COD],"&lt;="&amp;BC$77,[1]!Resources[Retirement Date],"&gt;="&amp;BC$77,[1]!Resources[Unique Key],$AI127,[1]!Resources[Availability '#],"&gt;="&amp;2)</f>
        <v>0</v>
      </c>
      <c r="BD127" s="6">
        <f>SUMIFS([1]!Resources[Summer Rating],[1]!Resources[COD],"&lt;="&amp;BD$77,[1]!Resources[Retirement Date],"&gt;="&amp;BD$77,[1]!Resources[Unique Key],$AI127,[1]!Resources[Availability '#],"&gt;="&amp;2)</f>
        <v>0</v>
      </c>
      <c r="BE127" s="6">
        <f>SUMIFS([1]!Resources[Summer Rating],[1]!Resources[COD],"&lt;="&amp;BE$77,[1]!Resources[Retirement Date],"&gt;="&amp;BE$77,[1]!Resources[Unique Key],$AI127,[1]!Resources[Availability '#],"&gt;="&amp;2)</f>
        <v>0</v>
      </c>
      <c r="BF127" s="6">
        <f>SUMIFS([1]!Resources[Summer Rating],[1]!Resources[COD],"&lt;="&amp;BF$77,[1]!Resources[Retirement Date],"&gt;="&amp;BF$77,[1]!Resources[Unique Key],$AI127,[1]!Resources[Availability '#],"&gt;="&amp;2)</f>
        <v>0</v>
      </c>
      <c r="BG127" s="6">
        <f>SUMIFS([1]!Resources[Summer Rating],[1]!Resources[COD],"&lt;="&amp;BG$77,[1]!Resources[Retirement Date],"&gt;="&amp;BG$77,[1]!Resources[Unique Key],$AI127,[1]!Resources[Availability '#],"&gt;="&amp;2)</f>
        <v>0</v>
      </c>
      <c r="BH127" s="6">
        <f>SUMIFS([1]!Resources[Summer Rating],[1]!Resources[COD],"&lt;="&amp;BH$77,[1]!Resources[Retirement Date],"&gt;="&amp;BH$77,[1]!Resources[Unique Key],$AI127,[1]!Resources[Availability '#],"&gt;="&amp;2)</f>
        <v>0</v>
      </c>
      <c r="BI127" s="6">
        <f>SUMIFS([1]!Resources[Summer Rating],[1]!Resources[COD],"&lt;="&amp;BI$77,[1]!Resources[Retirement Date],"&gt;="&amp;BI$77,[1]!Resources[Unique Key],$AI127,[1]!Resources[Availability '#],"&gt;="&amp;2)</f>
        <v>0</v>
      </c>
      <c r="BK127" s="5" t="s">
        <v>93</v>
      </c>
      <c r="BL127" s="20">
        <v>0</v>
      </c>
      <c r="BM127" s="20">
        <v>0</v>
      </c>
      <c r="BN127" s="20">
        <v>0</v>
      </c>
      <c r="BO127" s="20">
        <v>0</v>
      </c>
      <c r="BP127" s="20">
        <v>0</v>
      </c>
      <c r="BQ127" s="20">
        <v>0</v>
      </c>
      <c r="BR127" s="20">
        <v>0</v>
      </c>
      <c r="BS127" s="20">
        <v>0</v>
      </c>
      <c r="BT127" s="20">
        <v>0</v>
      </c>
      <c r="BU127" s="20">
        <v>0</v>
      </c>
      <c r="BV127" s="20">
        <v>0</v>
      </c>
      <c r="BW127" s="20">
        <v>0</v>
      </c>
      <c r="BX127" s="20">
        <v>0</v>
      </c>
      <c r="BY127" s="20">
        <v>0</v>
      </c>
      <c r="BZ127" s="20">
        <v>0</v>
      </c>
      <c r="CA127" s="20">
        <v>0</v>
      </c>
      <c r="CB127" s="20">
        <v>0</v>
      </c>
      <c r="CC127" s="20">
        <v>0</v>
      </c>
      <c r="CD127" s="20">
        <v>0</v>
      </c>
      <c r="CE127" s="20">
        <v>0</v>
      </c>
      <c r="CF127" s="20">
        <v>0</v>
      </c>
      <c r="CG127" s="20">
        <v>0</v>
      </c>
      <c r="CH127" s="20">
        <v>0</v>
      </c>
      <c r="CI127" s="20">
        <v>0</v>
      </c>
      <c r="CJ127" s="20">
        <v>0</v>
      </c>
      <c r="CK127" s="20">
        <v>0</v>
      </c>
      <c r="CM127" s="5" t="s">
        <v>93</v>
      </c>
      <c r="CN127" s="21">
        <v>0</v>
      </c>
      <c r="CO127" s="22">
        <v>0</v>
      </c>
      <c r="CP127" s="22">
        <v>0</v>
      </c>
      <c r="CQ127" s="22">
        <v>0</v>
      </c>
      <c r="CR127" s="22">
        <v>0</v>
      </c>
      <c r="CS127" s="22">
        <v>0</v>
      </c>
      <c r="CT127" s="22">
        <v>0</v>
      </c>
      <c r="CU127" s="22">
        <v>0</v>
      </c>
      <c r="CV127" s="22">
        <v>0</v>
      </c>
      <c r="CW127" s="22">
        <v>0</v>
      </c>
      <c r="CX127" s="22">
        <v>0</v>
      </c>
      <c r="CY127" s="22">
        <v>0</v>
      </c>
      <c r="CZ127" s="22">
        <v>0</v>
      </c>
      <c r="DA127" s="22">
        <v>0</v>
      </c>
      <c r="DB127" s="22">
        <v>0</v>
      </c>
      <c r="DC127" s="22">
        <v>0</v>
      </c>
      <c r="DD127" s="22">
        <v>0</v>
      </c>
      <c r="DE127" s="22">
        <v>0</v>
      </c>
      <c r="DF127" s="22">
        <v>0</v>
      </c>
      <c r="DG127" s="22">
        <v>0</v>
      </c>
      <c r="DH127" s="22">
        <v>0</v>
      </c>
      <c r="DI127" s="22">
        <v>0</v>
      </c>
      <c r="DJ127" s="22">
        <v>0</v>
      </c>
      <c r="DK127" s="22">
        <v>0</v>
      </c>
      <c r="DL127" s="22">
        <v>0</v>
      </c>
      <c r="DM127" s="22">
        <v>0</v>
      </c>
      <c r="DO127" s="5" t="s">
        <v>93</v>
      </c>
      <c r="DP127" s="23">
        <v>0</v>
      </c>
      <c r="DQ127" s="23">
        <v>0</v>
      </c>
      <c r="DR127" s="23">
        <v>0</v>
      </c>
      <c r="DS127" s="23">
        <v>0</v>
      </c>
      <c r="DT127" s="23">
        <v>0</v>
      </c>
      <c r="DU127" s="23">
        <v>0</v>
      </c>
      <c r="DV127" s="23">
        <v>0</v>
      </c>
      <c r="DW127" s="23">
        <v>0</v>
      </c>
      <c r="DX127" s="23">
        <v>0</v>
      </c>
      <c r="DY127" s="23">
        <v>0</v>
      </c>
      <c r="DZ127" s="23">
        <v>0</v>
      </c>
      <c r="EA127" s="23">
        <v>0</v>
      </c>
      <c r="EB127" s="23">
        <v>0</v>
      </c>
      <c r="EC127" s="23">
        <v>0</v>
      </c>
      <c r="ED127" s="23">
        <v>0</v>
      </c>
      <c r="EE127" s="23">
        <v>0</v>
      </c>
      <c r="EF127" s="23">
        <v>0</v>
      </c>
      <c r="EG127" s="23">
        <v>0</v>
      </c>
      <c r="EH127" s="23">
        <v>0</v>
      </c>
      <c r="EI127" s="23">
        <v>0</v>
      </c>
      <c r="EJ127" s="23">
        <v>0</v>
      </c>
      <c r="EK127" s="23">
        <v>0</v>
      </c>
      <c r="EL127" s="23">
        <v>0</v>
      </c>
      <c r="EM127" s="23">
        <v>0</v>
      </c>
      <c r="EN127" s="23">
        <v>0</v>
      </c>
      <c r="EO127" s="23">
        <v>0</v>
      </c>
      <c r="EP127" s="24">
        <f>IFERROR(INDEX('[1]GenX Resources'!$AP$10:$AP$46,MATCH(DO127,'[1]GenX Resources'!$B$10:$B$46,0)),0)</f>
        <v>0</v>
      </c>
      <c r="EQ127" s="2" t="b">
        <f t="shared" si="35"/>
        <v>1</v>
      </c>
      <c r="ES127" s="25">
        <f>IFERROR(INDEX('[1]GenX Resources'!$AD:$AD,MATCH($G127,'[1]GenX Resources'!$B:$B,0)) - IF(OR(INDEX('[1]GenX Resources'!$L:$L,MATCH($G127,'[1]GenX Resources'!$B:$B,0)),ISNUMBER(SEARCH("New Generic",$G127))),0,INDEX('[1]GenX Resources'!$M:$M,MATCH($G127,'[1]GenX Resources'!$B:$B,0))),0)</f>
        <v>69767</v>
      </c>
      <c r="EU127" s="5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</row>
    <row r="128" spans="6:177" ht="16" x14ac:dyDescent="0.2">
      <c r="F128" s="19" t="str">
        <f>IFERROR(INDEX('[1]GenX Resources'!$A$10:$A$76,MATCH(G128,'[1]GenX Resources'!$B$10:$B$76,0)),"")</f>
        <v>100-hr Battery</v>
      </c>
      <c r="G128" s="5" t="s">
        <v>94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I128" s="5" t="s">
        <v>94</v>
      </c>
      <c r="AJ128" s="6">
        <f>SUMIFS([1]!Resources[Summer Rating],[1]!Resources[COD],"&lt;="&amp;AJ$77,[1]!Resources[Retirement Date],"&gt;="&amp;AJ$77,[1]!Resources[Unique Key],$AI128,[1]!Resources[Availability '#],"&gt;="&amp;2)</f>
        <v>0</v>
      </c>
      <c r="AK128" s="6">
        <f>SUMIFS([1]!Resources[Summer Rating],[1]!Resources[COD],"&lt;="&amp;AK$77,[1]!Resources[Retirement Date],"&gt;="&amp;AK$77,[1]!Resources[Unique Key],$AI128,[1]!Resources[Availability '#],"&gt;="&amp;2)</f>
        <v>0</v>
      </c>
      <c r="AL128" s="6">
        <f>SUMIFS([1]!Resources[Summer Rating],[1]!Resources[COD],"&lt;="&amp;AL$77,[1]!Resources[Retirement Date],"&gt;="&amp;AL$77,[1]!Resources[Unique Key],$AI128,[1]!Resources[Availability '#],"&gt;="&amp;2)</f>
        <v>0</v>
      </c>
      <c r="AM128" s="6">
        <f>SUMIFS([1]!Resources[Summer Rating],[1]!Resources[COD],"&lt;="&amp;AM$77,[1]!Resources[Retirement Date],"&gt;="&amp;AM$77,[1]!Resources[Unique Key],$AI128,[1]!Resources[Availability '#],"&gt;="&amp;2)</f>
        <v>0</v>
      </c>
      <c r="AN128" s="6">
        <f>SUMIFS([1]!Resources[Summer Rating],[1]!Resources[COD],"&lt;="&amp;AN$77,[1]!Resources[Retirement Date],"&gt;="&amp;AN$77,[1]!Resources[Unique Key],$AI128,[1]!Resources[Availability '#],"&gt;="&amp;2)</f>
        <v>0</v>
      </c>
      <c r="AO128" s="6">
        <f>SUMIFS([1]!Resources[Summer Rating],[1]!Resources[COD],"&lt;="&amp;AO$77,[1]!Resources[Retirement Date],"&gt;="&amp;AO$77,[1]!Resources[Unique Key],$AI128,[1]!Resources[Availability '#],"&gt;="&amp;2)</f>
        <v>0</v>
      </c>
      <c r="AP128" s="6">
        <f>SUMIFS([1]!Resources[Summer Rating],[1]!Resources[COD],"&lt;="&amp;AP$77,[1]!Resources[Retirement Date],"&gt;="&amp;AP$77,[1]!Resources[Unique Key],$AI128,[1]!Resources[Availability '#],"&gt;="&amp;2)</f>
        <v>0</v>
      </c>
      <c r="AQ128" s="6">
        <f>SUMIFS([1]!Resources[Summer Rating],[1]!Resources[COD],"&lt;="&amp;AQ$77,[1]!Resources[Retirement Date],"&gt;="&amp;AQ$77,[1]!Resources[Unique Key],$AI128,[1]!Resources[Availability '#],"&gt;="&amp;2)</f>
        <v>0</v>
      </c>
      <c r="AR128" s="6">
        <f>SUMIFS([1]!Resources[Summer Rating],[1]!Resources[COD],"&lt;="&amp;AR$77,[1]!Resources[Retirement Date],"&gt;="&amp;AR$77,[1]!Resources[Unique Key],$AI128,[1]!Resources[Availability '#],"&gt;="&amp;2)</f>
        <v>0</v>
      </c>
      <c r="AS128" s="6">
        <f>SUMIFS([1]!Resources[Summer Rating],[1]!Resources[COD],"&lt;="&amp;AS$77,[1]!Resources[Retirement Date],"&gt;="&amp;AS$77,[1]!Resources[Unique Key],$AI128,[1]!Resources[Availability '#],"&gt;="&amp;2)</f>
        <v>0</v>
      </c>
      <c r="AT128" s="6">
        <f>SUMIFS([1]!Resources[Summer Rating],[1]!Resources[COD],"&lt;="&amp;AT$77,[1]!Resources[Retirement Date],"&gt;="&amp;AT$77,[1]!Resources[Unique Key],$AI128,[1]!Resources[Availability '#],"&gt;="&amp;2)</f>
        <v>0</v>
      </c>
      <c r="AU128" s="6">
        <f>SUMIFS([1]!Resources[Summer Rating],[1]!Resources[COD],"&lt;="&amp;AU$77,[1]!Resources[Retirement Date],"&gt;="&amp;AU$77,[1]!Resources[Unique Key],$AI128,[1]!Resources[Availability '#],"&gt;="&amp;2)</f>
        <v>0</v>
      </c>
      <c r="AV128" s="6">
        <f>SUMIFS([1]!Resources[Summer Rating],[1]!Resources[COD],"&lt;="&amp;AV$77,[1]!Resources[Retirement Date],"&gt;="&amp;AV$77,[1]!Resources[Unique Key],$AI128,[1]!Resources[Availability '#],"&gt;="&amp;2)</f>
        <v>0</v>
      </c>
      <c r="AW128" s="6">
        <f>SUMIFS([1]!Resources[Summer Rating],[1]!Resources[COD],"&lt;="&amp;AW$77,[1]!Resources[Retirement Date],"&gt;="&amp;AW$77,[1]!Resources[Unique Key],$AI128,[1]!Resources[Availability '#],"&gt;="&amp;2)</f>
        <v>0</v>
      </c>
      <c r="AX128" s="6">
        <f>SUMIFS([1]!Resources[Summer Rating],[1]!Resources[COD],"&lt;="&amp;AX$77,[1]!Resources[Retirement Date],"&gt;="&amp;AX$77,[1]!Resources[Unique Key],$AI128,[1]!Resources[Availability '#],"&gt;="&amp;2)</f>
        <v>0</v>
      </c>
      <c r="AY128" s="6">
        <f>SUMIFS([1]!Resources[Summer Rating],[1]!Resources[COD],"&lt;="&amp;AY$77,[1]!Resources[Retirement Date],"&gt;="&amp;AY$77,[1]!Resources[Unique Key],$AI128,[1]!Resources[Availability '#],"&gt;="&amp;2)</f>
        <v>0</v>
      </c>
      <c r="AZ128" s="6">
        <f>SUMIFS([1]!Resources[Summer Rating],[1]!Resources[COD],"&lt;="&amp;AZ$77,[1]!Resources[Retirement Date],"&gt;="&amp;AZ$77,[1]!Resources[Unique Key],$AI128,[1]!Resources[Availability '#],"&gt;="&amp;2)</f>
        <v>0</v>
      </c>
      <c r="BA128" s="6">
        <f>SUMIFS([1]!Resources[Summer Rating],[1]!Resources[COD],"&lt;="&amp;BA$77,[1]!Resources[Retirement Date],"&gt;="&amp;BA$77,[1]!Resources[Unique Key],$AI128,[1]!Resources[Availability '#],"&gt;="&amp;2)</f>
        <v>0</v>
      </c>
      <c r="BB128" s="6">
        <f>SUMIFS([1]!Resources[Summer Rating],[1]!Resources[COD],"&lt;="&amp;BB$77,[1]!Resources[Retirement Date],"&gt;="&amp;BB$77,[1]!Resources[Unique Key],$AI128,[1]!Resources[Availability '#],"&gt;="&amp;2)</f>
        <v>0</v>
      </c>
      <c r="BC128" s="6">
        <f>SUMIFS([1]!Resources[Summer Rating],[1]!Resources[COD],"&lt;="&amp;BC$77,[1]!Resources[Retirement Date],"&gt;="&amp;BC$77,[1]!Resources[Unique Key],$AI128,[1]!Resources[Availability '#],"&gt;="&amp;2)</f>
        <v>0</v>
      </c>
      <c r="BD128" s="6">
        <f>SUMIFS([1]!Resources[Summer Rating],[1]!Resources[COD],"&lt;="&amp;BD$77,[1]!Resources[Retirement Date],"&gt;="&amp;BD$77,[1]!Resources[Unique Key],$AI128,[1]!Resources[Availability '#],"&gt;="&amp;2)</f>
        <v>0</v>
      </c>
      <c r="BE128" s="6">
        <f>SUMIFS([1]!Resources[Summer Rating],[1]!Resources[COD],"&lt;="&amp;BE$77,[1]!Resources[Retirement Date],"&gt;="&amp;BE$77,[1]!Resources[Unique Key],$AI128,[1]!Resources[Availability '#],"&gt;="&amp;2)</f>
        <v>0</v>
      </c>
      <c r="BF128" s="6">
        <f>SUMIFS([1]!Resources[Summer Rating],[1]!Resources[COD],"&lt;="&amp;BF$77,[1]!Resources[Retirement Date],"&gt;="&amp;BF$77,[1]!Resources[Unique Key],$AI128,[1]!Resources[Availability '#],"&gt;="&amp;2)</f>
        <v>0</v>
      </c>
      <c r="BG128" s="6">
        <f>SUMIFS([1]!Resources[Summer Rating],[1]!Resources[COD],"&lt;="&amp;BG$77,[1]!Resources[Retirement Date],"&gt;="&amp;BG$77,[1]!Resources[Unique Key],$AI128,[1]!Resources[Availability '#],"&gt;="&amp;2)</f>
        <v>0</v>
      </c>
      <c r="BH128" s="6">
        <f>SUMIFS([1]!Resources[Summer Rating],[1]!Resources[COD],"&lt;="&amp;BH$77,[1]!Resources[Retirement Date],"&gt;="&amp;BH$77,[1]!Resources[Unique Key],$AI128,[1]!Resources[Availability '#],"&gt;="&amp;2)</f>
        <v>0</v>
      </c>
      <c r="BI128" s="6">
        <f>SUMIFS([1]!Resources[Summer Rating],[1]!Resources[COD],"&lt;="&amp;BI$77,[1]!Resources[Retirement Date],"&gt;="&amp;BI$77,[1]!Resources[Unique Key],$AI128,[1]!Resources[Availability '#],"&gt;="&amp;2)</f>
        <v>0</v>
      </c>
      <c r="BK128" s="5" t="s">
        <v>94</v>
      </c>
      <c r="BL128" s="20">
        <v>0</v>
      </c>
      <c r="BM128" s="20">
        <v>0</v>
      </c>
      <c r="BN128" s="20">
        <v>0</v>
      </c>
      <c r="BO128" s="20">
        <v>0</v>
      </c>
      <c r="BP128" s="20">
        <v>0</v>
      </c>
      <c r="BQ128" s="20">
        <v>0</v>
      </c>
      <c r="BR128" s="20">
        <v>0</v>
      </c>
      <c r="BS128" s="20">
        <v>0</v>
      </c>
      <c r="BT128" s="20">
        <v>0</v>
      </c>
      <c r="BU128" s="20">
        <v>0</v>
      </c>
      <c r="BV128" s="20">
        <v>0</v>
      </c>
      <c r="BW128" s="20">
        <v>0</v>
      </c>
      <c r="BX128" s="20">
        <v>0</v>
      </c>
      <c r="BY128" s="20">
        <v>0</v>
      </c>
      <c r="BZ128" s="20">
        <v>0</v>
      </c>
      <c r="CA128" s="20">
        <v>0</v>
      </c>
      <c r="CB128" s="20">
        <v>0</v>
      </c>
      <c r="CC128" s="20">
        <v>0</v>
      </c>
      <c r="CD128" s="20">
        <v>0</v>
      </c>
      <c r="CE128" s="20">
        <v>0</v>
      </c>
      <c r="CF128" s="20">
        <v>0</v>
      </c>
      <c r="CG128" s="20">
        <v>0</v>
      </c>
      <c r="CH128" s="20">
        <v>0</v>
      </c>
      <c r="CI128" s="20">
        <v>0</v>
      </c>
      <c r="CJ128" s="20">
        <v>0</v>
      </c>
      <c r="CK128" s="20">
        <v>0</v>
      </c>
      <c r="CM128" s="5" t="s">
        <v>94</v>
      </c>
      <c r="CN128" s="21">
        <v>0</v>
      </c>
      <c r="CO128" s="22">
        <v>0</v>
      </c>
      <c r="CP128" s="22">
        <v>0</v>
      </c>
      <c r="CQ128" s="22">
        <v>0</v>
      </c>
      <c r="CR128" s="22">
        <v>0</v>
      </c>
      <c r="CS128" s="22">
        <v>0</v>
      </c>
      <c r="CT128" s="22">
        <v>0</v>
      </c>
      <c r="CU128" s="22">
        <v>0</v>
      </c>
      <c r="CV128" s="22">
        <v>0</v>
      </c>
      <c r="CW128" s="22">
        <v>0</v>
      </c>
      <c r="CX128" s="22">
        <v>0</v>
      </c>
      <c r="CY128" s="22">
        <v>0</v>
      </c>
      <c r="CZ128" s="22">
        <v>0</v>
      </c>
      <c r="DA128" s="22">
        <v>0</v>
      </c>
      <c r="DB128" s="22">
        <v>0</v>
      </c>
      <c r="DC128" s="22">
        <v>0</v>
      </c>
      <c r="DD128" s="22">
        <v>0</v>
      </c>
      <c r="DE128" s="22">
        <v>0</v>
      </c>
      <c r="DF128" s="22">
        <v>0</v>
      </c>
      <c r="DG128" s="22">
        <v>0</v>
      </c>
      <c r="DH128" s="22">
        <v>0</v>
      </c>
      <c r="DI128" s="22">
        <v>0</v>
      </c>
      <c r="DJ128" s="22">
        <v>0</v>
      </c>
      <c r="DK128" s="22">
        <v>0</v>
      </c>
      <c r="DL128" s="22">
        <v>0</v>
      </c>
      <c r="DM128" s="22">
        <v>0</v>
      </c>
      <c r="DO128" s="5" t="s">
        <v>94</v>
      </c>
      <c r="DP128" s="23">
        <v>0</v>
      </c>
      <c r="DQ128" s="23">
        <v>0</v>
      </c>
      <c r="DR128" s="23">
        <v>0</v>
      </c>
      <c r="DS128" s="23">
        <v>0</v>
      </c>
      <c r="DT128" s="23">
        <v>0</v>
      </c>
      <c r="DU128" s="23">
        <v>0</v>
      </c>
      <c r="DV128" s="23">
        <v>0</v>
      </c>
      <c r="DW128" s="23">
        <v>0</v>
      </c>
      <c r="DX128" s="23">
        <v>0</v>
      </c>
      <c r="DY128" s="23">
        <v>0</v>
      </c>
      <c r="DZ128" s="23">
        <v>0</v>
      </c>
      <c r="EA128" s="23">
        <v>0</v>
      </c>
      <c r="EB128" s="23">
        <v>0</v>
      </c>
      <c r="EC128" s="23">
        <v>0</v>
      </c>
      <c r="ED128" s="23">
        <v>0</v>
      </c>
      <c r="EE128" s="23">
        <v>0</v>
      </c>
      <c r="EF128" s="23">
        <v>0</v>
      </c>
      <c r="EG128" s="23">
        <v>0</v>
      </c>
      <c r="EH128" s="23">
        <v>0</v>
      </c>
      <c r="EI128" s="23">
        <v>0</v>
      </c>
      <c r="EJ128" s="23">
        <v>0</v>
      </c>
      <c r="EK128" s="23">
        <v>0</v>
      </c>
      <c r="EL128" s="23">
        <v>0</v>
      </c>
      <c r="EM128" s="23">
        <v>0</v>
      </c>
      <c r="EN128" s="23">
        <v>0</v>
      </c>
      <c r="EO128" s="23">
        <v>0</v>
      </c>
      <c r="EP128" s="24">
        <f>IFERROR(INDEX('[1]GenX Resources'!$AP$10:$AP$46,MATCH(DO128,'[1]GenX Resources'!$B$10:$B$46,0)),0)</f>
        <v>0</v>
      </c>
      <c r="EQ128" s="2" t="b">
        <f t="shared" si="35"/>
        <v>1</v>
      </c>
      <c r="ES128" s="25">
        <f>IFERROR(INDEX('[1]GenX Resources'!$AD:$AD,MATCH($G128,'[1]GenX Resources'!$B:$B,0)) - IF(OR(INDEX('[1]GenX Resources'!$L:$L,MATCH($G128,'[1]GenX Resources'!$B:$B,0)),ISNUMBER(SEARCH("New Generic",$G128))),0,INDEX('[1]GenX Resources'!$M:$M,MATCH($G128,'[1]GenX Resources'!$B:$B,0))),0)</f>
        <v>33756.929308975377</v>
      </c>
      <c r="EU128" s="5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</row>
    <row r="129" spans="6:177" ht="16" x14ac:dyDescent="0.2">
      <c r="F129" s="19" t="str">
        <f>IFERROR(INDEX('[1]GenX Resources'!$A$10:$A$76,MATCH(G129,'[1]GenX Resources'!$B$10:$B$76,0)),"")</f>
        <v>Biogas</v>
      </c>
      <c r="G129" s="5" t="s">
        <v>95</v>
      </c>
      <c r="H129" s="6">
        <v>18.100000000000001</v>
      </c>
      <c r="I129" s="6">
        <v>18.100000000000001</v>
      </c>
      <c r="J129" s="6">
        <v>18.100000000000001</v>
      </c>
      <c r="K129" s="6">
        <v>18.100000000000001</v>
      </c>
      <c r="L129" s="6">
        <v>18.100000000000001</v>
      </c>
      <c r="M129" s="6">
        <v>18.100000000000001</v>
      </c>
      <c r="N129" s="6">
        <v>18.100000000000001</v>
      </c>
      <c r="O129" s="6">
        <v>18.100000000000001</v>
      </c>
      <c r="P129" s="6">
        <v>18.100000000000001</v>
      </c>
      <c r="Q129" s="6">
        <v>18.100000000000001</v>
      </c>
      <c r="R129" s="6">
        <v>18.100000000000001</v>
      </c>
      <c r="S129" s="6">
        <v>18.100000000000001</v>
      </c>
      <c r="T129" s="6">
        <v>18.100000000000001</v>
      </c>
      <c r="U129" s="6">
        <v>18.100000000000001</v>
      </c>
      <c r="V129" s="6">
        <v>18.100000000000001</v>
      </c>
      <c r="W129" s="6">
        <v>18.100000000000001</v>
      </c>
      <c r="X129" s="6">
        <v>18.100000000000001</v>
      </c>
      <c r="Y129" s="6">
        <v>18.100000000000001</v>
      </c>
      <c r="Z129" s="6">
        <v>18.100000000000001</v>
      </c>
      <c r="AA129" s="6">
        <v>18.100000000000001</v>
      </c>
      <c r="AB129" s="6">
        <v>18.100000000000001</v>
      </c>
      <c r="AC129" s="6">
        <v>18.100000000000001</v>
      </c>
      <c r="AD129" s="6">
        <v>18.100000000000001</v>
      </c>
      <c r="AE129" s="6">
        <v>18.100000000000001</v>
      </c>
      <c r="AF129" s="6">
        <v>18.100000000000001</v>
      </c>
      <c r="AG129" s="6">
        <v>18.100000000000001</v>
      </c>
      <c r="AI129" s="5" t="s">
        <v>95</v>
      </c>
      <c r="AJ129" s="6">
        <f>SUMIFS([1]!Resources[Summer Rating],[1]!Resources[COD],"&lt;="&amp;AJ$77,[1]!Resources[Retirement Date],"&gt;="&amp;AJ$77,[1]!Resources[Unique Key],$AI129,[1]!Resources[Availability '#],"&gt;="&amp;2)</f>
        <v>0</v>
      </c>
      <c r="AK129" s="6">
        <f>SUMIFS([1]!Resources[Summer Rating],[1]!Resources[COD],"&lt;="&amp;AK$77,[1]!Resources[Retirement Date],"&gt;="&amp;AK$77,[1]!Resources[Unique Key],$AI129,[1]!Resources[Availability '#],"&gt;="&amp;2)</f>
        <v>0</v>
      </c>
      <c r="AL129" s="6">
        <f>SUMIFS([1]!Resources[Summer Rating],[1]!Resources[COD],"&lt;="&amp;AL$77,[1]!Resources[Retirement Date],"&gt;="&amp;AL$77,[1]!Resources[Unique Key],$AI129,[1]!Resources[Availability '#],"&gt;="&amp;2)</f>
        <v>0</v>
      </c>
      <c r="AM129" s="6">
        <f>SUMIFS([1]!Resources[Summer Rating],[1]!Resources[COD],"&lt;="&amp;AM$77,[1]!Resources[Retirement Date],"&gt;="&amp;AM$77,[1]!Resources[Unique Key],$AI129,[1]!Resources[Availability '#],"&gt;="&amp;2)</f>
        <v>0</v>
      </c>
      <c r="AN129" s="6">
        <f>SUMIFS([1]!Resources[Summer Rating],[1]!Resources[COD],"&lt;="&amp;AN$77,[1]!Resources[Retirement Date],"&gt;="&amp;AN$77,[1]!Resources[Unique Key],$AI129,[1]!Resources[Availability '#],"&gt;="&amp;2)</f>
        <v>0</v>
      </c>
      <c r="AO129" s="6">
        <f>SUMIFS([1]!Resources[Summer Rating],[1]!Resources[COD],"&lt;="&amp;AO$77,[1]!Resources[Retirement Date],"&gt;="&amp;AO$77,[1]!Resources[Unique Key],$AI129,[1]!Resources[Availability '#],"&gt;="&amp;2)</f>
        <v>0</v>
      </c>
      <c r="AP129" s="6">
        <f>SUMIFS([1]!Resources[Summer Rating],[1]!Resources[COD],"&lt;="&amp;AP$77,[1]!Resources[Retirement Date],"&gt;="&amp;AP$77,[1]!Resources[Unique Key],$AI129,[1]!Resources[Availability '#],"&gt;="&amp;2)</f>
        <v>0</v>
      </c>
      <c r="AQ129" s="6">
        <f>SUMIFS([1]!Resources[Summer Rating],[1]!Resources[COD],"&lt;="&amp;AQ$77,[1]!Resources[Retirement Date],"&gt;="&amp;AQ$77,[1]!Resources[Unique Key],$AI129,[1]!Resources[Availability '#],"&gt;="&amp;2)</f>
        <v>0</v>
      </c>
      <c r="AR129" s="6">
        <f>SUMIFS([1]!Resources[Summer Rating],[1]!Resources[COD],"&lt;="&amp;AR$77,[1]!Resources[Retirement Date],"&gt;="&amp;AR$77,[1]!Resources[Unique Key],$AI129,[1]!Resources[Availability '#],"&gt;="&amp;2)</f>
        <v>0</v>
      </c>
      <c r="AS129" s="6">
        <f>SUMIFS([1]!Resources[Summer Rating],[1]!Resources[COD],"&lt;="&amp;AS$77,[1]!Resources[Retirement Date],"&gt;="&amp;AS$77,[1]!Resources[Unique Key],$AI129,[1]!Resources[Availability '#],"&gt;="&amp;2)</f>
        <v>0</v>
      </c>
      <c r="AT129" s="6">
        <f>SUMIFS([1]!Resources[Summer Rating],[1]!Resources[COD],"&lt;="&amp;AT$77,[1]!Resources[Retirement Date],"&gt;="&amp;AT$77,[1]!Resources[Unique Key],$AI129,[1]!Resources[Availability '#],"&gt;="&amp;2)</f>
        <v>0</v>
      </c>
      <c r="AU129" s="6">
        <f>SUMIFS([1]!Resources[Summer Rating],[1]!Resources[COD],"&lt;="&amp;AU$77,[1]!Resources[Retirement Date],"&gt;="&amp;AU$77,[1]!Resources[Unique Key],$AI129,[1]!Resources[Availability '#],"&gt;="&amp;2)</f>
        <v>0</v>
      </c>
      <c r="AV129" s="6">
        <f>SUMIFS([1]!Resources[Summer Rating],[1]!Resources[COD],"&lt;="&amp;AV$77,[1]!Resources[Retirement Date],"&gt;="&amp;AV$77,[1]!Resources[Unique Key],$AI129,[1]!Resources[Availability '#],"&gt;="&amp;2)</f>
        <v>0</v>
      </c>
      <c r="AW129" s="6">
        <f>SUMIFS([1]!Resources[Summer Rating],[1]!Resources[COD],"&lt;="&amp;AW$77,[1]!Resources[Retirement Date],"&gt;="&amp;AW$77,[1]!Resources[Unique Key],$AI129,[1]!Resources[Availability '#],"&gt;="&amp;2)</f>
        <v>0</v>
      </c>
      <c r="AX129" s="6">
        <f>SUMIFS([1]!Resources[Summer Rating],[1]!Resources[COD],"&lt;="&amp;AX$77,[1]!Resources[Retirement Date],"&gt;="&amp;AX$77,[1]!Resources[Unique Key],$AI129,[1]!Resources[Availability '#],"&gt;="&amp;2)</f>
        <v>0</v>
      </c>
      <c r="AY129" s="6">
        <f>SUMIFS([1]!Resources[Summer Rating],[1]!Resources[COD],"&lt;="&amp;AY$77,[1]!Resources[Retirement Date],"&gt;="&amp;AY$77,[1]!Resources[Unique Key],$AI129,[1]!Resources[Availability '#],"&gt;="&amp;2)</f>
        <v>0</v>
      </c>
      <c r="AZ129" s="6">
        <f>SUMIFS([1]!Resources[Summer Rating],[1]!Resources[COD],"&lt;="&amp;AZ$77,[1]!Resources[Retirement Date],"&gt;="&amp;AZ$77,[1]!Resources[Unique Key],$AI129,[1]!Resources[Availability '#],"&gt;="&amp;2)</f>
        <v>0</v>
      </c>
      <c r="BA129" s="6">
        <f>SUMIFS([1]!Resources[Summer Rating],[1]!Resources[COD],"&lt;="&amp;BA$77,[1]!Resources[Retirement Date],"&gt;="&amp;BA$77,[1]!Resources[Unique Key],$AI129,[1]!Resources[Availability '#],"&gt;="&amp;2)</f>
        <v>0</v>
      </c>
      <c r="BB129" s="6">
        <f>SUMIFS([1]!Resources[Summer Rating],[1]!Resources[COD],"&lt;="&amp;BB$77,[1]!Resources[Retirement Date],"&gt;="&amp;BB$77,[1]!Resources[Unique Key],$AI129,[1]!Resources[Availability '#],"&gt;="&amp;2)</f>
        <v>0</v>
      </c>
      <c r="BC129" s="6">
        <f>SUMIFS([1]!Resources[Summer Rating],[1]!Resources[COD],"&lt;="&amp;BC$77,[1]!Resources[Retirement Date],"&gt;="&amp;BC$77,[1]!Resources[Unique Key],$AI129,[1]!Resources[Availability '#],"&gt;="&amp;2)</f>
        <v>0</v>
      </c>
      <c r="BD129" s="6">
        <f>SUMIFS([1]!Resources[Summer Rating],[1]!Resources[COD],"&lt;="&amp;BD$77,[1]!Resources[Retirement Date],"&gt;="&amp;BD$77,[1]!Resources[Unique Key],$AI129,[1]!Resources[Availability '#],"&gt;="&amp;2)</f>
        <v>0</v>
      </c>
      <c r="BE129" s="6">
        <f>SUMIFS([1]!Resources[Summer Rating],[1]!Resources[COD],"&lt;="&amp;BE$77,[1]!Resources[Retirement Date],"&gt;="&amp;BE$77,[1]!Resources[Unique Key],$AI129,[1]!Resources[Availability '#],"&gt;="&amp;2)</f>
        <v>0</v>
      </c>
      <c r="BF129" s="6">
        <f>SUMIFS([1]!Resources[Summer Rating],[1]!Resources[COD],"&lt;="&amp;BF$77,[1]!Resources[Retirement Date],"&gt;="&amp;BF$77,[1]!Resources[Unique Key],$AI129,[1]!Resources[Availability '#],"&gt;="&amp;2)</f>
        <v>0</v>
      </c>
      <c r="BG129" s="6">
        <f>SUMIFS([1]!Resources[Summer Rating],[1]!Resources[COD],"&lt;="&amp;BG$77,[1]!Resources[Retirement Date],"&gt;="&amp;BG$77,[1]!Resources[Unique Key],$AI129,[1]!Resources[Availability '#],"&gt;="&amp;2)</f>
        <v>0</v>
      </c>
      <c r="BH129" s="6">
        <f>SUMIFS([1]!Resources[Summer Rating],[1]!Resources[COD],"&lt;="&amp;BH$77,[1]!Resources[Retirement Date],"&gt;="&amp;BH$77,[1]!Resources[Unique Key],$AI129,[1]!Resources[Availability '#],"&gt;="&amp;2)</f>
        <v>0</v>
      </c>
      <c r="BI129" s="6">
        <f>SUMIFS([1]!Resources[Summer Rating],[1]!Resources[COD],"&lt;="&amp;BI$77,[1]!Resources[Retirement Date],"&gt;="&amp;BI$77,[1]!Resources[Unique Key],$AI129,[1]!Resources[Availability '#],"&gt;="&amp;2)</f>
        <v>0</v>
      </c>
      <c r="BK129" s="5" t="s">
        <v>95</v>
      </c>
      <c r="BL129" s="20">
        <v>0.111</v>
      </c>
      <c r="BM129" s="20">
        <v>0.111</v>
      </c>
      <c r="BN129" s="20">
        <v>0.111</v>
      </c>
      <c r="BO129" s="20">
        <v>0.111</v>
      </c>
      <c r="BP129" s="20">
        <v>0.111</v>
      </c>
      <c r="BQ129" s="20">
        <v>0.111</v>
      </c>
      <c r="BR129" s="20">
        <v>0.111</v>
      </c>
      <c r="BS129" s="20">
        <v>0.111</v>
      </c>
      <c r="BT129" s="20">
        <v>0.111</v>
      </c>
      <c r="BU129" s="20">
        <v>0.111</v>
      </c>
      <c r="BV129" s="20">
        <v>0.111</v>
      </c>
      <c r="BW129" s="20">
        <v>0.111</v>
      </c>
      <c r="BX129" s="20">
        <v>0.111</v>
      </c>
      <c r="BY129" s="20">
        <v>0.111</v>
      </c>
      <c r="BZ129" s="20">
        <v>0.111</v>
      </c>
      <c r="CA129" s="20">
        <v>0.111</v>
      </c>
      <c r="CB129" s="20">
        <v>0.111</v>
      </c>
      <c r="CC129" s="20">
        <v>0.111</v>
      </c>
      <c r="CD129" s="20">
        <v>0.111</v>
      </c>
      <c r="CE129" s="20">
        <v>0.111</v>
      </c>
      <c r="CF129" s="20">
        <v>0.111</v>
      </c>
      <c r="CG129" s="20">
        <v>0.111</v>
      </c>
      <c r="CH129" s="20">
        <v>0.111</v>
      </c>
      <c r="CI129" s="20">
        <v>0.111</v>
      </c>
      <c r="CJ129" s="20">
        <v>0.111</v>
      </c>
      <c r="CK129" s="20">
        <v>0.111</v>
      </c>
      <c r="CM129" s="5" t="s">
        <v>95</v>
      </c>
      <c r="CN129" s="21">
        <v>0</v>
      </c>
      <c r="CO129" s="22">
        <v>0</v>
      </c>
      <c r="CP129" s="22">
        <v>0</v>
      </c>
      <c r="CQ129" s="22">
        <v>0</v>
      </c>
      <c r="CR129" s="22">
        <v>0</v>
      </c>
      <c r="CS129" s="22">
        <v>0</v>
      </c>
      <c r="CT129" s="22">
        <v>0</v>
      </c>
      <c r="CU129" s="22">
        <v>0</v>
      </c>
      <c r="CV129" s="22">
        <v>0</v>
      </c>
      <c r="CW129" s="22">
        <v>0</v>
      </c>
      <c r="CX129" s="22">
        <v>0</v>
      </c>
      <c r="CY129" s="22">
        <v>0</v>
      </c>
      <c r="CZ129" s="22">
        <v>0</v>
      </c>
      <c r="DA129" s="22">
        <v>0</v>
      </c>
      <c r="DB129" s="22">
        <v>0</v>
      </c>
      <c r="DC129" s="22">
        <v>0</v>
      </c>
      <c r="DD129" s="22">
        <v>0</v>
      </c>
      <c r="DE129" s="22">
        <v>0</v>
      </c>
      <c r="DF129" s="22">
        <v>0</v>
      </c>
      <c r="DG129" s="22">
        <v>0</v>
      </c>
      <c r="DH129" s="22">
        <v>0</v>
      </c>
      <c r="DI129" s="22">
        <v>0</v>
      </c>
      <c r="DJ129" s="22">
        <v>0</v>
      </c>
      <c r="DK129" s="22">
        <v>0</v>
      </c>
      <c r="DL129" s="22">
        <v>0</v>
      </c>
      <c r="DM129" s="22">
        <v>0</v>
      </c>
      <c r="DO129" s="5" t="s">
        <v>95</v>
      </c>
      <c r="DP129" s="23">
        <v>0.7</v>
      </c>
      <c r="DQ129" s="23">
        <v>0.7</v>
      </c>
      <c r="DR129" s="23">
        <v>0.7</v>
      </c>
      <c r="DS129" s="23">
        <v>0.7</v>
      </c>
      <c r="DT129" s="23">
        <v>0.7</v>
      </c>
      <c r="DU129" s="23">
        <v>0.7</v>
      </c>
      <c r="DV129" s="23">
        <v>0.7</v>
      </c>
      <c r="DW129" s="23">
        <v>0.7</v>
      </c>
      <c r="DX129" s="23">
        <v>0.7</v>
      </c>
      <c r="DY129" s="23">
        <v>0.7</v>
      </c>
      <c r="DZ129" s="23">
        <v>0.7</v>
      </c>
      <c r="EA129" s="23">
        <v>0.7</v>
      </c>
      <c r="EB129" s="23">
        <v>0.7</v>
      </c>
      <c r="EC129" s="23">
        <v>0.7</v>
      </c>
      <c r="ED129" s="23">
        <v>0.7</v>
      </c>
      <c r="EE129" s="23">
        <v>0.7</v>
      </c>
      <c r="EF129" s="23">
        <v>0.7</v>
      </c>
      <c r="EG129" s="23">
        <v>0.7</v>
      </c>
      <c r="EH129" s="23">
        <v>0.7</v>
      </c>
      <c r="EI129" s="23">
        <v>0.7</v>
      </c>
      <c r="EJ129" s="23">
        <v>0.7</v>
      </c>
      <c r="EK129" s="23">
        <v>0.7</v>
      </c>
      <c r="EL129" s="23">
        <v>0.7</v>
      </c>
      <c r="EM129" s="23">
        <v>0.7</v>
      </c>
      <c r="EN129" s="23">
        <v>0.7</v>
      </c>
      <c r="EO129" s="23">
        <v>0.7</v>
      </c>
      <c r="EP129" s="24">
        <f>IFERROR(INDEX('[1]GenX Resources'!$AP$10:$AP$46,MATCH(DO129,'[1]GenX Resources'!$B$10:$B$46,0)),0)</f>
        <v>0</v>
      </c>
      <c r="EQ129" s="2" t="b">
        <f t="shared" si="35"/>
        <v>1</v>
      </c>
      <c r="ES129" s="25">
        <f ca="1">IFERROR(INDEX('[1]GenX Resources'!$AD:$AD,MATCH($G129,'[1]GenX Resources'!$B:$B,0)) - IF(OR(INDEX('[1]GenX Resources'!$L:$L,MATCH($G129,'[1]GenX Resources'!$B:$B,0)),ISNUMBER(SEARCH("New Generic",$G129))),0,INDEX('[1]GenX Resources'!$M:$M,MATCH($G129,'[1]GenX Resources'!$B:$B,0))),0)</f>
        <v>164000</v>
      </c>
      <c r="EU129" s="5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</row>
    <row r="130" spans="6:177" ht="16" x14ac:dyDescent="0.2">
      <c r="F130" s="19" t="str">
        <f>IFERROR(INDEX('[1]GenX Resources'!$A$10:$A$76,MATCH(G130,'[1]GenX Resources'!$B$10:$B$76,0)),"")</f>
        <v/>
      </c>
      <c r="G130" s="5" t="s">
        <v>25</v>
      </c>
      <c r="H130" s="6">
        <v>14126.69</v>
      </c>
      <c r="I130" s="6">
        <v>14500.69</v>
      </c>
      <c r="J130" s="6">
        <v>15715.69</v>
      </c>
      <c r="K130" s="6">
        <v>17377.689999999999</v>
      </c>
      <c r="L130" s="6">
        <v>17827.689999999999</v>
      </c>
      <c r="M130" s="6">
        <v>18672.689999999999</v>
      </c>
      <c r="N130" s="6">
        <v>19467.689999999999</v>
      </c>
      <c r="O130" s="6">
        <v>19402.689999999999</v>
      </c>
      <c r="P130" s="6">
        <v>19452.689999999999</v>
      </c>
      <c r="Q130" s="6">
        <v>19452.689999999999</v>
      </c>
      <c r="R130" s="6">
        <v>20502.689999999999</v>
      </c>
      <c r="S130" s="6">
        <v>19272.689999999999</v>
      </c>
      <c r="T130" s="6">
        <v>19272.689999999999</v>
      </c>
      <c r="U130" s="6">
        <v>19272.689999999999</v>
      </c>
      <c r="V130" s="6">
        <v>19986.689999999999</v>
      </c>
      <c r="W130" s="6">
        <v>19986.689999999999</v>
      </c>
      <c r="X130" s="6">
        <v>19986.689999999999</v>
      </c>
      <c r="Y130" s="6">
        <v>19691.689999999999</v>
      </c>
      <c r="Z130" s="6">
        <v>19691.689999999999</v>
      </c>
      <c r="AA130" s="6">
        <v>19691.689999999999</v>
      </c>
      <c r="AB130" s="6">
        <v>19691.689999999999</v>
      </c>
      <c r="AC130" s="6">
        <v>19691.689999999999</v>
      </c>
      <c r="AD130" s="6">
        <v>19691.689999999999</v>
      </c>
      <c r="AE130" s="6">
        <v>19691.689999999999</v>
      </c>
      <c r="AF130" s="6">
        <v>19691.689999999999</v>
      </c>
      <c r="AG130" s="6">
        <v>19691.689999999999</v>
      </c>
      <c r="AI130" s="5" t="s">
        <v>25</v>
      </c>
      <c r="AJ130" s="6">
        <f>SUMIFS([1]!Resources[Summer Rating],[1]!Resources[COD],"&lt;="&amp;AJ$77,[1]!Resources[Retirement Date],"&gt;="&amp;AJ$77,[1]!Resources[Unique Key],$AI130,[1]!Resources[Availability '#],"&gt;="&amp;2)</f>
        <v>0</v>
      </c>
      <c r="AK130" s="6">
        <f>SUMIFS([1]!Resources[Summer Rating],[1]!Resources[COD],"&lt;="&amp;AK$77,[1]!Resources[Retirement Date],"&gt;="&amp;AK$77,[1]!Resources[Unique Key],$AI130,[1]!Resources[Availability '#],"&gt;="&amp;2)</f>
        <v>0</v>
      </c>
      <c r="AL130" s="6">
        <f>SUMIFS([1]!Resources[Summer Rating],[1]!Resources[COD],"&lt;="&amp;AL$77,[1]!Resources[Retirement Date],"&gt;="&amp;AL$77,[1]!Resources[Unique Key],$AI130,[1]!Resources[Availability '#],"&gt;="&amp;2)</f>
        <v>0</v>
      </c>
      <c r="AM130" s="6">
        <f>SUMIFS([1]!Resources[Summer Rating],[1]!Resources[COD],"&lt;="&amp;AM$77,[1]!Resources[Retirement Date],"&gt;="&amp;AM$77,[1]!Resources[Unique Key],$AI130,[1]!Resources[Availability '#],"&gt;="&amp;2)</f>
        <v>0</v>
      </c>
      <c r="AN130" s="6">
        <f>SUMIFS([1]!Resources[Summer Rating],[1]!Resources[COD],"&lt;="&amp;AN$77,[1]!Resources[Retirement Date],"&gt;="&amp;AN$77,[1]!Resources[Unique Key],$AI130,[1]!Resources[Availability '#],"&gt;="&amp;2)</f>
        <v>0</v>
      </c>
      <c r="AO130" s="6">
        <f>SUMIFS([1]!Resources[Summer Rating],[1]!Resources[COD],"&lt;="&amp;AO$77,[1]!Resources[Retirement Date],"&gt;="&amp;AO$77,[1]!Resources[Unique Key],$AI130,[1]!Resources[Availability '#],"&gt;="&amp;2)</f>
        <v>0</v>
      </c>
      <c r="AP130" s="6">
        <f>SUMIFS([1]!Resources[Summer Rating],[1]!Resources[COD],"&lt;="&amp;AP$77,[1]!Resources[Retirement Date],"&gt;="&amp;AP$77,[1]!Resources[Unique Key],$AI130,[1]!Resources[Availability '#],"&gt;="&amp;2)</f>
        <v>0</v>
      </c>
      <c r="AQ130" s="6">
        <f>SUMIFS([1]!Resources[Summer Rating],[1]!Resources[COD],"&lt;="&amp;AQ$77,[1]!Resources[Retirement Date],"&gt;="&amp;AQ$77,[1]!Resources[Unique Key],$AI130,[1]!Resources[Availability '#],"&gt;="&amp;2)</f>
        <v>0</v>
      </c>
      <c r="AR130" s="6">
        <f>SUMIFS([1]!Resources[Summer Rating],[1]!Resources[COD],"&lt;="&amp;AR$77,[1]!Resources[Retirement Date],"&gt;="&amp;AR$77,[1]!Resources[Unique Key],$AI130,[1]!Resources[Availability '#],"&gt;="&amp;2)</f>
        <v>0</v>
      </c>
      <c r="AS130" s="6">
        <f>SUMIFS([1]!Resources[Summer Rating],[1]!Resources[COD],"&lt;="&amp;AS$77,[1]!Resources[Retirement Date],"&gt;="&amp;AS$77,[1]!Resources[Unique Key],$AI130,[1]!Resources[Availability '#],"&gt;="&amp;2)</f>
        <v>0</v>
      </c>
      <c r="AT130" s="6">
        <f>SUMIFS([1]!Resources[Summer Rating],[1]!Resources[COD],"&lt;="&amp;AT$77,[1]!Resources[Retirement Date],"&gt;="&amp;AT$77,[1]!Resources[Unique Key],$AI130,[1]!Resources[Availability '#],"&gt;="&amp;2)</f>
        <v>0</v>
      </c>
      <c r="AU130" s="6">
        <f>SUMIFS([1]!Resources[Summer Rating],[1]!Resources[COD],"&lt;="&amp;AU$77,[1]!Resources[Retirement Date],"&gt;="&amp;AU$77,[1]!Resources[Unique Key],$AI130,[1]!Resources[Availability '#],"&gt;="&amp;2)</f>
        <v>0</v>
      </c>
      <c r="AV130" s="6">
        <f>SUMIFS([1]!Resources[Summer Rating],[1]!Resources[COD],"&lt;="&amp;AV$77,[1]!Resources[Retirement Date],"&gt;="&amp;AV$77,[1]!Resources[Unique Key],$AI130,[1]!Resources[Availability '#],"&gt;="&amp;2)</f>
        <v>0</v>
      </c>
      <c r="AW130" s="6">
        <f>SUMIFS([1]!Resources[Summer Rating],[1]!Resources[COD],"&lt;="&amp;AW$77,[1]!Resources[Retirement Date],"&gt;="&amp;AW$77,[1]!Resources[Unique Key],$AI130,[1]!Resources[Availability '#],"&gt;="&amp;2)</f>
        <v>0</v>
      </c>
      <c r="AX130" s="6">
        <f>SUMIFS([1]!Resources[Summer Rating],[1]!Resources[COD],"&lt;="&amp;AX$77,[1]!Resources[Retirement Date],"&gt;="&amp;AX$77,[1]!Resources[Unique Key],$AI130,[1]!Resources[Availability '#],"&gt;="&amp;2)</f>
        <v>0</v>
      </c>
      <c r="AY130" s="6">
        <f>SUMIFS([1]!Resources[Summer Rating],[1]!Resources[COD],"&lt;="&amp;AY$77,[1]!Resources[Retirement Date],"&gt;="&amp;AY$77,[1]!Resources[Unique Key],$AI130,[1]!Resources[Availability '#],"&gt;="&amp;2)</f>
        <v>0</v>
      </c>
      <c r="AZ130" s="6">
        <f>SUMIFS([1]!Resources[Summer Rating],[1]!Resources[COD],"&lt;="&amp;AZ$77,[1]!Resources[Retirement Date],"&gt;="&amp;AZ$77,[1]!Resources[Unique Key],$AI130,[1]!Resources[Availability '#],"&gt;="&amp;2)</f>
        <v>0</v>
      </c>
      <c r="BA130" s="6">
        <f>SUMIFS([1]!Resources[Summer Rating],[1]!Resources[COD],"&lt;="&amp;BA$77,[1]!Resources[Retirement Date],"&gt;="&amp;BA$77,[1]!Resources[Unique Key],$AI130,[1]!Resources[Availability '#],"&gt;="&amp;2)</f>
        <v>0</v>
      </c>
      <c r="BB130" s="6">
        <f>SUMIFS([1]!Resources[Summer Rating],[1]!Resources[COD],"&lt;="&amp;BB$77,[1]!Resources[Retirement Date],"&gt;="&amp;BB$77,[1]!Resources[Unique Key],$AI130,[1]!Resources[Availability '#],"&gt;="&amp;2)</f>
        <v>0</v>
      </c>
      <c r="BC130" s="6">
        <f>SUMIFS([1]!Resources[Summer Rating],[1]!Resources[COD],"&lt;="&amp;BC$77,[1]!Resources[Retirement Date],"&gt;="&amp;BC$77,[1]!Resources[Unique Key],$AI130,[1]!Resources[Availability '#],"&gt;="&amp;2)</f>
        <v>0</v>
      </c>
      <c r="BD130" s="6">
        <f>SUMIFS([1]!Resources[Summer Rating],[1]!Resources[COD],"&lt;="&amp;BD$77,[1]!Resources[Retirement Date],"&gt;="&amp;BD$77,[1]!Resources[Unique Key],$AI130,[1]!Resources[Availability '#],"&gt;="&amp;2)</f>
        <v>0</v>
      </c>
      <c r="BE130" s="6">
        <f>SUMIFS([1]!Resources[Summer Rating],[1]!Resources[COD],"&lt;="&amp;BE$77,[1]!Resources[Retirement Date],"&gt;="&amp;BE$77,[1]!Resources[Unique Key],$AI130,[1]!Resources[Availability '#],"&gt;="&amp;2)</f>
        <v>0</v>
      </c>
      <c r="BF130" s="6">
        <f>SUMIFS([1]!Resources[Summer Rating],[1]!Resources[COD],"&lt;="&amp;BF$77,[1]!Resources[Retirement Date],"&gt;="&amp;BF$77,[1]!Resources[Unique Key],$AI130,[1]!Resources[Availability '#],"&gt;="&amp;2)</f>
        <v>0</v>
      </c>
      <c r="BG130" s="6">
        <f>SUMIFS([1]!Resources[Summer Rating],[1]!Resources[COD],"&lt;="&amp;BG$77,[1]!Resources[Retirement Date],"&gt;="&amp;BG$77,[1]!Resources[Unique Key],$AI130,[1]!Resources[Availability '#],"&gt;="&amp;2)</f>
        <v>0</v>
      </c>
      <c r="BH130" s="6">
        <f>SUMIFS([1]!Resources[Summer Rating],[1]!Resources[COD],"&lt;="&amp;BH$77,[1]!Resources[Retirement Date],"&gt;="&amp;BH$77,[1]!Resources[Unique Key],$AI130,[1]!Resources[Availability '#],"&gt;="&amp;2)</f>
        <v>0</v>
      </c>
      <c r="BI130" s="6">
        <f>SUMIFS([1]!Resources[Summer Rating],[1]!Resources[COD],"&lt;="&amp;BI$77,[1]!Resources[Retirement Date],"&gt;="&amp;BI$77,[1]!Resources[Unique Key],$AI130,[1]!Resources[Availability '#],"&gt;="&amp;2)</f>
        <v>0</v>
      </c>
      <c r="BK130" s="5" t="s">
        <v>25</v>
      </c>
      <c r="BL130" s="20">
        <v>62.256999999999998</v>
      </c>
      <c r="BM130" s="20">
        <v>62.365000000000002</v>
      </c>
      <c r="BN130" s="20">
        <v>62.65</v>
      </c>
      <c r="BO130" s="20">
        <v>63.103999999999999</v>
      </c>
      <c r="BP130" s="20">
        <v>64.180000000000007</v>
      </c>
      <c r="BQ130" s="20">
        <v>66.69</v>
      </c>
      <c r="BR130" s="20">
        <v>68.903999999999996</v>
      </c>
      <c r="BS130" s="20">
        <v>69.712000000000003</v>
      </c>
      <c r="BT130" s="20">
        <v>69.668999999999997</v>
      </c>
      <c r="BU130" s="20">
        <v>69.545000000000002</v>
      </c>
      <c r="BV130" s="20">
        <v>69.957999999999998</v>
      </c>
      <c r="BW130" s="20">
        <v>69.715999999999994</v>
      </c>
      <c r="BX130" s="20">
        <v>70.149000000000001</v>
      </c>
      <c r="BY130" s="20">
        <v>70.126999999999995</v>
      </c>
      <c r="BZ130" s="20">
        <v>70.727000000000004</v>
      </c>
      <c r="CA130" s="20">
        <v>71.507000000000005</v>
      </c>
      <c r="CB130" s="20">
        <v>71.013000000000005</v>
      </c>
      <c r="CC130" s="20">
        <v>71.688000000000002</v>
      </c>
      <c r="CD130" s="20">
        <v>71.266999999999996</v>
      </c>
      <c r="CE130" s="20">
        <v>71.805000000000007</v>
      </c>
      <c r="CF130" s="20">
        <v>71.878</v>
      </c>
      <c r="CG130" s="20">
        <v>72.519000000000005</v>
      </c>
      <c r="CH130" s="20">
        <v>71.757000000000005</v>
      </c>
      <c r="CI130" s="20">
        <v>72.497</v>
      </c>
      <c r="CJ130" s="20">
        <v>72.688999999999993</v>
      </c>
      <c r="CK130" s="20">
        <v>72.765000000000001</v>
      </c>
      <c r="CM130" s="5" t="s">
        <v>25</v>
      </c>
      <c r="CN130" s="21">
        <v>47.570999999999998</v>
      </c>
      <c r="CO130" s="22">
        <v>46.887</v>
      </c>
      <c r="CP130" s="22">
        <v>45.097999999999999</v>
      </c>
      <c r="CQ130" s="22">
        <v>43.094999999999999</v>
      </c>
      <c r="CR130" s="22">
        <v>41.064</v>
      </c>
      <c r="CS130" s="22">
        <v>37.087000000000003</v>
      </c>
      <c r="CT130" s="22">
        <v>37.417000000000002</v>
      </c>
      <c r="CU130" s="22">
        <v>37.798999999999999</v>
      </c>
      <c r="CV130" s="22">
        <v>37.767000000000003</v>
      </c>
      <c r="CW130" s="22">
        <v>37.590000000000003</v>
      </c>
      <c r="CX130" s="22">
        <v>37.305999999999997</v>
      </c>
      <c r="CY130" s="22">
        <v>34.865000000000002</v>
      </c>
      <c r="CZ130" s="22">
        <v>35.183999999999997</v>
      </c>
      <c r="DA130" s="22">
        <v>35.151000000000003</v>
      </c>
      <c r="DB130" s="22">
        <v>34.340000000000003</v>
      </c>
      <c r="DC130" s="22">
        <v>34.770000000000003</v>
      </c>
      <c r="DD130" s="22">
        <v>34.554000000000002</v>
      </c>
      <c r="DE130" s="22">
        <v>35.134</v>
      </c>
      <c r="DF130" s="22">
        <v>34.783000000000001</v>
      </c>
      <c r="DG130" s="22">
        <v>35.121000000000002</v>
      </c>
      <c r="DH130" s="22">
        <v>35.195999999999998</v>
      </c>
      <c r="DI130" s="22">
        <v>35.65</v>
      </c>
      <c r="DJ130" s="22">
        <v>35.093000000000004</v>
      </c>
      <c r="DK130" s="22">
        <v>35.68</v>
      </c>
      <c r="DL130" s="22">
        <v>35.901000000000003</v>
      </c>
      <c r="DM130" s="22">
        <v>35.823</v>
      </c>
      <c r="DO130" s="5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4">
        <f>IFERROR(INDEX('[1]GenX Resources'!$AP$10:$AP$46,MATCH(DO130,'[1]GenX Resources'!$B$10:$B$46,0)),0)</f>
        <v>0</v>
      </c>
      <c r="EQ130" s="2" t="b">
        <f t="shared" si="35"/>
        <v>1</v>
      </c>
      <c r="ES130" s="25">
        <f>IFERROR(INDEX('[1]GenX Resources'!$AD:$AD,MATCH($G130,'[1]GenX Resources'!$B:$B,0)) - IF(OR(INDEX('[1]GenX Resources'!$L:$L,MATCH($G130,'[1]GenX Resources'!$B:$B,0)),ISNUMBER(SEARCH("New Generic",$G130))),0,INDEX('[1]GenX Resources'!$M:$M,MATCH($G130,'[1]GenX Resources'!$B:$B,0))),0)</f>
        <v>0</v>
      </c>
      <c r="EU130" s="5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</row>
    <row r="131" spans="6:177" ht="16" x14ac:dyDescent="0.2">
      <c r="F131" s="19" t="str">
        <f>IFERROR(INDEX('[1]GenX Resources'!$A$10:$A$76,MATCH(G131,'[1]GenX Resources'!$B$10:$B$76,0)),"")</f>
        <v/>
      </c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I131" s="5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K131" s="5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DO131" s="5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4">
        <f>IFERROR(INDEX('[1]GenX Resources'!$AP$10:$AP$46,MATCH(DO131,'[1]GenX Resources'!$B$10:$B$46,0)),0)</f>
        <v>0</v>
      </c>
      <c r="EQ131" s="2" t="b">
        <f t="shared" si="35"/>
        <v>1</v>
      </c>
      <c r="ES131" s="25">
        <f>IFERROR(INDEX('[1]GenX Resources'!$AD:$AD,MATCH($G131,'[1]GenX Resources'!$B:$B,0)) - IF(OR(INDEX('[1]GenX Resources'!$L:$L,MATCH($G131,'[1]GenX Resources'!$B:$B,0)),ISNUMBER(SEARCH("New Generic",$G131))),0,INDEX('[1]GenX Resources'!$M:$M,MATCH($G131,'[1]GenX Resources'!$B:$B,0))),0)</f>
        <v>0</v>
      </c>
      <c r="EU131" s="5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</row>
    <row r="132" spans="6:177" ht="16" x14ac:dyDescent="0.2">
      <c r="F132" s="19" t="str">
        <f>IFERROR(INDEX('[1]GenX Resources'!$A$10:$A$76,MATCH(G132,'[1]GenX Resources'!$B$10:$B$76,0)),"")</f>
        <v/>
      </c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I132" s="5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K132" s="5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DO132" s="5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4">
        <f>IFERROR(INDEX('[1]GenX Resources'!$AP$10:$AP$46,MATCH(DO132,'[1]GenX Resources'!$B$10:$B$46,0)),0)</f>
        <v>0</v>
      </c>
      <c r="EQ132" s="2" t="b">
        <f t="shared" si="35"/>
        <v>1</v>
      </c>
      <c r="ES132" s="25">
        <f>IFERROR(INDEX('[1]GenX Resources'!$AD:$AD,MATCH($G132,'[1]GenX Resources'!$B:$B,0)) - IF(OR(INDEX('[1]GenX Resources'!$L:$L,MATCH($G132,'[1]GenX Resources'!$B:$B,0)),ISNUMBER(SEARCH("New Generic",$G132))),0,INDEX('[1]GenX Resources'!$M:$M,MATCH($G132,'[1]GenX Resources'!$B:$B,0))),0)</f>
        <v>0</v>
      </c>
      <c r="EU132" s="5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</row>
    <row r="133" spans="6:177" ht="16" x14ac:dyDescent="0.2">
      <c r="F133" s="19" t="str">
        <f>IFERROR(INDEX('[1]GenX Resources'!$A$10:$A$76,MATCH(G133,'[1]GenX Resources'!$B$10:$B$76,0)),"")</f>
        <v/>
      </c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I133" s="5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K133" s="5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DO133" s="5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4">
        <f>IFERROR(INDEX('[1]GenX Resources'!$AP$10:$AP$46,MATCH(DO133,'[1]GenX Resources'!$B$10:$B$46,0)),0)</f>
        <v>0</v>
      </c>
      <c r="EQ133" s="2" t="b">
        <f t="shared" si="35"/>
        <v>1</v>
      </c>
      <c r="ES133" s="25">
        <f>IFERROR(INDEX('[1]GenX Resources'!$AD:$AD,MATCH($G133,'[1]GenX Resources'!$B:$B,0)) - IF(OR(INDEX('[1]GenX Resources'!$L:$L,MATCH($G133,'[1]GenX Resources'!$B:$B,0)),ISNUMBER(SEARCH("New Generic",$G133))),0,INDEX('[1]GenX Resources'!$M:$M,MATCH($G133,'[1]GenX Resources'!$B:$B,0))),0)</f>
        <v>0</v>
      </c>
      <c r="EU133" s="5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</row>
    <row r="134" spans="6:177" ht="16" x14ac:dyDescent="0.2">
      <c r="F134" s="19" t="str">
        <f>IFERROR(INDEX('[1]GenX Resources'!$A$10:$A$76,MATCH(G134,'[1]GenX Resources'!$B$10:$B$76,0)),"")</f>
        <v/>
      </c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I134" s="5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K134" s="5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DO134" s="5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4">
        <f>IFERROR(INDEX('[1]GenX Resources'!$AP$10:$AP$46,MATCH(DO134,'[1]GenX Resources'!$B$10:$B$46,0)),0)</f>
        <v>0</v>
      </c>
      <c r="EQ134" s="2" t="b">
        <f t="shared" si="35"/>
        <v>1</v>
      </c>
      <c r="ES134" s="25">
        <f>IFERROR(INDEX('[1]GenX Resources'!$AD:$AD,MATCH($G134,'[1]GenX Resources'!$B:$B,0)) - IF(OR(INDEX('[1]GenX Resources'!$L:$L,MATCH($G134,'[1]GenX Resources'!$B:$B,0)),ISNUMBER(SEARCH("New Generic",$G134))),0,INDEX('[1]GenX Resources'!$M:$M,MATCH($G134,'[1]GenX Resources'!$B:$B,0))),0)</f>
        <v>0</v>
      </c>
      <c r="EU134" s="5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</row>
    <row r="135" spans="6:177" ht="16" x14ac:dyDescent="0.2">
      <c r="F135" s="19" t="str">
        <f>IFERROR(INDEX('[1]GenX Resources'!$A$10:$A$76,MATCH(G135,'[1]GenX Resources'!$B$10:$B$76,0)),"")</f>
        <v/>
      </c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I135" s="5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K135" s="5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DO135" s="5"/>
      <c r="DP135" s="5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24">
        <f>IFERROR(INDEX('[1]GenX Resources'!$AP$10:$AP$46,MATCH(DO135,'[1]GenX Resources'!$B$10:$B$46,0)),0)</f>
        <v>0</v>
      </c>
      <c r="EQ135" s="2" t="b">
        <f t="shared" si="35"/>
        <v>1</v>
      </c>
      <c r="ES135" s="25">
        <f>IFERROR(INDEX('[1]GenX Resources'!$AD:$AD,MATCH($G135,'[1]GenX Resources'!$B:$B,0)) - IF(OR(INDEX('[1]GenX Resources'!$L:$L,MATCH($G135,'[1]GenX Resources'!$B:$B,0)),ISNUMBER(SEARCH("New Generic",$G135))),0,INDEX('[1]GenX Resources'!$M:$M,MATCH($G135,'[1]GenX Resources'!$B:$B,0))),0)</f>
        <v>0</v>
      </c>
      <c r="EU135" s="5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</row>
    <row r="137" spans="6:177" x14ac:dyDescent="0.2">
      <c r="BK137" s="18" t="s">
        <v>96</v>
      </c>
      <c r="BL137" s="2" t="s">
        <v>0</v>
      </c>
      <c r="BM137" s="2" t="s">
        <v>97</v>
      </c>
      <c r="BN137" s="2" t="s">
        <v>4</v>
      </c>
      <c r="BO137" s="2" t="s">
        <v>5</v>
      </c>
      <c r="BP137" s="2" t="s">
        <v>6</v>
      </c>
      <c r="BQ137" s="2" t="s">
        <v>7</v>
      </c>
      <c r="BR137" s="2" t="s">
        <v>8</v>
      </c>
      <c r="BS137" s="2" t="s">
        <v>98</v>
      </c>
      <c r="EU137" s="18"/>
    </row>
    <row r="138" spans="6:177" ht="16" x14ac:dyDescent="0.2">
      <c r="BK138" s="2" t="s">
        <v>99</v>
      </c>
      <c r="BL138" s="26">
        <f t="shared" ref="BL138:BR144" si="36">SUMIFS($BL$78:$BL$135,$BK$78:$BK$135,$BK138,$F$78:$F$135,BL$137)</f>
        <v>2.3010000000000002</v>
      </c>
      <c r="BM138" s="26">
        <f t="shared" si="36"/>
        <v>3.097</v>
      </c>
      <c r="BN138" s="26">
        <f t="shared" si="36"/>
        <v>0</v>
      </c>
      <c r="BO138" s="26">
        <f t="shared" si="36"/>
        <v>0</v>
      </c>
      <c r="BP138" s="26">
        <f t="shared" si="36"/>
        <v>0</v>
      </c>
      <c r="BQ138" s="26">
        <f t="shared" si="36"/>
        <v>0</v>
      </c>
      <c r="BR138" s="26">
        <f t="shared" si="36"/>
        <v>0</v>
      </c>
      <c r="BS138" s="27">
        <f t="shared" ref="BS138:BS144" si="37">SUM(BL138:BR138)</f>
        <v>5.3979999999999997</v>
      </c>
      <c r="EV138" s="26"/>
      <c r="EW138" s="26"/>
      <c r="EX138" s="26"/>
      <c r="EY138" s="26"/>
      <c r="EZ138" s="26"/>
      <c r="FA138" s="26"/>
      <c r="FB138" s="26"/>
      <c r="FC138" s="27"/>
    </row>
    <row r="139" spans="6:177" ht="16" x14ac:dyDescent="0.2">
      <c r="G139" s="4" t="s">
        <v>35</v>
      </c>
      <c r="H139" s="4">
        <v>2025</v>
      </c>
      <c r="I139" s="4">
        <v>2026</v>
      </c>
      <c r="J139" s="4">
        <v>2027</v>
      </c>
      <c r="K139" s="4">
        <v>2028</v>
      </c>
      <c r="L139" s="4">
        <v>2029</v>
      </c>
      <c r="M139" s="4">
        <v>2030</v>
      </c>
      <c r="N139" s="4">
        <v>2031</v>
      </c>
      <c r="O139" s="4">
        <v>2032</v>
      </c>
      <c r="P139" s="4">
        <v>2033</v>
      </c>
      <c r="Q139" s="4">
        <v>2034</v>
      </c>
      <c r="R139" s="4">
        <v>2035</v>
      </c>
      <c r="S139" s="4">
        <v>2036</v>
      </c>
      <c r="T139" s="4">
        <v>2037</v>
      </c>
      <c r="U139" s="4">
        <v>2038</v>
      </c>
      <c r="V139" s="4">
        <v>2039</v>
      </c>
      <c r="W139" s="4">
        <v>2040</v>
      </c>
      <c r="X139" s="4">
        <v>2041</v>
      </c>
      <c r="Y139" s="4">
        <v>2042</v>
      </c>
      <c r="Z139" s="4">
        <v>2043</v>
      </c>
      <c r="AA139" s="4">
        <v>2044</v>
      </c>
      <c r="AB139" s="4">
        <v>2045</v>
      </c>
      <c r="AC139" s="4">
        <v>2046</v>
      </c>
      <c r="AD139" s="4">
        <v>2047</v>
      </c>
      <c r="AE139" s="4">
        <v>2048</v>
      </c>
      <c r="AF139" s="4">
        <v>2049</v>
      </c>
      <c r="AG139" s="4">
        <v>2050</v>
      </c>
      <c r="AI139" s="4" t="s">
        <v>100</v>
      </c>
      <c r="AJ139" s="4">
        <v>2025</v>
      </c>
      <c r="AK139" s="4">
        <v>2026</v>
      </c>
      <c r="AL139" s="4">
        <v>2027</v>
      </c>
      <c r="AM139" s="4">
        <v>2028</v>
      </c>
      <c r="AN139" s="4">
        <v>2029</v>
      </c>
      <c r="AO139" s="4">
        <v>2030</v>
      </c>
      <c r="AP139" s="4">
        <v>2031</v>
      </c>
      <c r="AQ139" s="4">
        <v>2032</v>
      </c>
      <c r="AR139" s="4">
        <v>2033</v>
      </c>
      <c r="AS139" s="4">
        <v>2034</v>
      </c>
      <c r="AT139" s="4">
        <v>2035</v>
      </c>
      <c r="AU139" s="4">
        <v>2036</v>
      </c>
      <c r="AV139" s="4">
        <v>2037</v>
      </c>
      <c r="AW139" s="4">
        <v>2038</v>
      </c>
      <c r="AX139" s="4">
        <v>2039</v>
      </c>
      <c r="AY139" s="4">
        <v>2040</v>
      </c>
      <c r="AZ139" s="4">
        <v>2041</v>
      </c>
      <c r="BA139" s="4">
        <v>2042</v>
      </c>
      <c r="BB139" s="4">
        <v>2043</v>
      </c>
      <c r="BC139" s="4">
        <v>2044</v>
      </c>
      <c r="BD139" s="4">
        <v>2045</v>
      </c>
      <c r="BE139" s="4">
        <v>2046</v>
      </c>
      <c r="BF139" s="4">
        <v>2047</v>
      </c>
      <c r="BG139" s="4">
        <v>2048</v>
      </c>
      <c r="BH139" s="4">
        <v>2049</v>
      </c>
      <c r="BI139" s="4">
        <v>2050</v>
      </c>
      <c r="BK139" s="2" t="s">
        <v>101</v>
      </c>
      <c r="BL139" s="26">
        <f t="shared" si="36"/>
        <v>2.6280000000000001</v>
      </c>
      <c r="BM139" s="26">
        <f t="shared" si="36"/>
        <v>1.2849999999999999</v>
      </c>
      <c r="BN139" s="26">
        <f t="shared" si="36"/>
        <v>0</v>
      </c>
      <c r="BO139" s="26">
        <f t="shared" si="36"/>
        <v>0</v>
      </c>
      <c r="BP139" s="26">
        <f t="shared" si="36"/>
        <v>0</v>
      </c>
      <c r="BQ139" s="26">
        <f t="shared" si="36"/>
        <v>0</v>
      </c>
      <c r="BR139" s="26">
        <f t="shared" si="36"/>
        <v>0</v>
      </c>
      <c r="BS139" s="27">
        <f t="shared" si="37"/>
        <v>3.9130000000000003</v>
      </c>
    </row>
    <row r="140" spans="6:177" ht="16" x14ac:dyDescent="0.2">
      <c r="G140" s="5" t="s">
        <v>37</v>
      </c>
      <c r="H140" s="6">
        <f>IFERROR(ROUND(AVERAGEIFS([1]!Resources[Fixed O&amp;M Cost],[1]!Resources[COD],"&lt;="&amp;H$139,[1]!Resources[Retirement Date],"&gt;="&amp;H$139,[1]!Resources[Unique Key],$G140,[1]!Resources[Summer Rating],"&gt;"&amp;0),2),0)*H78/10^6</f>
        <v>31.78</v>
      </c>
      <c r="I140" s="6">
        <f>IFERROR(ROUND(AVERAGEIFS([1]!Resources[Fixed O&amp;M Cost],[1]!Resources[COD],"&lt;="&amp;I$139,[1]!Resources[Retirement Date],"&gt;="&amp;I$139,[1]!Resources[Unique Key],$G140,[1]!Resources[Summer Rating],"&gt;"&amp;0),2),0)*I78/10^6</f>
        <v>31.78</v>
      </c>
      <c r="J140" s="6">
        <f>IFERROR(ROUND(AVERAGEIFS([1]!Resources[Fixed O&amp;M Cost],[1]!Resources[COD],"&lt;="&amp;J$139,[1]!Resources[Retirement Date],"&gt;="&amp;J$139,[1]!Resources[Unique Key],$G140,[1]!Resources[Summer Rating],"&gt;"&amp;0),2),0)*J78/10^6</f>
        <v>31.78</v>
      </c>
      <c r="K140" s="6">
        <f>IFERROR(ROUND(AVERAGEIFS([1]!Resources[Fixed O&amp;M Cost],[1]!Resources[COD],"&lt;="&amp;K$139,[1]!Resources[Retirement Date],"&gt;="&amp;K$139,[1]!Resources[Unique Key],$G140,[1]!Resources[Summer Rating],"&gt;"&amp;0),2),0)*K78/10^6</f>
        <v>31.78</v>
      </c>
      <c r="L140" s="6">
        <f>IFERROR(ROUND(AVERAGEIFS([1]!Resources[Fixed O&amp;M Cost],[1]!Resources[COD],"&lt;="&amp;L$139,[1]!Resources[Retirement Date],"&gt;="&amp;L$139,[1]!Resources[Unique Key],$G140,[1]!Resources[Summer Rating],"&gt;"&amp;0),2),0)*L78/10^6</f>
        <v>31.78</v>
      </c>
      <c r="M140" s="6">
        <f>IFERROR(ROUND(AVERAGEIFS([1]!Resources[Fixed O&amp;M Cost],[1]!Resources[COD],"&lt;="&amp;M$139,[1]!Resources[Retirement Date],"&gt;="&amp;M$139,[1]!Resources[Unique Key],$G140,[1]!Resources[Summer Rating],"&gt;"&amp;0),2),0)*M78/10^6</f>
        <v>31.78</v>
      </c>
      <c r="N140" s="6">
        <f>IFERROR(ROUND(AVERAGEIFS([1]!Resources[Fixed O&amp;M Cost],[1]!Resources[COD],"&lt;="&amp;N$139,[1]!Resources[Retirement Date],"&gt;="&amp;N$139,[1]!Resources[Unique Key],$G140,[1]!Resources[Summer Rating],"&gt;"&amp;0),2),0)*N78/10^6</f>
        <v>31.78</v>
      </c>
      <c r="O140" s="6">
        <f>IFERROR(ROUND(AVERAGEIFS([1]!Resources[Fixed O&amp;M Cost],[1]!Resources[COD],"&lt;="&amp;O$139,[1]!Resources[Retirement Date],"&gt;="&amp;O$139,[1]!Resources[Unique Key],$G140,[1]!Resources[Summer Rating],"&gt;"&amp;0),2),0)*O78/10^6</f>
        <v>31.78</v>
      </c>
      <c r="P140" s="6">
        <f>IFERROR(ROUND(AVERAGEIFS([1]!Resources[Fixed O&amp;M Cost],[1]!Resources[COD],"&lt;="&amp;P$139,[1]!Resources[Retirement Date],"&gt;="&amp;P$139,[1]!Resources[Unique Key],$G140,[1]!Resources[Summer Rating],"&gt;"&amp;0),2),0)*P78/10^6</f>
        <v>31.78</v>
      </c>
      <c r="Q140" s="6">
        <f>IFERROR(ROUND(AVERAGEIFS([1]!Resources[Fixed O&amp;M Cost],[1]!Resources[COD],"&lt;="&amp;Q$139,[1]!Resources[Retirement Date],"&gt;="&amp;Q$139,[1]!Resources[Unique Key],$G140,[1]!Resources[Summer Rating],"&gt;"&amp;0),2),0)*Q78/10^6</f>
        <v>31.78</v>
      </c>
      <c r="R140" s="6">
        <f>IFERROR(ROUND(AVERAGEIFS([1]!Resources[Fixed O&amp;M Cost],[1]!Resources[COD],"&lt;="&amp;R$139,[1]!Resources[Retirement Date],"&gt;="&amp;R$139,[1]!Resources[Unique Key],$G140,[1]!Resources[Summer Rating],"&gt;"&amp;0),2),0)*R78/10^6</f>
        <v>31.78</v>
      </c>
      <c r="S140" s="6">
        <f>IFERROR(ROUND(AVERAGEIFS([1]!Resources[Fixed O&amp;M Cost],[1]!Resources[COD],"&lt;="&amp;S$139,[1]!Resources[Retirement Date],"&gt;="&amp;S$139,[1]!Resources[Unique Key],$G140,[1]!Resources[Summer Rating],"&gt;"&amp;0),2),0)*S78/10^6</f>
        <v>31.78</v>
      </c>
      <c r="T140" s="6">
        <f>IFERROR(ROUND(AVERAGEIFS([1]!Resources[Fixed O&amp;M Cost],[1]!Resources[COD],"&lt;="&amp;T$139,[1]!Resources[Retirement Date],"&gt;="&amp;T$139,[1]!Resources[Unique Key],$G140,[1]!Resources[Summer Rating],"&gt;"&amp;0),2),0)*T78/10^6</f>
        <v>31.78</v>
      </c>
      <c r="U140" s="6">
        <f>IFERROR(ROUND(AVERAGEIFS([1]!Resources[Fixed O&amp;M Cost],[1]!Resources[COD],"&lt;="&amp;U$139,[1]!Resources[Retirement Date],"&gt;="&amp;U$139,[1]!Resources[Unique Key],$G140,[1]!Resources[Summer Rating],"&gt;"&amp;0),2),0)*U78/10^6</f>
        <v>31.78</v>
      </c>
      <c r="V140" s="6">
        <f>IFERROR(ROUND(AVERAGEIFS([1]!Resources[Fixed O&amp;M Cost],[1]!Resources[COD],"&lt;="&amp;V$139,[1]!Resources[Retirement Date],"&gt;="&amp;V$139,[1]!Resources[Unique Key],$G140,[1]!Resources[Summer Rating],"&gt;"&amp;0),2),0)*V78/10^6</f>
        <v>31.78</v>
      </c>
      <c r="W140" s="6">
        <f>IFERROR(ROUND(AVERAGEIFS([1]!Resources[Fixed O&amp;M Cost],[1]!Resources[COD],"&lt;="&amp;W$139,[1]!Resources[Retirement Date],"&gt;="&amp;W$139,[1]!Resources[Unique Key],$G140,[1]!Resources[Summer Rating],"&gt;"&amp;0),2),0)*W78/10^6</f>
        <v>31.78</v>
      </c>
      <c r="X140" s="6">
        <f>IFERROR(ROUND(AVERAGEIFS([1]!Resources[Fixed O&amp;M Cost],[1]!Resources[COD],"&lt;="&amp;X$139,[1]!Resources[Retirement Date],"&gt;="&amp;X$139,[1]!Resources[Unique Key],$G140,[1]!Resources[Summer Rating],"&gt;"&amp;0),2),0)*X78/10^6</f>
        <v>31.78</v>
      </c>
      <c r="Y140" s="6">
        <f>IFERROR(ROUND(AVERAGEIFS([1]!Resources[Fixed O&amp;M Cost],[1]!Resources[COD],"&lt;="&amp;Y$139,[1]!Resources[Retirement Date],"&gt;="&amp;Y$139,[1]!Resources[Unique Key],$G140,[1]!Resources[Summer Rating],"&gt;"&amp;0),2),0)*Y78/10^6</f>
        <v>31.78</v>
      </c>
      <c r="Z140" s="6">
        <f>IFERROR(ROUND(AVERAGEIFS([1]!Resources[Fixed O&amp;M Cost],[1]!Resources[COD],"&lt;="&amp;Z$139,[1]!Resources[Retirement Date],"&gt;="&amp;Z$139,[1]!Resources[Unique Key],$G140,[1]!Resources[Summer Rating],"&gt;"&amp;0),2),0)*Z78/10^6</f>
        <v>31.78</v>
      </c>
      <c r="AA140" s="6">
        <f>IFERROR(ROUND(AVERAGEIFS([1]!Resources[Fixed O&amp;M Cost],[1]!Resources[COD],"&lt;="&amp;AA$139,[1]!Resources[Retirement Date],"&gt;="&amp;AA$139,[1]!Resources[Unique Key],$G140,[1]!Resources[Summer Rating],"&gt;"&amp;0),2),0)*AA78/10^6</f>
        <v>31.78</v>
      </c>
      <c r="AB140" s="6">
        <f>IFERROR(ROUND(AVERAGEIFS([1]!Resources[Fixed O&amp;M Cost],[1]!Resources[COD],"&lt;="&amp;AB$139,[1]!Resources[Retirement Date],"&gt;="&amp;AB$139,[1]!Resources[Unique Key],$G140,[1]!Resources[Summer Rating],"&gt;"&amp;0),2),0)*AB78/10^6</f>
        <v>31.78</v>
      </c>
      <c r="AC140" s="6">
        <f>IFERROR(ROUND(AVERAGEIFS([1]!Resources[Fixed O&amp;M Cost],[1]!Resources[COD],"&lt;="&amp;AC$139,[1]!Resources[Retirement Date],"&gt;="&amp;AC$139,[1]!Resources[Unique Key],$G140,[1]!Resources[Summer Rating],"&gt;"&amp;0),2),0)*AC78/10^6</f>
        <v>31.78</v>
      </c>
      <c r="AD140" s="6">
        <f>IFERROR(ROUND(AVERAGEIFS([1]!Resources[Fixed O&amp;M Cost],[1]!Resources[COD],"&lt;="&amp;AD$139,[1]!Resources[Retirement Date],"&gt;="&amp;AD$139,[1]!Resources[Unique Key],$G140,[1]!Resources[Summer Rating],"&gt;"&amp;0),2),0)*AD78/10^6</f>
        <v>31.78</v>
      </c>
      <c r="AE140" s="6">
        <f>IFERROR(ROUND(AVERAGEIFS([1]!Resources[Fixed O&amp;M Cost],[1]!Resources[COD],"&lt;="&amp;AE$139,[1]!Resources[Retirement Date],"&gt;="&amp;AE$139,[1]!Resources[Unique Key],$G140,[1]!Resources[Summer Rating],"&gt;"&amp;0),2),0)*AE78/10^6</f>
        <v>31.78</v>
      </c>
      <c r="AF140" s="6">
        <f>IFERROR(ROUND(AVERAGEIFS([1]!Resources[Fixed O&amp;M Cost],[1]!Resources[COD],"&lt;="&amp;AF$139,[1]!Resources[Retirement Date],"&gt;="&amp;AF$139,[1]!Resources[Unique Key],$G140,[1]!Resources[Summer Rating],"&gt;"&amp;0),2),0)*AF78/10^6</f>
        <v>31.78</v>
      </c>
      <c r="AG140" s="6">
        <f>IFERROR(ROUND(AVERAGEIFS([1]!Resources[Fixed O&amp;M Cost],[1]!Resources[COD],"&lt;="&amp;AG$139,[1]!Resources[Retirement Date],"&gt;="&amp;AG$139,[1]!Resources[Unique Key],$G140,[1]!Resources[Summer Rating],"&gt;"&amp;0),2),0)*AG78/10^6</f>
        <v>31.78</v>
      </c>
      <c r="AI140" s="5" t="s">
        <v>37</v>
      </c>
      <c r="AJ140" s="6" cm="1">
        <f t="array" ref="AJ140">IFERROR(INDEX(AJ$174:AJ$175,MATCH(_xlfn.TEXTAFTER(INDEX($F$78:$F$129,MATCH($AI140,$G$78:$G$129,0))," "),_xlfn.TEXTBEFORE($AI$174:$AI$175," - ")),0),0)</f>
        <v>92503.140684153317</v>
      </c>
      <c r="AK140" s="6" cm="1">
        <f t="array" ref="AK140">IFERROR(INDEX(AK$174:AK$175,MATCH(_xlfn.TEXTAFTER(INDEX($F$78:$F$129,MATCH($AI140,$G$78:$G$129,0))," "),_xlfn.TEXTBEFORE($AI$174:$AI$175," - ")),0),0)</f>
        <v>92503.140684153317</v>
      </c>
      <c r="AL140" s="6" cm="1">
        <f t="array" ref="AL140">IFERROR(INDEX(AL$174:AL$175,MATCH(_xlfn.TEXTAFTER(INDEX($F$78:$F$129,MATCH($AI140,$G$78:$G$129,0))," "),_xlfn.TEXTBEFORE($AI$174:$AI$175," - ")),0),0)</f>
        <v>92503.140684153317</v>
      </c>
      <c r="AM140" s="6" cm="1">
        <f t="array" ref="AM140">IFERROR(INDEX(AM$174:AM$175,MATCH(_xlfn.TEXTAFTER(INDEX($F$78:$F$129,MATCH($AI140,$G$78:$G$129,0))," "),_xlfn.TEXTBEFORE($AI$174:$AI$175," - ")),0),0)</f>
        <v>92503.140684153317</v>
      </c>
      <c r="AN140" s="6" cm="1">
        <f t="array" ref="AN140">IFERROR(INDEX(AN$174:AN$175,MATCH(_xlfn.TEXTAFTER(INDEX($F$78:$F$129,MATCH($AI140,$G$78:$G$129,0))," "),_xlfn.TEXTBEFORE($AI$174:$AI$175," - ")),0),0)</f>
        <v>92503.140684153317</v>
      </c>
      <c r="AO140" s="6" cm="1">
        <f t="array" ref="AO140">IFERROR(INDEX(AO$174:AO$175,MATCH(_xlfn.TEXTAFTER(INDEX($F$78:$F$129,MATCH($AI140,$G$78:$G$129,0))," "),_xlfn.TEXTBEFORE($AI$174:$AI$175," - ")),0),0)</f>
        <v>92503.140684153317</v>
      </c>
      <c r="AP140" s="6" cm="1">
        <f t="array" ref="AP140">IFERROR(INDEX(AP$174:AP$175,MATCH(_xlfn.TEXTAFTER(INDEX($F$78:$F$129,MATCH($AI140,$G$78:$G$129,0))," "),_xlfn.TEXTBEFORE($AI$174:$AI$175," - ")),0),0)</f>
        <v>92503.140684153317</v>
      </c>
      <c r="AQ140" s="6" cm="1">
        <f t="array" ref="AQ140">IFERROR(INDEX(AQ$174:AQ$175,MATCH(_xlfn.TEXTAFTER(INDEX($F$78:$F$129,MATCH($AI140,$G$78:$G$129,0))," "),_xlfn.TEXTBEFORE($AI$174:$AI$175," - ")),0),0)</f>
        <v>92503.140684153317</v>
      </c>
      <c r="AR140" s="6" cm="1">
        <f t="array" ref="AR140">IFERROR(INDEX(AR$174:AR$175,MATCH(_xlfn.TEXTAFTER(INDEX($F$78:$F$129,MATCH($AI140,$G$78:$G$129,0))," "),_xlfn.TEXTBEFORE($AI$174:$AI$175," - ")),0),0)</f>
        <v>92503.140684153317</v>
      </c>
      <c r="AS140" s="6" cm="1">
        <f t="array" ref="AS140">IFERROR(INDEX(AS$174:AS$175,MATCH(_xlfn.TEXTAFTER(INDEX($F$78:$F$129,MATCH($AI140,$G$78:$G$129,0))," "),_xlfn.TEXTBEFORE($AI$174:$AI$175," - ")),0),0)</f>
        <v>92503.140684153317</v>
      </c>
      <c r="AT140" s="6" cm="1">
        <f t="array" ref="AT140">IFERROR(INDEX(AT$174:AT$175,MATCH(_xlfn.TEXTAFTER(INDEX($F$78:$F$129,MATCH($AI140,$G$78:$G$129,0))," "),_xlfn.TEXTBEFORE($AI$174:$AI$175," - ")),0),0)</f>
        <v>92503.140684153317</v>
      </c>
      <c r="AU140" s="6" cm="1">
        <f t="array" ref="AU140">IFERROR(INDEX(AU$174:AU$175,MATCH(_xlfn.TEXTAFTER(INDEX($F$78:$F$129,MATCH($AI140,$G$78:$G$129,0))," "),_xlfn.TEXTBEFORE($AI$174:$AI$175," - ")),0),0)</f>
        <v>92503.140684153317</v>
      </c>
      <c r="AV140" s="6" cm="1">
        <f t="array" ref="AV140">IFERROR(INDEX(AV$174:AV$175,MATCH(_xlfn.TEXTAFTER(INDEX($F$78:$F$129,MATCH($AI140,$G$78:$G$129,0))," "),_xlfn.TEXTBEFORE($AI$174:$AI$175," - ")),0),0)</f>
        <v>92503.140684153317</v>
      </c>
      <c r="AW140" s="6" cm="1">
        <f t="array" ref="AW140">IFERROR(INDEX(AW$174:AW$175,MATCH(_xlfn.TEXTAFTER(INDEX($F$78:$F$129,MATCH($AI140,$G$78:$G$129,0))," "),_xlfn.TEXTBEFORE($AI$174:$AI$175," - ")),0),0)</f>
        <v>92503.140684153317</v>
      </c>
      <c r="AX140" s="6" cm="1">
        <f t="array" ref="AX140">IFERROR(INDEX(AX$174:AX$175,MATCH(_xlfn.TEXTAFTER(INDEX($F$78:$F$129,MATCH($AI140,$G$78:$G$129,0))," "),_xlfn.TEXTBEFORE($AI$174:$AI$175," - ")),0),0)</f>
        <v>92503.140684153317</v>
      </c>
      <c r="AY140" s="6" cm="1">
        <f t="array" ref="AY140">IFERROR(INDEX(AY$174:AY$175,MATCH(_xlfn.TEXTAFTER(INDEX($F$78:$F$129,MATCH($AI140,$G$78:$G$129,0))," "),_xlfn.TEXTBEFORE($AI$174:$AI$175," - ")),0),0)</f>
        <v>92503.140684153317</v>
      </c>
      <c r="AZ140" s="6" cm="1">
        <f t="array" ref="AZ140">IFERROR(INDEX(AZ$174:AZ$175,MATCH(_xlfn.TEXTAFTER(INDEX($F$78:$F$129,MATCH($AI140,$G$78:$G$129,0))," "),_xlfn.TEXTBEFORE($AI$174:$AI$175," - ")),0),0)</f>
        <v>92503.140684153317</v>
      </c>
      <c r="BA140" s="6" cm="1">
        <f t="array" ref="BA140">IFERROR(INDEX(BA$174:BA$175,MATCH(_xlfn.TEXTAFTER(INDEX($F$78:$F$129,MATCH($AI140,$G$78:$G$129,0))," "),_xlfn.TEXTBEFORE($AI$174:$AI$175," - ")),0),0)</f>
        <v>92503.140684153317</v>
      </c>
      <c r="BB140" s="6" cm="1">
        <f t="array" ref="BB140">IFERROR(INDEX(BB$174:BB$175,MATCH(_xlfn.TEXTAFTER(INDEX($F$78:$F$129,MATCH($AI140,$G$78:$G$129,0))," "),_xlfn.TEXTBEFORE($AI$174:$AI$175," - ")),0),0)</f>
        <v>92503.140684153317</v>
      </c>
      <c r="BC140" s="6" cm="1">
        <f t="array" ref="BC140">IFERROR(INDEX(BC$174:BC$175,MATCH(_xlfn.TEXTAFTER(INDEX($F$78:$F$129,MATCH($AI140,$G$78:$G$129,0))," "),_xlfn.TEXTBEFORE($AI$174:$AI$175," - ")),0),0)</f>
        <v>92503.140684153317</v>
      </c>
      <c r="BD140" s="6" cm="1">
        <f t="array" ref="BD140">IFERROR(INDEX(BD$174:BD$175,MATCH(_xlfn.TEXTAFTER(INDEX($F$78:$F$129,MATCH($AI140,$G$78:$G$129,0))," "),_xlfn.TEXTBEFORE($AI$174:$AI$175," - ")),0),0)</f>
        <v>92503.140684153317</v>
      </c>
      <c r="BE140" s="6" cm="1">
        <f t="array" ref="BE140">IFERROR(INDEX(BE$174:BE$175,MATCH(_xlfn.TEXTAFTER(INDEX($F$78:$F$129,MATCH($AI140,$G$78:$G$129,0))," "),_xlfn.TEXTBEFORE($AI$174:$AI$175," - ")),0),0)</f>
        <v>92503.140684153317</v>
      </c>
      <c r="BF140" s="6" cm="1">
        <f t="array" ref="BF140">IFERROR(INDEX(BF$174:BF$175,MATCH(_xlfn.TEXTAFTER(INDEX($F$78:$F$129,MATCH($AI140,$G$78:$G$129,0))," "),_xlfn.TEXTBEFORE($AI$174:$AI$175," - ")),0),0)</f>
        <v>92503.140684153317</v>
      </c>
      <c r="BG140" s="6" cm="1">
        <f t="array" ref="BG140">IFERROR(INDEX(BG$174:BG$175,MATCH(_xlfn.TEXTAFTER(INDEX($F$78:$F$129,MATCH($AI140,$G$78:$G$129,0))," "),_xlfn.TEXTBEFORE($AI$174:$AI$175," - ")),0),0)</f>
        <v>92503.140684153317</v>
      </c>
      <c r="BH140" s="6" cm="1">
        <f t="array" ref="BH140">IFERROR(INDEX(BH$174:BH$175,MATCH(_xlfn.TEXTAFTER(INDEX($F$78:$F$129,MATCH($AI140,$G$78:$G$129,0))," "),_xlfn.TEXTBEFORE($AI$174:$AI$175," - ")),0),0)</f>
        <v>92503.140684153317</v>
      </c>
      <c r="BI140" s="6" cm="1">
        <f t="array" ref="BI140">IFERROR(INDEX(BI$174:BI$175,MATCH(_xlfn.TEXTAFTER(INDEX($F$78:$F$129,MATCH($AI140,$G$78:$G$129,0))," "),_xlfn.TEXTBEFORE($AI$174:$AI$175," - ")),0),0)</f>
        <v>92503.140684153317</v>
      </c>
      <c r="BK140" s="2" t="s">
        <v>102</v>
      </c>
      <c r="BL140" s="26">
        <f t="shared" si="36"/>
        <v>8.6159999999999997</v>
      </c>
      <c r="BM140" s="26">
        <f t="shared" si="36"/>
        <v>3.1000000000000005</v>
      </c>
      <c r="BN140" s="26">
        <f t="shared" si="36"/>
        <v>0</v>
      </c>
      <c r="BO140" s="26">
        <f t="shared" si="36"/>
        <v>0.111</v>
      </c>
      <c r="BP140" s="26">
        <f t="shared" si="36"/>
        <v>0</v>
      </c>
      <c r="BQ140" s="26">
        <f t="shared" si="36"/>
        <v>0</v>
      </c>
      <c r="BR140" s="26">
        <f t="shared" si="36"/>
        <v>0</v>
      </c>
      <c r="BS140" s="27">
        <f t="shared" si="37"/>
        <v>11.827000000000002</v>
      </c>
    </row>
    <row r="141" spans="6:177" ht="16" x14ac:dyDescent="0.2">
      <c r="G141" s="5" t="s">
        <v>39</v>
      </c>
      <c r="H141" s="6">
        <f>IFERROR(ROUND(AVERAGEIFS([1]!Resources[Fixed O&amp;M Cost],[1]!Resources[COD],"&lt;="&amp;H$139,[1]!Resources[Retirement Date],"&gt;="&amp;H$139,[1]!Resources[Unique Key],$G141,[1]!Resources[Summer Rating],"&gt;"&amp;0),2),0)*H79/10^6</f>
        <v>1.6705000000000001</v>
      </c>
      <c r="I141" s="6">
        <f>IFERROR(ROUND(AVERAGEIFS([1]!Resources[Fixed O&amp;M Cost],[1]!Resources[COD],"&lt;="&amp;I$139,[1]!Resources[Retirement Date],"&gt;="&amp;I$139,[1]!Resources[Unique Key],$G141,[1]!Resources[Summer Rating],"&gt;"&amp;0),2),0)*I79/10^6</f>
        <v>1.6705000000000001</v>
      </c>
      <c r="J141" s="6">
        <f>IFERROR(ROUND(AVERAGEIFS([1]!Resources[Fixed O&amp;M Cost],[1]!Resources[COD],"&lt;="&amp;J$139,[1]!Resources[Retirement Date],"&gt;="&amp;J$139,[1]!Resources[Unique Key],$G141,[1]!Resources[Summer Rating],"&gt;"&amp;0),2),0)*J79/10^6</f>
        <v>1.6705000000000001</v>
      </c>
      <c r="K141" s="6">
        <f>IFERROR(ROUND(AVERAGEIFS([1]!Resources[Fixed O&amp;M Cost],[1]!Resources[COD],"&lt;="&amp;K$139,[1]!Resources[Retirement Date],"&gt;="&amp;K$139,[1]!Resources[Unique Key],$G141,[1]!Resources[Summer Rating],"&gt;"&amp;0),2),0)*K79/10^6</f>
        <v>1.6705000000000001</v>
      </c>
      <c r="L141" s="6">
        <f>IFERROR(ROUND(AVERAGEIFS([1]!Resources[Fixed O&amp;M Cost],[1]!Resources[COD],"&lt;="&amp;L$139,[1]!Resources[Retirement Date],"&gt;="&amp;L$139,[1]!Resources[Unique Key],$G141,[1]!Resources[Summer Rating],"&gt;"&amp;0),2),0)*L79/10^6</f>
        <v>1.6705000000000001</v>
      </c>
      <c r="M141" s="6">
        <f>IFERROR(ROUND(AVERAGEIFS([1]!Resources[Fixed O&amp;M Cost],[1]!Resources[COD],"&lt;="&amp;M$139,[1]!Resources[Retirement Date],"&gt;="&amp;M$139,[1]!Resources[Unique Key],$G141,[1]!Resources[Summer Rating],"&gt;"&amp;0),2),0)*M79/10^6</f>
        <v>1.6705000000000001</v>
      </c>
      <c r="N141" s="6">
        <f>IFERROR(ROUND(AVERAGEIFS([1]!Resources[Fixed O&amp;M Cost],[1]!Resources[COD],"&lt;="&amp;N$139,[1]!Resources[Retirement Date],"&gt;="&amp;N$139,[1]!Resources[Unique Key],$G141,[1]!Resources[Summer Rating],"&gt;"&amp;0),2),0)*N79/10^6</f>
        <v>1.6705000000000001</v>
      </c>
      <c r="O141" s="6">
        <f>IFERROR(ROUND(AVERAGEIFS([1]!Resources[Fixed O&amp;M Cost],[1]!Resources[COD],"&lt;="&amp;O$139,[1]!Resources[Retirement Date],"&gt;="&amp;O$139,[1]!Resources[Unique Key],$G141,[1]!Resources[Summer Rating],"&gt;"&amp;0),2),0)*O79/10^6</f>
        <v>0</v>
      </c>
      <c r="P141" s="6">
        <f>IFERROR(ROUND(AVERAGEIFS([1]!Resources[Fixed O&amp;M Cost],[1]!Resources[COD],"&lt;="&amp;P$139,[1]!Resources[Retirement Date],"&gt;="&amp;P$139,[1]!Resources[Unique Key],$G141,[1]!Resources[Summer Rating],"&gt;"&amp;0),2),0)*P79/10^6</f>
        <v>0</v>
      </c>
      <c r="Q141" s="6">
        <f>IFERROR(ROUND(AVERAGEIFS([1]!Resources[Fixed O&amp;M Cost],[1]!Resources[COD],"&lt;="&amp;Q$139,[1]!Resources[Retirement Date],"&gt;="&amp;Q$139,[1]!Resources[Unique Key],$G141,[1]!Resources[Summer Rating],"&gt;"&amp;0),2),0)*Q79/10^6</f>
        <v>0</v>
      </c>
      <c r="R141" s="6">
        <f>IFERROR(ROUND(AVERAGEIFS([1]!Resources[Fixed O&amp;M Cost],[1]!Resources[COD],"&lt;="&amp;R$139,[1]!Resources[Retirement Date],"&gt;="&amp;R$139,[1]!Resources[Unique Key],$G141,[1]!Resources[Summer Rating],"&gt;"&amp;0),2),0)*R79/10^6</f>
        <v>0</v>
      </c>
      <c r="S141" s="6">
        <f>IFERROR(ROUND(AVERAGEIFS([1]!Resources[Fixed O&amp;M Cost],[1]!Resources[COD],"&lt;="&amp;S$139,[1]!Resources[Retirement Date],"&gt;="&amp;S$139,[1]!Resources[Unique Key],$G141,[1]!Resources[Summer Rating],"&gt;"&amp;0),2),0)*S79/10^6</f>
        <v>0</v>
      </c>
      <c r="T141" s="6">
        <f>IFERROR(ROUND(AVERAGEIFS([1]!Resources[Fixed O&amp;M Cost],[1]!Resources[COD],"&lt;="&amp;T$139,[1]!Resources[Retirement Date],"&gt;="&amp;T$139,[1]!Resources[Unique Key],$G141,[1]!Resources[Summer Rating],"&gt;"&amp;0),2),0)*T79/10^6</f>
        <v>0</v>
      </c>
      <c r="U141" s="6">
        <f>IFERROR(ROUND(AVERAGEIFS([1]!Resources[Fixed O&amp;M Cost],[1]!Resources[COD],"&lt;="&amp;U$139,[1]!Resources[Retirement Date],"&gt;="&amp;U$139,[1]!Resources[Unique Key],$G141,[1]!Resources[Summer Rating],"&gt;"&amp;0),2),0)*U79/10^6</f>
        <v>0</v>
      </c>
      <c r="V141" s="6">
        <f>IFERROR(ROUND(AVERAGEIFS([1]!Resources[Fixed O&amp;M Cost],[1]!Resources[COD],"&lt;="&amp;V$139,[1]!Resources[Retirement Date],"&gt;="&amp;V$139,[1]!Resources[Unique Key],$G141,[1]!Resources[Summer Rating],"&gt;"&amp;0),2),0)*V79/10^6</f>
        <v>0</v>
      </c>
      <c r="W141" s="6">
        <f>IFERROR(ROUND(AVERAGEIFS([1]!Resources[Fixed O&amp;M Cost],[1]!Resources[COD],"&lt;="&amp;W$139,[1]!Resources[Retirement Date],"&gt;="&amp;W$139,[1]!Resources[Unique Key],$G141,[1]!Resources[Summer Rating],"&gt;"&amp;0),2),0)*W79/10^6</f>
        <v>0</v>
      </c>
      <c r="X141" s="6">
        <f>IFERROR(ROUND(AVERAGEIFS([1]!Resources[Fixed O&amp;M Cost],[1]!Resources[COD],"&lt;="&amp;X$139,[1]!Resources[Retirement Date],"&gt;="&amp;X$139,[1]!Resources[Unique Key],$G141,[1]!Resources[Summer Rating],"&gt;"&amp;0),2),0)*X79/10^6</f>
        <v>0</v>
      </c>
      <c r="Y141" s="6">
        <f>IFERROR(ROUND(AVERAGEIFS([1]!Resources[Fixed O&amp;M Cost],[1]!Resources[COD],"&lt;="&amp;Y$139,[1]!Resources[Retirement Date],"&gt;="&amp;Y$139,[1]!Resources[Unique Key],$G141,[1]!Resources[Summer Rating],"&gt;"&amp;0),2),0)*Y79/10^6</f>
        <v>0</v>
      </c>
      <c r="Z141" s="6">
        <f>IFERROR(ROUND(AVERAGEIFS([1]!Resources[Fixed O&amp;M Cost],[1]!Resources[COD],"&lt;="&amp;Z$139,[1]!Resources[Retirement Date],"&gt;="&amp;Z$139,[1]!Resources[Unique Key],$G141,[1]!Resources[Summer Rating],"&gt;"&amp;0),2),0)*Z79/10^6</f>
        <v>0</v>
      </c>
      <c r="AA141" s="6">
        <f>IFERROR(ROUND(AVERAGEIFS([1]!Resources[Fixed O&amp;M Cost],[1]!Resources[COD],"&lt;="&amp;AA$139,[1]!Resources[Retirement Date],"&gt;="&amp;AA$139,[1]!Resources[Unique Key],$G141,[1]!Resources[Summer Rating],"&gt;"&amp;0),2),0)*AA79/10^6</f>
        <v>0</v>
      </c>
      <c r="AB141" s="6">
        <f>IFERROR(ROUND(AVERAGEIFS([1]!Resources[Fixed O&amp;M Cost],[1]!Resources[COD],"&lt;="&amp;AB$139,[1]!Resources[Retirement Date],"&gt;="&amp;AB$139,[1]!Resources[Unique Key],$G141,[1]!Resources[Summer Rating],"&gt;"&amp;0),2),0)*AB79/10^6</f>
        <v>0</v>
      </c>
      <c r="AC141" s="6">
        <f>IFERROR(ROUND(AVERAGEIFS([1]!Resources[Fixed O&amp;M Cost],[1]!Resources[COD],"&lt;="&amp;AC$139,[1]!Resources[Retirement Date],"&gt;="&amp;AC$139,[1]!Resources[Unique Key],$G141,[1]!Resources[Summer Rating],"&gt;"&amp;0),2),0)*AC79/10^6</f>
        <v>0</v>
      </c>
      <c r="AD141" s="6">
        <f>IFERROR(ROUND(AVERAGEIFS([1]!Resources[Fixed O&amp;M Cost],[1]!Resources[COD],"&lt;="&amp;AD$139,[1]!Resources[Retirement Date],"&gt;="&amp;AD$139,[1]!Resources[Unique Key],$G141,[1]!Resources[Summer Rating],"&gt;"&amp;0),2),0)*AD79/10^6</f>
        <v>0</v>
      </c>
      <c r="AE141" s="6">
        <f>IFERROR(ROUND(AVERAGEIFS([1]!Resources[Fixed O&amp;M Cost],[1]!Resources[COD],"&lt;="&amp;AE$139,[1]!Resources[Retirement Date],"&gt;="&amp;AE$139,[1]!Resources[Unique Key],$G141,[1]!Resources[Summer Rating],"&gt;"&amp;0),2),0)*AE79/10^6</f>
        <v>0</v>
      </c>
      <c r="AF141" s="6">
        <f>IFERROR(ROUND(AVERAGEIFS([1]!Resources[Fixed O&amp;M Cost],[1]!Resources[COD],"&lt;="&amp;AF$139,[1]!Resources[Retirement Date],"&gt;="&amp;AF$139,[1]!Resources[Unique Key],$G141,[1]!Resources[Summer Rating],"&gt;"&amp;0),2),0)*AF79/10^6</f>
        <v>0</v>
      </c>
      <c r="AG141" s="6">
        <f>IFERROR(ROUND(AVERAGEIFS([1]!Resources[Fixed O&amp;M Cost],[1]!Resources[COD],"&lt;="&amp;AG$139,[1]!Resources[Retirement Date],"&gt;="&amp;AG$139,[1]!Resources[Unique Key],$G141,[1]!Resources[Summer Rating],"&gt;"&amp;0),2),0)*AG79/10^6</f>
        <v>0</v>
      </c>
      <c r="AI141" s="5" t="s">
        <v>39</v>
      </c>
      <c r="AJ141" s="6" cm="1">
        <f t="array" ref="AJ141">IFERROR(INDEX(AJ$174:AJ$175,MATCH(_xlfn.TEXTAFTER(INDEX($F$78:$F$129,MATCH($AI141,$G$78:$G$129,0))," "),_xlfn.TEXTBEFORE($AI$174:$AI$175," - ")),0),0)</f>
        <v>92503.140684153317</v>
      </c>
      <c r="AK141" s="6" cm="1">
        <f t="array" ref="AK141">IFERROR(INDEX(AK$174:AK$175,MATCH(_xlfn.TEXTAFTER(INDEX($F$78:$F$129,MATCH($AI141,$G$78:$G$129,0))," "),_xlfn.TEXTBEFORE($AI$174:$AI$175," - ")),0),0)</f>
        <v>92503.140684153317</v>
      </c>
      <c r="AL141" s="6" cm="1">
        <f t="array" ref="AL141">IFERROR(INDEX(AL$174:AL$175,MATCH(_xlfn.TEXTAFTER(INDEX($F$78:$F$129,MATCH($AI141,$G$78:$G$129,0))," "),_xlfn.TEXTBEFORE($AI$174:$AI$175," - ")),0),0)</f>
        <v>92503.140684153317</v>
      </c>
      <c r="AM141" s="6" cm="1">
        <f t="array" ref="AM141">IFERROR(INDEX(AM$174:AM$175,MATCH(_xlfn.TEXTAFTER(INDEX($F$78:$F$129,MATCH($AI141,$G$78:$G$129,0))," "),_xlfn.TEXTBEFORE($AI$174:$AI$175," - ")),0),0)</f>
        <v>92503.140684153317</v>
      </c>
      <c r="AN141" s="6" cm="1">
        <f t="array" ref="AN141">IFERROR(INDEX(AN$174:AN$175,MATCH(_xlfn.TEXTAFTER(INDEX($F$78:$F$129,MATCH($AI141,$G$78:$G$129,0))," "),_xlfn.TEXTBEFORE($AI$174:$AI$175," - ")),0),0)</f>
        <v>92503.140684153317</v>
      </c>
      <c r="AO141" s="6" cm="1">
        <f t="array" ref="AO141">IFERROR(INDEX(AO$174:AO$175,MATCH(_xlfn.TEXTAFTER(INDEX($F$78:$F$129,MATCH($AI141,$G$78:$G$129,0))," "),_xlfn.TEXTBEFORE($AI$174:$AI$175," - ")),0),0)</f>
        <v>92503.140684153317</v>
      </c>
      <c r="AP141" s="6" cm="1">
        <f t="array" ref="AP141">IFERROR(INDEX(AP$174:AP$175,MATCH(_xlfn.TEXTAFTER(INDEX($F$78:$F$129,MATCH($AI141,$G$78:$G$129,0))," "),_xlfn.TEXTBEFORE($AI$174:$AI$175," - ")),0),0)</f>
        <v>92503.140684153317</v>
      </c>
      <c r="AQ141" s="6" cm="1">
        <f t="array" ref="AQ141">IFERROR(INDEX(AQ$174:AQ$175,MATCH(_xlfn.TEXTAFTER(INDEX($F$78:$F$129,MATCH($AI141,$G$78:$G$129,0))," "),_xlfn.TEXTBEFORE($AI$174:$AI$175," - ")),0),0)</f>
        <v>92503.140684153317</v>
      </c>
      <c r="AR141" s="6" cm="1">
        <f t="array" ref="AR141">IFERROR(INDEX(AR$174:AR$175,MATCH(_xlfn.TEXTAFTER(INDEX($F$78:$F$129,MATCH($AI141,$G$78:$G$129,0))," "),_xlfn.TEXTBEFORE($AI$174:$AI$175," - ")),0),0)</f>
        <v>92503.140684153317</v>
      </c>
      <c r="AS141" s="6" cm="1">
        <f t="array" ref="AS141">IFERROR(INDEX(AS$174:AS$175,MATCH(_xlfn.TEXTAFTER(INDEX($F$78:$F$129,MATCH($AI141,$G$78:$G$129,0))," "),_xlfn.TEXTBEFORE($AI$174:$AI$175," - ")),0),0)</f>
        <v>92503.140684153317</v>
      </c>
      <c r="AT141" s="6" cm="1">
        <f t="array" ref="AT141">IFERROR(INDEX(AT$174:AT$175,MATCH(_xlfn.TEXTAFTER(INDEX($F$78:$F$129,MATCH($AI141,$G$78:$G$129,0))," "),_xlfn.TEXTBEFORE($AI$174:$AI$175," - ")),0),0)</f>
        <v>92503.140684153317</v>
      </c>
      <c r="AU141" s="6" cm="1">
        <f t="array" ref="AU141">IFERROR(INDEX(AU$174:AU$175,MATCH(_xlfn.TEXTAFTER(INDEX($F$78:$F$129,MATCH($AI141,$G$78:$G$129,0))," "),_xlfn.TEXTBEFORE($AI$174:$AI$175," - ")),0),0)</f>
        <v>92503.140684153317</v>
      </c>
      <c r="AV141" s="6" cm="1">
        <f t="array" ref="AV141">IFERROR(INDEX(AV$174:AV$175,MATCH(_xlfn.TEXTAFTER(INDEX($F$78:$F$129,MATCH($AI141,$G$78:$G$129,0))," "),_xlfn.TEXTBEFORE($AI$174:$AI$175," - ")),0),0)</f>
        <v>92503.140684153317</v>
      </c>
      <c r="AW141" s="6" cm="1">
        <f t="array" ref="AW141">IFERROR(INDEX(AW$174:AW$175,MATCH(_xlfn.TEXTAFTER(INDEX($F$78:$F$129,MATCH($AI141,$G$78:$G$129,0))," "),_xlfn.TEXTBEFORE($AI$174:$AI$175," - ")),0),0)</f>
        <v>92503.140684153317</v>
      </c>
      <c r="AX141" s="6" cm="1">
        <f t="array" ref="AX141">IFERROR(INDEX(AX$174:AX$175,MATCH(_xlfn.TEXTAFTER(INDEX($F$78:$F$129,MATCH($AI141,$G$78:$G$129,0))," "),_xlfn.TEXTBEFORE($AI$174:$AI$175," - ")),0),0)</f>
        <v>92503.140684153317</v>
      </c>
      <c r="AY141" s="6" cm="1">
        <f t="array" ref="AY141">IFERROR(INDEX(AY$174:AY$175,MATCH(_xlfn.TEXTAFTER(INDEX($F$78:$F$129,MATCH($AI141,$G$78:$G$129,0))," "),_xlfn.TEXTBEFORE($AI$174:$AI$175," - ")),0),0)</f>
        <v>92503.140684153317</v>
      </c>
      <c r="AZ141" s="6" cm="1">
        <f t="array" ref="AZ141">IFERROR(INDEX(AZ$174:AZ$175,MATCH(_xlfn.TEXTAFTER(INDEX($F$78:$F$129,MATCH($AI141,$G$78:$G$129,0))," "),_xlfn.TEXTBEFORE($AI$174:$AI$175," - ")),0),0)</f>
        <v>92503.140684153317</v>
      </c>
      <c r="BA141" s="6" cm="1">
        <f t="array" ref="BA141">IFERROR(INDEX(BA$174:BA$175,MATCH(_xlfn.TEXTAFTER(INDEX($F$78:$F$129,MATCH($AI141,$G$78:$G$129,0))," "),_xlfn.TEXTBEFORE($AI$174:$AI$175," - ")),0),0)</f>
        <v>92503.140684153317</v>
      </c>
      <c r="BB141" s="6" cm="1">
        <f t="array" ref="BB141">IFERROR(INDEX(BB$174:BB$175,MATCH(_xlfn.TEXTAFTER(INDEX($F$78:$F$129,MATCH($AI141,$G$78:$G$129,0))," "),_xlfn.TEXTBEFORE($AI$174:$AI$175," - ")),0),0)</f>
        <v>92503.140684153317</v>
      </c>
      <c r="BC141" s="6" cm="1">
        <f t="array" ref="BC141">IFERROR(INDEX(BC$174:BC$175,MATCH(_xlfn.TEXTAFTER(INDEX($F$78:$F$129,MATCH($AI141,$G$78:$G$129,0))," "),_xlfn.TEXTBEFORE($AI$174:$AI$175," - ")),0),0)</f>
        <v>92503.140684153317</v>
      </c>
      <c r="BD141" s="6" cm="1">
        <f t="array" ref="BD141">IFERROR(INDEX(BD$174:BD$175,MATCH(_xlfn.TEXTAFTER(INDEX($F$78:$F$129,MATCH($AI141,$G$78:$G$129,0))," "),_xlfn.TEXTBEFORE($AI$174:$AI$175," - ")),0),0)</f>
        <v>92503.140684153317</v>
      </c>
      <c r="BE141" s="6" cm="1">
        <f t="array" ref="BE141">IFERROR(INDEX(BE$174:BE$175,MATCH(_xlfn.TEXTAFTER(INDEX($F$78:$F$129,MATCH($AI141,$G$78:$G$129,0))," "),_xlfn.TEXTBEFORE($AI$174:$AI$175," - ")),0),0)</f>
        <v>92503.140684153317</v>
      </c>
      <c r="BF141" s="6" cm="1">
        <f t="array" ref="BF141">IFERROR(INDEX(BF$174:BF$175,MATCH(_xlfn.TEXTAFTER(INDEX($F$78:$F$129,MATCH($AI141,$G$78:$G$129,0))," "),_xlfn.TEXTBEFORE($AI$174:$AI$175," - ")),0),0)</f>
        <v>92503.140684153317</v>
      </c>
      <c r="BG141" s="6" cm="1">
        <f t="array" ref="BG141">IFERROR(INDEX(BG$174:BG$175,MATCH(_xlfn.TEXTAFTER(INDEX($F$78:$F$129,MATCH($AI141,$G$78:$G$129,0))," "),_xlfn.TEXTBEFORE($AI$174:$AI$175," - ")),0),0)</f>
        <v>92503.140684153317</v>
      </c>
      <c r="BH141" s="6" cm="1">
        <f t="array" ref="BH141">IFERROR(INDEX(BH$174:BH$175,MATCH(_xlfn.TEXTAFTER(INDEX($F$78:$F$129,MATCH($AI141,$G$78:$G$129,0))," "),_xlfn.TEXTBEFORE($AI$174:$AI$175," - ")),0),0)</f>
        <v>92503.140684153317</v>
      </c>
      <c r="BI141" s="6" cm="1">
        <f t="array" ref="BI141">IFERROR(INDEX(BI$174:BI$175,MATCH(_xlfn.TEXTAFTER(INDEX($F$78:$F$129,MATCH($AI141,$G$78:$G$129,0))," "),_xlfn.TEXTBEFORE($AI$174:$AI$175," - ")),0),0)</f>
        <v>92503.140684153317</v>
      </c>
      <c r="BK141" s="2" t="s">
        <v>103</v>
      </c>
      <c r="BL141" s="26">
        <f t="shared" si="36"/>
        <v>1.708</v>
      </c>
      <c r="BM141" s="26">
        <f t="shared" si="36"/>
        <v>0.64600000000000002</v>
      </c>
      <c r="BN141" s="26">
        <f t="shared" si="36"/>
        <v>0</v>
      </c>
      <c r="BO141" s="26">
        <f t="shared" si="36"/>
        <v>0</v>
      </c>
      <c r="BP141" s="26">
        <f t="shared" si="36"/>
        <v>0</v>
      </c>
      <c r="BQ141" s="26">
        <f t="shared" si="36"/>
        <v>0</v>
      </c>
      <c r="BR141" s="26">
        <f t="shared" si="36"/>
        <v>0</v>
      </c>
      <c r="BS141" s="27">
        <f t="shared" si="37"/>
        <v>2.3540000000000001</v>
      </c>
    </row>
    <row r="142" spans="6:177" ht="16" x14ac:dyDescent="0.2">
      <c r="G142" s="5" t="s">
        <v>40</v>
      </c>
      <c r="H142" s="6">
        <f>IFERROR(ROUND(AVERAGEIFS([1]!Resources[Fixed O&amp;M Cost],[1]!Resources[COD],"&lt;="&amp;H$139,[1]!Resources[Retirement Date],"&gt;="&amp;H$139,[1]!Resources[Unique Key],$G142,[1]!Resources[Summer Rating],"&gt;"&amp;0),2),0)*H80/10^6</f>
        <v>29.19</v>
      </c>
      <c r="I142" s="6">
        <f>IFERROR(ROUND(AVERAGEIFS([1]!Resources[Fixed O&amp;M Cost],[1]!Resources[COD],"&lt;="&amp;I$139,[1]!Resources[Retirement Date],"&gt;="&amp;I$139,[1]!Resources[Unique Key],$G142,[1]!Resources[Summer Rating],"&gt;"&amp;0),2),0)*I80/10^6</f>
        <v>29.19</v>
      </c>
      <c r="J142" s="6">
        <f>IFERROR(ROUND(AVERAGEIFS([1]!Resources[Fixed O&amp;M Cost],[1]!Resources[COD],"&lt;="&amp;J$139,[1]!Resources[Retirement Date],"&gt;="&amp;J$139,[1]!Resources[Unique Key],$G142,[1]!Resources[Summer Rating],"&gt;"&amp;0),2),0)*J80/10^6</f>
        <v>29.19</v>
      </c>
      <c r="K142" s="6">
        <f>IFERROR(ROUND(AVERAGEIFS([1]!Resources[Fixed O&amp;M Cost],[1]!Resources[COD],"&lt;="&amp;K$139,[1]!Resources[Retirement Date],"&gt;="&amp;K$139,[1]!Resources[Unique Key],$G142,[1]!Resources[Summer Rating],"&gt;"&amp;0),2),0)*K80/10^6</f>
        <v>29.19</v>
      </c>
      <c r="L142" s="6">
        <f>IFERROR(ROUND(AVERAGEIFS([1]!Resources[Fixed O&amp;M Cost],[1]!Resources[COD],"&lt;="&amp;L$139,[1]!Resources[Retirement Date],"&gt;="&amp;L$139,[1]!Resources[Unique Key],$G142,[1]!Resources[Summer Rating],"&gt;"&amp;0),2),0)*L80/10^6</f>
        <v>29.19</v>
      </c>
      <c r="M142" s="6">
        <f>IFERROR(ROUND(AVERAGEIFS([1]!Resources[Fixed O&amp;M Cost],[1]!Resources[COD],"&lt;="&amp;M$139,[1]!Resources[Retirement Date],"&gt;="&amp;M$139,[1]!Resources[Unique Key],$G142,[1]!Resources[Summer Rating],"&gt;"&amp;0),2),0)*M80/10^6</f>
        <v>29.19</v>
      </c>
      <c r="N142" s="6">
        <f>IFERROR(ROUND(AVERAGEIFS([1]!Resources[Fixed O&amp;M Cost],[1]!Resources[COD],"&lt;="&amp;N$139,[1]!Resources[Retirement Date],"&gt;="&amp;N$139,[1]!Resources[Unique Key],$G142,[1]!Resources[Summer Rating],"&gt;"&amp;0),2),0)*N80/10^6</f>
        <v>29.19</v>
      </c>
      <c r="O142" s="6">
        <f>IFERROR(ROUND(AVERAGEIFS([1]!Resources[Fixed O&amp;M Cost],[1]!Resources[COD],"&lt;="&amp;O$139,[1]!Resources[Retirement Date],"&gt;="&amp;O$139,[1]!Resources[Unique Key],$G142,[1]!Resources[Summer Rating],"&gt;"&amp;0),2),0)*O80/10^6</f>
        <v>29.19</v>
      </c>
      <c r="P142" s="6">
        <f>IFERROR(ROUND(AVERAGEIFS([1]!Resources[Fixed O&amp;M Cost],[1]!Resources[COD],"&lt;="&amp;P$139,[1]!Resources[Retirement Date],"&gt;="&amp;P$139,[1]!Resources[Unique Key],$G142,[1]!Resources[Summer Rating],"&gt;"&amp;0),2),0)*P80/10^6</f>
        <v>29.19</v>
      </c>
      <c r="Q142" s="6">
        <f>IFERROR(ROUND(AVERAGEIFS([1]!Resources[Fixed O&amp;M Cost],[1]!Resources[COD],"&lt;="&amp;Q$139,[1]!Resources[Retirement Date],"&gt;="&amp;Q$139,[1]!Resources[Unique Key],$G142,[1]!Resources[Summer Rating],"&gt;"&amp;0),2),0)*Q80/10^6</f>
        <v>29.19</v>
      </c>
      <c r="R142" s="6">
        <f>IFERROR(ROUND(AVERAGEIFS([1]!Resources[Fixed O&amp;M Cost],[1]!Resources[COD],"&lt;="&amp;R$139,[1]!Resources[Retirement Date],"&gt;="&amp;R$139,[1]!Resources[Unique Key],$G142,[1]!Resources[Summer Rating],"&gt;"&amp;0),2),0)*R80/10^6</f>
        <v>29.19</v>
      </c>
      <c r="S142" s="6">
        <f>IFERROR(ROUND(AVERAGEIFS([1]!Resources[Fixed O&amp;M Cost],[1]!Resources[COD],"&lt;="&amp;S$139,[1]!Resources[Retirement Date],"&gt;="&amp;S$139,[1]!Resources[Unique Key],$G142,[1]!Resources[Summer Rating],"&gt;"&amp;0),2),0)*S80/10^6</f>
        <v>29.19</v>
      </c>
      <c r="T142" s="6">
        <f>IFERROR(ROUND(AVERAGEIFS([1]!Resources[Fixed O&amp;M Cost],[1]!Resources[COD],"&lt;="&amp;T$139,[1]!Resources[Retirement Date],"&gt;="&amp;T$139,[1]!Resources[Unique Key],$G142,[1]!Resources[Summer Rating],"&gt;"&amp;0),2),0)*T80/10^6</f>
        <v>29.19</v>
      </c>
      <c r="U142" s="6">
        <f>IFERROR(ROUND(AVERAGEIFS([1]!Resources[Fixed O&amp;M Cost],[1]!Resources[COD],"&lt;="&amp;U$139,[1]!Resources[Retirement Date],"&gt;="&amp;U$139,[1]!Resources[Unique Key],$G142,[1]!Resources[Summer Rating],"&gt;"&amp;0),2),0)*U80/10^6</f>
        <v>29.19</v>
      </c>
      <c r="V142" s="6">
        <f>IFERROR(ROUND(AVERAGEIFS([1]!Resources[Fixed O&amp;M Cost],[1]!Resources[COD],"&lt;="&amp;V$139,[1]!Resources[Retirement Date],"&gt;="&amp;V$139,[1]!Resources[Unique Key],$G142,[1]!Resources[Summer Rating],"&gt;"&amp;0),2),0)*V80/10^6</f>
        <v>29.19</v>
      </c>
      <c r="W142" s="6">
        <f>IFERROR(ROUND(AVERAGEIFS([1]!Resources[Fixed O&amp;M Cost],[1]!Resources[COD],"&lt;="&amp;W$139,[1]!Resources[Retirement Date],"&gt;="&amp;W$139,[1]!Resources[Unique Key],$G142,[1]!Resources[Summer Rating],"&gt;"&amp;0),2),0)*W80/10^6</f>
        <v>29.19</v>
      </c>
      <c r="X142" s="6">
        <f>IFERROR(ROUND(AVERAGEIFS([1]!Resources[Fixed O&amp;M Cost],[1]!Resources[COD],"&lt;="&amp;X$139,[1]!Resources[Retirement Date],"&gt;="&amp;X$139,[1]!Resources[Unique Key],$G142,[1]!Resources[Summer Rating],"&gt;"&amp;0),2),0)*X80/10^6</f>
        <v>29.19</v>
      </c>
      <c r="Y142" s="6">
        <f>IFERROR(ROUND(AVERAGEIFS([1]!Resources[Fixed O&amp;M Cost],[1]!Resources[COD],"&lt;="&amp;Y$139,[1]!Resources[Retirement Date],"&gt;="&amp;Y$139,[1]!Resources[Unique Key],$G142,[1]!Resources[Summer Rating],"&gt;"&amp;0),2),0)*Y80/10^6</f>
        <v>29.19</v>
      </c>
      <c r="Z142" s="6">
        <f>IFERROR(ROUND(AVERAGEIFS([1]!Resources[Fixed O&amp;M Cost],[1]!Resources[COD],"&lt;="&amp;Z$139,[1]!Resources[Retirement Date],"&gt;="&amp;Z$139,[1]!Resources[Unique Key],$G142,[1]!Resources[Summer Rating],"&gt;"&amp;0),2),0)*Z80/10^6</f>
        <v>29.19</v>
      </c>
      <c r="AA142" s="6">
        <f>IFERROR(ROUND(AVERAGEIFS([1]!Resources[Fixed O&amp;M Cost],[1]!Resources[COD],"&lt;="&amp;AA$139,[1]!Resources[Retirement Date],"&gt;="&amp;AA$139,[1]!Resources[Unique Key],$G142,[1]!Resources[Summer Rating],"&gt;"&amp;0),2),0)*AA80/10^6</f>
        <v>29.19</v>
      </c>
      <c r="AB142" s="6">
        <f>IFERROR(ROUND(AVERAGEIFS([1]!Resources[Fixed O&amp;M Cost],[1]!Resources[COD],"&lt;="&amp;AB$139,[1]!Resources[Retirement Date],"&gt;="&amp;AB$139,[1]!Resources[Unique Key],$G142,[1]!Resources[Summer Rating],"&gt;"&amp;0),2),0)*AB80/10^6</f>
        <v>29.19</v>
      </c>
      <c r="AC142" s="6">
        <f>IFERROR(ROUND(AVERAGEIFS([1]!Resources[Fixed O&amp;M Cost],[1]!Resources[COD],"&lt;="&amp;AC$139,[1]!Resources[Retirement Date],"&gt;="&amp;AC$139,[1]!Resources[Unique Key],$G142,[1]!Resources[Summer Rating],"&gt;"&amp;0),2),0)*AC80/10^6</f>
        <v>29.19</v>
      </c>
      <c r="AD142" s="6">
        <f>IFERROR(ROUND(AVERAGEIFS([1]!Resources[Fixed O&amp;M Cost],[1]!Resources[COD],"&lt;="&amp;AD$139,[1]!Resources[Retirement Date],"&gt;="&amp;AD$139,[1]!Resources[Unique Key],$G142,[1]!Resources[Summer Rating],"&gt;"&amp;0),2),0)*AD80/10^6</f>
        <v>29.19</v>
      </c>
      <c r="AE142" s="6">
        <f>IFERROR(ROUND(AVERAGEIFS([1]!Resources[Fixed O&amp;M Cost],[1]!Resources[COD],"&lt;="&amp;AE$139,[1]!Resources[Retirement Date],"&gt;="&amp;AE$139,[1]!Resources[Unique Key],$G142,[1]!Resources[Summer Rating],"&gt;"&amp;0),2),0)*AE80/10^6</f>
        <v>29.19</v>
      </c>
      <c r="AF142" s="6">
        <f>IFERROR(ROUND(AVERAGEIFS([1]!Resources[Fixed O&amp;M Cost],[1]!Resources[COD],"&lt;="&amp;AF$139,[1]!Resources[Retirement Date],"&gt;="&amp;AF$139,[1]!Resources[Unique Key],$G142,[1]!Resources[Summer Rating],"&gt;"&amp;0),2),0)*AF80/10^6</f>
        <v>29.19</v>
      </c>
      <c r="AG142" s="6">
        <f>IFERROR(ROUND(AVERAGEIFS([1]!Resources[Fixed O&amp;M Cost],[1]!Resources[COD],"&lt;="&amp;AG$139,[1]!Resources[Retirement Date],"&gt;="&amp;AG$139,[1]!Resources[Unique Key],$G142,[1]!Resources[Summer Rating],"&gt;"&amp;0),2),0)*AG80/10^6</f>
        <v>29.19</v>
      </c>
      <c r="AI142" s="5" t="s">
        <v>40</v>
      </c>
      <c r="AJ142" s="6" cm="1">
        <f t="array" ref="AJ142">IFERROR(INDEX(AJ$174:AJ$175,MATCH(_xlfn.TEXTAFTER(INDEX($F$78:$F$129,MATCH($AI142,$G$78:$G$129,0))," "),_xlfn.TEXTBEFORE($AI$174:$AI$175," - ")),0),0)</f>
        <v>0</v>
      </c>
      <c r="AK142" s="6" cm="1">
        <f t="array" ref="AK142">IFERROR(INDEX(AK$174:AK$175,MATCH(_xlfn.TEXTAFTER(INDEX($F$78:$F$129,MATCH($AI142,$G$78:$G$129,0))," "),_xlfn.TEXTBEFORE($AI$174:$AI$175," - ")),0),0)</f>
        <v>0</v>
      </c>
      <c r="AL142" s="6" cm="1">
        <f t="array" ref="AL142">IFERROR(INDEX(AL$174:AL$175,MATCH(_xlfn.TEXTAFTER(INDEX($F$78:$F$129,MATCH($AI142,$G$78:$G$129,0))," "),_xlfn.TEXTBEFORE($AI$174:$AI$175," - ")),0),0)</f>
        <v>0</v>
      </c>
      <c r="AM142" s="6" cm="1">
        <f t="array" ref="AM142">IFERROR(INDEX(AM$174:AM$175,MATCH(_xlfn.TEXTAFTER(INDEX($F$78:$F$129,MATCH($AI142,$G$78:$G$129,0))," "),_xlfn.TEXTBEFORE($AI$174:$AI$175," - ")),0),0)</f>
        <v>0</v>
      </c>
      <c r="AN142" s="6" cm="1">
        <f t="array" ref="AN142">IFERROR(INDEX(AN$174:AN$175,MATCH(_xlfn.TEXTAFTER(INDEX($F$78:$F$129,MATCH($AI142,$G$78:$G$129,0))," "),_xlfn.TEXTBEFORE($AI$174:$AI$175," - ")),0),0)</f>
        <v>0</v>
      </c>
      <c r="AO142" s="6" cm="1">
        <f t="array" ref="AO142">IFERROR(INDEX(AO$174:AO$175,MATCH(_xlfn.TEXTAFTER(INDEX($F$78:$F$129,MATCH($AI142,$G$78:$G$129,0))," "),_xlfn.TEXTBEFORE($AI$174:$AI$175," - ")),0),0)</f>
        <v>0</v>
      </c>
      <c r="AP142" s="6" cm="1">
        <f t="array" ref="AP142">IFERROR(INDEX(AP$174:AP$175,MATCH(_xlfn.TEXTAFTER(INDEX($F$78:$F$129,MATCH($AI142,$G$78:$G$129,0))," "),_xlfn.TEXTBEFORE($AI$174:$AI$175," - ")),0),0)</f>
        <v>0</v>
      </c>
      <c r="AQ142" s="6" cm="1">
        <f t="array" ref="AQ142">IFERROR(INDEX(AQ$174:AQ$175,MATCH(_xlfn.TEXTAFTER(INDEX($F$78:$F$129,MATCH($AI142,$G$78:$G$129,0))," "),_xlfn.TEXTBEFORE($AI$174:$AI$175," - ")),0),0)</f>
        <v>0</v>
      </c>
      <c r="AR142" s="6" cm="1">
        <f t="array" ref="AR142">IFERROR(INDEX(AR$174:AR$175,MATCH(_xlfn.TEXTAFTER(INDEX($F$78:$F$129,MATCH($AI142,$G$78:$G$129,0))," "),_xlfn.TEXTBEFORE($AI$174:$AI$175," - ")),0),0)</f>
        <v>0</v>
      </c>
      <c r="AS142" s="6" cm="1">
        <f t="array" ref="AS142">IFERROR(INDEX(AS$174:AS$175,MATCH(_xlfn.TEXTAFTER(INDEX($F$78:$F$129,MATCH($AI142,$G$78:$G$129,0))," "),_xlfn.TEXTBEFORE($AI$174:$AI$175," - ")),0),0)</f>
        <v>0</v>
      </c>
      <c r="AT142" s="6" cm="1">
        <f t="array" ref="AT142">IFERROR(INDEX(AT$174:AT$175,MATCH(_xlfn.TEXTAFTER(INDEX($F$78:$F$129,MATCH($AI142,$G$78:$G$129,0))," "),_xlfn.TEXTBEFORE($AI$174:$AI$175," - ")),0),0)</f>
        <v>0</v>
      </c>
      <c r="AU142" s="6" cm="1">
        <f t="array" ref="AU142">IFERROR(INDEX(AU$174:AU$175,MATCH(_xlfn.TEXTAFTER(INDEX($F$78:$F$129,MATCH($AI142,$G$78:$G$129,0))," "),_xlfn.TEXTBEFORE($AI$174:$AI$175," - ")),0),0)</f>
        <v>0</v>
      </c>
      <c r="AV142" s="6" cm="1">
        <f t="array" ref="AV142">IFERROR(INDEX(AV$174:AV$175,MATCH(_xlfn.TEXTAFTER(INDEX($F$78:$F$129,MATCH($AI142,$G$78:$G$129,0))," "),_xlfn.TEXTBEFORE($AI$174:$AI$175," - ")),0),0)</f>
        <v>0</v>
      </c>
      <c r="AW142" s="6" cm="1">
        <f t="array" ref="AW142">IFERROR(INDEX(AW$174:AW$175,MATCH(_xlfn.TEXTAFTER(INDEX($F$78:$F$129,MATCH($AI142,$G$78:$G$129,0))," "),_xlfn.TEXTBEFORE($AI$174:$AI$175," - ")),0),0)</f>
        <v>0</v>
      </c>
      <c r="AX142" s="6" cm="1">
        <f t="array" ref="AX142">IFERROR(INDEX(AX$174:AX$175,MATCH(_xlfn.TEXTAFTER(INDEX($F$78:$F$129,MATCH($AI142,$G$78:$G$129,0))," "),_xlfn.TEXTBEFORE($AI$174:$AI$175," - ")),0),0)</f>
        <v>0</v>
      </c>
      <c r="AY142" s="6" cm="1">
        <f t="array" ref="AY142">IFERROR(INDEX(AY$174:AY$175,MATCH(_xlfn.TEXTAFTER(INDEX($F$78:$F$129,MATCH($AI142,$G$78:$G$129,0))," "),_xlfn.TEXTBEFORE($AI$174:$AI$175," - ")),0),0)</f>
        <v>0</v>
      </c>
      <c r="AZ142" s="6" cm="1">
        <f t="array" ref="AZ142">IFERROR(INDEX(AZ$174:AZ$175,MATCH(_xlfn.TEXTAFTER(INDEX($F$78:$F$129,MATCH($AI142,$G$78:$G$129,0))," "),_xlfn.TEXTBEFORE($AI$174:$AI$175," - ")),0),0)</f>
        <v>0</v>
      </c>
      <c r="BA142" s="6" cm="1">
        <f t="array" ref="BA142">IFERROR(INDEX(BA$174:BA$175,MATCH(_xlfn.TEXTAFTER(INDEX($F$78:$F$129,MATCH($AI142,$G$78:$G$129,0))," "),_xlfn.TEXTBEFORE($AI$174:$AI$175," - ")),0),0)</f>
        <v>0</v>
      </c>
      <c r="BB142" s="6" cm="1">
        <f t="array" ref="BB142">IFERROR(INDEX(BB$174:BB$175,MATCH(_xlfn.TEXTAFTER(INDEX($F$78:$F$129,MATCH($AI142,$G$78:$G$129,0))," "),_xlfn.TEXTBEFORE($AI$174:$AI$175," - ")),0),0)</f>
        <v>0</v>
      </c>
      <c r="BC142" s="6" cm="1">
        <f t="array" ref="BC142">IFERROR(INDEX(BC$174:BC$175,MATCH(_xlfn.TEXTAFTER(INDEX($F$78:$F$129,MATCH($AI142,$G$78:$G$129,0))," "),_xlfn.TEXTBEFORE($AI$174:$AI$175," - ")),0),0)</f>
        <v>0</v>
      </c>
      <c r="BD142" s="6" cm="1">
        <f t="array" ref="BD142">IFERROR(INDEX(BD$174:BD$175,MATCH(_xlfn.TEXTAFTER(INDEX($F$78:$F$129,MATCH($AI142,$G$78:$G$129,0))," "),_xlfn.TEXTBEFORE($AI$174:$AI$175," - ")),0),0)</f>
        <v>0</v>
      </c>
      <c r="BE142" s="6" cm="1">
        <f t="array" ref="BE142">IFERROR(INDEX(BE$174:BE$175,MATCH(_xlfn.TEXTAFTER(INDEX($F$78:$F$129,MATCH($AI142,$G$78:$G$129,0))," "),_xlfn.TEXTBEFORE($AI$174:$AI$175," - ")),0),0)</f>
        <v>0</v>
      </c>
      <c r="BF142" s="6" cm="1">
        <f t="array" ref="BF142">IFERROR(INDEX(BF$174:BF$175,MATCH(_xlfn.TEXTAFTER(INDEX($F$78:$F$129,MATCH($AI142,$G$78:$G$129,0))," "),_xlfn.TEXTBEFORE($AI$174:$AI$175," - ")),0),0)</f>
        <v>0</v>
      </c>
      <c r="BG142" s="6" cm="1">
        <f t="array" ref="BG142">IFERROR(INDEX(BG$174:BG$175,MATCH(_xlfn.TEXTAFTER(INDEX($F$78:$F$129,MATCH($AI142,$G$78:$G$129,0))," "),_xlfn.TEXTBEFORE($AI$174:$AI$175," - ")),0),0)</f>
        <v>0</v>
      </c>
      <c r="BH142" s="6" cm="1">
        <f t="array" ref="BH142">IFERROR(INDEX(BH$174:BH$175,MATCH(_xlfn.TEXTAFTER(INDEX($F$78:$F$129,MATCH($AI142,$G$78:$G$129,0))," "),_xlfn.TEXTBEFORE($AI$174:$AI$175," - ")),0),0)</f>
        <v>0</v>
      </c>
      <c r="BI142" s="6" cm="1">
        <f t="array" ref="BI142">IFERROR(INDEX(BI$174:BI$175,MATCH(_xlfn.TEXTAFTER(INDEX($F$78:$F$129,MATCH($AI142,$G$78:$G$129,0))," "),_xlfn.TEXTBEFORE($AI$174:$AI$175," - ")),0),0)</f>
        <v>0</v>
      </c>
      <c r="BK142" s="2" t="s">
        <v>104</v>
      </c>
      <c r="BL142" s="26">
        <f t="shared" si="36"/>
        <v>24.611999999999998</v>
      </c>
      <c r="BM142" s="26">
        <f t="shared" si="36"/>
        <v>11.335000000000001</v>
      </c>
      <c r="BN142" s="26">
        <f t="shared" si="36"/>
        <v>0</v>
      </c>
      <c r="BO142" s="26">
        <f t="shared" si="36"/>
        <v>0</v>
      </c>
      <c r="BP142" s="26">
        <f t="shared" si="36"/>
        <v>0</v>
      </c>
      <c r="BQ142" s="26">
        <f t="shared" si="36"/>
        <v>0</v>
      </c>
      <c r="BR142" s="26">
        <f t="shared" si="36"/>
        <v>0</v>
      </c>
      <c r="BS142" s="27">
        <f t="shared" si="37"/>
        <v>35.947000000000003</v>
      </c>
    </row>
    <row r="143" spans="6:177" ht="16" x14ac:dyDescent="0.2">
      <c r="G143" s="5" t="s">
        <v>41</v>
      </c>
      <c r="H143" s="6">
        <f>IFERROR(ROUND(AVERAGEIFS([1]!Resources[Fixed O&amp;M Cost],[1]!Resources[COD],"&lt;="&amp;H$139,[1]!Resources[Retirement Date],"&gt;="&amp;H$139,[1]!Resources[Unique Key],$G143,[1]!Resources[Summer Rating],"&gt;"&amp;0),2),0)*H81/10^6</f>
        <v>0</v>
      </c>
      <c r="I143" s="6">
        <f>IFERROR(ROUND(AVERAGEIFS([1]!Resources[Fixed O&amp;M Cost],[1]!Resources[COD],"&lt;="&amp;I$139,[1]!Resources[Retirement Date],"&gt;="&amp;I$139,[1]!Resources[Unique Key],$G143,[1]!Resources[Summer Rating],"&gt;"&amp;0),2),0)*I81/10^6</f>
        <v>0</v>
      </c>
      <c r="J143" s="6">
        <f>IFERROR(ROUND(AVERAGEIFS([1]!Resources[Fixed O&amp;M Cost],[1]!Resources[COD],"&lt;="&amp;J$139,[1]!Resources[Retirement Date],"&gt;="&amp;J$139,[1]!Resources[Unique Key],$G143,[1]!Resources[Summer Rating],"&gt;"&amp;0),2),0)*J81/10^6</f>
        <v>0</v>
      </c>
      <c r="K143" s="6">
        <f>IFERROR(ROUND(AVERAGEIFS([1]!Resources[Fixed O&amp;M Cost],[1]!Resources[COD],"&lt;="&amp;K$139,[1]!Resources[Retirement Date],"&gt;="&amp;K$139,[1]!Resources[Unique Key],$G143,[1]!Resources[Summer Rating],"&gt;"&amp;0),2),0)*K81/10^6</f>
        <v>0</v>
      </c>
      <c r="L143" s="6">
        <f>IFERROR(ROUND(AVERAGEIFS([1]!Resources[Fixed O&amp;M Cost],[1]!Resources[COD],"&lt;="&amp;L$139,[1]!Resources[Retirement Date],"&gt;="&amp;L$139,[1]!Resources[Unique Key],$G143,[1]!Resources[Summer Rating],"&gt;"&amp;0),2),0)*L81/10^6</f>
        <v>23.4</v>
      </c>
      <c r="M143" s="6">
        <f>IFERROR(ROUND(AVERAGEIFS([1]!Resources[Fixed O&amp;M Cost],[1]!Resources[COD],"&lt;="&amp;M$139,[1]!Resources[Retirement Date],"&gt;="&amp;M$139,[1]!Resources[Unique Key],$G143,[1]!Resources[Summer Rating],"&gt;"&amp;0),2),0)*M81/10^6</f>
        <v>52.454999999999998</v>
      </c>
      <c r="N143" s="6">
        <f>IFERROR(ROUND(AVERAGEIFS([1]!Resources[Fixed O&amp;M Cost],[1]!Resources[COD],"&lt;="&amp;N$139,[1]!Resources[Retirement Date],"&gt;="&amp;N$139,[1]!Resources[Unique Key],$G143,[1]!Resources[Summer Rating],"&gt;"&amp;0),2),0)*N81/10^6</f>
        <v>77.61</v>
      </c>
      <c r="O143" s="6">
        <f>IFERROR(ROUND(AVERAGEIFS([1]!Resources[Fixed O&amp;M Cost],[1]!Resources[COD],"&lt;="&amp;O$139,[1]!Resources[Retirement Date],"&gt;="&amp;O$139,[1]!Resources[Unique Key],$G143,[1]!Resources[Summer Rating],"&gt;"&amp;0),2),0)*O81/10^6</f>
        <v>77.61</v>
      </c>
      <c r="P143" s="6">
        <f>IFERROR(ROUND(AVERAGEIFS([1]!Resources[Fixed O&amp;M Cost],[1]!Resources[COD],"&lt;="&amp;P$139,[1]!Resources[Retirement Date],"&gt;="&amp;P$139,[1]!Resources[Unique Key],$G143,[1]!Resources[Summer Rating],"&gt;"&amp;0),2),0)*P81/10^6</f>
        <v>77.61</v>
      </c>
      <c r="Q143" s="6">
        <f>IFERROR(ROUND(AVERAGEIFS([1]!Resources[Fixed O&amp;M Cost],[1]!Resources[COD],"&lt;="&amp;Q$139,[1]!Resources[Retirement Date],"&gt;="&amp;Q$139,[1]!Resources[Unique Key],$G143,[1]!Resources[Summer Rating],"&gt;"&amp;0),2),0)*Q81/10^6</f>
        <v>77.61</v>
      </c>
      <c r="R143" s="6">
        <f>IFERROR(ROUND(AVERAGEIFS([1]!Resources[Fixed O&amp;M Cost],[1]!Resources[COD],"&lt;="&amp;R$139,[1]!Resources[Retirement Date],"&gt;="&amp;R$139,[1]!Resources[Unique Key],$G143,[1]!Resources[Summer Rating],"&gt;"&amp;0),2),0)*R81/10^6</f>
        <v>77.61</v>
      </c>
      <c r="S143" s="6">
        <f>IFERROR(ROUND(AVERAGEIFS([1]!Resources[Fixed O&amp;M Cost],[1]!Resources[COD],"&lt;="&amp;S$139,[1]!Resources[Retirement Date],"&gt;="&amp;S$139,[1]!Resources[Unique Key],$G143,[1]!Resources[Summer Rating],"&gt;"&amp;0),2),0)*S81/10^6</f>
        <v>77.61</v>
      </c>
      <c r="T143" s="6">
        <f>IFERROR(ROUND(AVERAGEIFS([1]!Resources[Fixed O&amp;M Cost],[1]!Resources[COD],"&lt;="&amp;T$139,[1]!Resources[Retirement Date],"&gt;="&amp;T$139,[1]!Resources[Unique Key],$G143,[1]!Resources[Summer Rating],"&gt;"&amp;0),2),0)*T81/10^6</f>
        <v>77.61</v>
      </c>
      <c r="U143" s="6">
        <f>IFERROR(ROUND(AVERAGEIFS([1]!Resources[Fixed O&amp;M Cost],[1]!Resources[COD],"&lt;="&amp;U$139,[1]!Resources[Retirement Date],"&gt;="&amp;U$139,[1]!Resources[Unique Key],$G143,[1]!Resources[Summer Rating],"&gt;"&amp;0),2),0)*U81/10^6</f>
        <v>77.61</v>
      </c>
      <c r="V143" s="6">
        <f>IFERROR(ROUND(AVERAGEIFS([1]!Resources[Fixed O&amp;M Cost],[1]!Resources[COD],"&lt;="&amp;V$139,[1]!Resources[Retirement Date],"&gt;="&amp;V$139,[1]!Resources[Unique Key],$G143,[1]!Resources[Summer Rating],"&gt;"&amp;0),2),0)*V81/10^6</f>
        <v>77.61</v>
      </c>
      <c r="W143" s="6">
        <f>IFERROR(ROUND(AVERAGEIFS([1]!Resources[Fixed O&amp;M Cost],[1]!Resources[COD],"&lt;="&amp;W$139,[1]!Resources[Retirement Date],"&gt;="&amp;W$139,[1]!Resources[Unique Key],$G143,[1]!Resources[Summer Rating],"&gt;"&amp;0),2),0)*W81/10^6</f>
        <v>77.61</v>
      </c>
      <c r="X143" s="6">
        <f>IFERROR(ROUND(AVERAGEIFS([1]!Resources[Fixed O&amp;M Cost],[1]!Resources[COD],"&lt;="&amp;X$139,[1]!Resources[Retirement Date],"&gt;="&amp;X$139,[1]!Resources[Unique Key],$G143,[1]!Resources[Summer Rating],"&gt;"&amp;0),2),0)*X81/10^6</f>
        <v>77.61</v>
      </c>
      <c r="Y143" s="6">
        <f>IFERROR(ROUND(AVERAGEIFS([1]!Resources[Fixed O&amp;M Cost],[1]!Resources[COD],"&lt;="&amp;Y$139,[1]!Resources[Retirement Date],"&gt;="&amp;Y$139,[1]!Resources[Unique Key],$G143,[1]!Resources[Summer Rating],"&gt;"&amp;0),2),0)*Y81/10^6</f>
        <v>77.61</v>
      </c>
      <c r="Z143" s="6">
        <f>IFERROR(ROUND(AVERAGEIFS([1]!Resources[Fixed O&amp;M Cost],[1]!Resources[COD],"&lt;="&amp;Z$139,[1]!Resources[Retirement Date],"&gt;="&amp;Z$139,[1]!Resources[Unique Key],$G143,[1]!Resources[Summer Rating],"&gt;"&amp;0),2),0)*Z81/10^6</f>
        <v>77.61</v>
      </c>
      <c r="AA143" s="6">
        <f>IFERROR(ROUND(AVERAGEIFS([1]!Resources[Fixed O&amp;M Cost],[1]!Resources[COD],"&lt;="&amp;AA$139,[1]!Resources[Retirement Date],"&gt;="&amp;AA$139,[1]!Resources[Unique Key],$G143,[1]!Resources[Summer Rating],"&gt;"&amp;0),2),0)*AA81/10^6</f>
        <v>77.61</v>
      </c>
      <c r="AB143" s="6">
        <f>IFERROR(ROUND(AVERAGEIFS([1]!Resources[Fixed O&amp;M Cost],[1]!Resources[COD],"&lt;="&amp;AB$139,[1]!Resources[Retirement Date],"&gt;="&amp;AB$139,[1]!Resources[Unique Key],$G143,[1]!Resources[Summer Rating],"&gt;"&amp;0),2),0)*AB81/10^6</f>
        <v>77.61</v>
      </c>
      <c r="AC143" s="6">
        <f>IFERROR(ROUND(AVERAGEIFS([1]!Resources[Fixed O&amp;M Cost],[1]!Resources[COD],"&lt;="&amp;AC$139,[1]!Resources[Retirement Date],"&gt;="&amp;AC$139,[1]!Resources[Unique Key],$G143,[1]!Resources[Summer Rating],"&gt;"&amp;0),2),0)*AC81/10^6</f>
        <v>77.61</v>
      </c>
      <c r="AD143" s="6">
        <f>IFERROR(ROUND(AVERAGEIFS([1]!Resources[Fixed O&amp;M Cost],[1]!Resources[COD],"&lt;="&amp;AD$139,[1]!Resources[Retirement Date],"&gt;="&amp;AD$139,[1]!Resources[Unique Key],$G143,[1]!Resources[Summer Rating],"&gt;"&amp;0),2),0)*AD81/10^6</f>
        <v>77.61</v>
      </c>
      <c r="AE143" s="6">
        <f>IFERROR(ROUND(AVERAGEIFS([1]!Resources[Fixed O&amp;M Cost],[1]!Resources[COD],"&lt;="&amp;AE$139,[1]!Resources[Retirement Date],"&gt;="&amp;AE$139,[1]!Resources[Unique Key],$G143,[1]!Resources[Summer Rating],"&gt;"&amp;0),2),0)*AE81/10^6</f>
        <v>77.61</v>
      </c>
      <c r="AF143" s="6">
        <f>IFERROR(ROUND(AVERAGEIFS([1]!Resources[Fixed O&amp;M Cost],[1]!Resources[COD],"&lt;="&amp;AF$139,[1]!Resources[Retirement Date],"&gt;="&amp;AF$139,[1]!Resources[Unique Key],$G143,[1]!Resources[Summer Rating],"&gt;"&amp;0),2),0)*AF81/10^6</f>
        <v>77.61</v>
      </c>
      <c r="AG143" s="6">
        <f>IFERROR(ROUND(AVERAGEIFS([1]!Resources[Fixed O&amp;M Cost],[1]!Resources[COD],"&lt;="&amp;AG$139,[1]!Resources[Retirement Date],"&gt;="&amp;AG$139,[1]!Resources[Unique Key],$G143,[1]!Resources[Summer Rating],"&gt;"&amp;0),2),0)*AG81/10^6</f>
        <v>77.61</v>
      </c>
      <c r="AI143" s="5" t="s">
        <v>41</v>
      </c>
      <c r="AJ143" s="6" cm="1">
        <f t="array" ref="AJ143">IFERROR(INDEX(AJ$174:AJ$175,MATCH(_xlfn.TEXTAFTER(INDEX($F$78:$F$129,MATCH($AI143,$G$78:$G$129,0))," "),_xlfn.TEXTBEFORE($AI$174:$AI$175," - ")),0),0)</f>
        <v>135671.27300342487</v>
      </c>
      <c r="AK143" s="6" cm="1">
        <f t="array" ref="AK143">IFERROR(INDEX(AK$174:AK$175,MATCH(_xlfn.TEXTAFTER(INDEX($F$78:$F$129,MATCH($AI143,$G$78:$G$129,0))," "),_xlfn.TEXTBEFORE($AI$174:$AI$175," - ")),0),0)</f>
        <v>135671.27300342487</v>
      </c>
      <c r="AL143" s="6" cm="1">
        <f t="array" ref="AL143">IFERROR(INDEX(AL$174:AL$175,MATCH(_xlfn.TEXTAFTER(INDEX($F$78:$F$129,MATCH($AI143,$G$78:$G$129,0))," "),_xlfn.TEXTBEFORE($AI$174:$AI$175," - ")),0),0)</f>
        <v>135671.27300342487</v>
      </c>
      <c r="AM143" s="6" cm="1">
        <f t="array" ref="AM143">IFERROR(INDEX(AM$174:AM$175,MATCH(_xlfn.TEXTAFTER(INDEX($F$78:$F$129,MATCH($AI143,$G$78:$G$129,0))," "),_xlfn.TEXTBEFORE($AI$174:$AI$175," - ")),0),0)</f>
        <v>135671.27300342487</v>
      </c>
      <c r="AN143" s="6" cm="1">
        <f t="array" ref="AN143">IFERROR(INDEX(AN$174:AN$175,MATCH(_xlfn.TEXTAFTER(INDEX($F$78:$F$129,MATCH($AI143,$G$78:$G$129,0))," "),_xlfn.TEXTBEFORE($AI$174:$AI$175," - ")),0),0)</f>
        <v>135671.27300342487</v>
      </c>
      <c r="AO143" s="6" cm="1">
        <f t="array" ref="AO143">IFERROR(INDEX(AO$174:AO$175,MATCH(_xlfn.TEXTAFTER(INDEX($F$78:$F$129,MATCH($AI143,$G$78:$G$129,0))," "),_xlfn.TEXTBEFORE($AI$174:$AI$175," - ")),0),0)</f>
        <v>135671.27300342487</v>
      </c>
      <c r="AP143" s="6" cm="1">
        <f t="array" ref="AP143">IFERROR(INDEX(AP$174:AP$175,MATCH(_xlfn.TEXTAFTER(INDEX($F$78:$F$129,MATCH($AI143,$G$78:$G$129,0))," "),_xlfn.TEXTBEFORE($AI$174:$AI$175," - ")),0),0)</f>
        <v>135671.27300342487</v>
      </c>
      <c r="AQ143" s="6" cm="1">
        <f t="array" ref="AQ143">IFERROR(INDEX(AQ$174:AQ$175,MATCH(_xlfn.TEXTAFTER(INDEX($F$78:$F$129,MATCH($AI143,$G$78:$G$129,0))," "),_xlfn.TEXTBEFORE($AI$174:$AI$175," - ")),0),0)</f>
        <v>135671.27300342487</v>
      </c>
      <c r="AR143" s="6" cm="1">
        <f t="array" ref="AR143">IFERROR(INDEX(AR$174:AR$175,MATCH(_xlfn.TEXTAFTER(INDEX($F$78:$F$129,MATCH($AI143,$G$78:$G$129,0))," "),_xlfn.TEXTBEFORE($AI$174:$AI$175," - ")),0),0)</f>
        <v>135671.27300342487</v>
      </c>
      <c r="AS143" s="6" cm="1">
        <f t="array" ref="AS143">IFERROR(INDEX(AS$174:AS$175,MATCH(_xlfn.TEXTAFTER(INDEX($F$78:$F$129,MATCH($AI143,$G$78:$G$129,0))," "),_xlfn.TEXTBEFORE($AI$174:$AI$175," - ")),0),0)</f>
        <v>135671.27300342487</v>
      </c>
      <c r="AT143" s="6" cm="1">
        <f t="array" ref="AT143">IFERROR(INDEX(AT$174:AT$175,MATCH(_xlfn.TEXTAFTER(INDEX($F$78:$F$129,MATCH($AI143,$G$78:$G$129,0))," "),_xlfn.TEXTBEFORE($AI$174:$AI$175," - ")),0),0)</f>
        <v>135671.27300342487</v>
      </c>
      <c r="AU143" s="6" cm="1">
        <f t="array" ref="AU143">IFERROR(INDEX(AU$174:AU$175,MATCH(_xlfn.TEXTAFTER(INDEX($F$78:$F$129,MATCH($AI143,$G$78:$G$129,0))," "),_xlfn.TEXTBEFORE($AI$174:$AI$175," - ")),0),0)</f>
        <v>135671.27300342487</v>
      </c>
      <c r="AV143" s="6" cm="1">
        <f t="array" ref="AV143">IFERROR(INDEX(AV$174:AV$175,MATCH(_xlfn.TEXTAFTER(INDEX($F$78:$F$129,MATCH($AI143,$G$78:$G$129,0))," "),_xlfn.TEXTBEFORE($AI$174:$AI$175," - ")),0),0)</f>
        <v>135671.27300342487</v>
      </c>
      <c r="AW143" s="6" cm="1">
        <f t="array" ref="AW143">IFERROR(INDEX(AW$174:AW$175,MATCH(_xlfn.TEXTAFTER(INDEX($F$78:$F$129,MATCH($AI143,$G$78:$G$129,0))," "),_xlfn.TEXTBEFORE($AI$174:$AI$175," - ")),0),0)</f>
        <v>135671.27300342487</v>
      </c>
      <c r="AX143" s="6" cm="1">
        <f t="array" ref="AX143">IFERROR(INDEX(AX$174:AX$175,MATCH(_xlfn.TEXTAFTER(INDEX($F$78:$F$129,MATCH($AI143,$G$78:$G$129,0))," "),_xlfn.TEXTBEFORE($AI$174:$AI$175," - ")),0),0)</f>
        <v>135671.27300342487</v>
      </c>
      <c r="AY143" s="6" cm="1">
        <f t="array" ref="AY143">IFERROR(INDEX(AY$174:AY$175,MATCH(_xlfn.TEXTAFTER(INDEX($F$78:$F$129,MATCH($AI143,$G$78:$G$129,0))," "),_xlfn.TEXTBEFORE($AI$174:$AI$175," - ")),0),0)</f>
        <v>135671.27300342487</v>
      </c>
      <c r="AZ143" s="6" cm="1">
        <f t="array" ref="AZ143">IFERROR(INDEX(AZ$174:AZ$175,MATCH(_xlfn.TEXTAFTER(INDEX($F$78:$F$129,MATCH($AI143,$G$78:$G$129,0))," "),_xlfn.TEXTBEFORE($AI$174:$AI$175," - ")),0),0)</f>
        <v>135671.27300342487</v>
      </c>
      <c r="BA143" s="6" cm="1">
        <f t="array" ref="BA143">IFERROR(INDEX(BA$174:BA$175,MATCH(_xlfn.TEXTAFTER(INDEX($F$78:$F$129,MATCH($AI143,$G$78:$G$129,0))," "),_xlfn.TEXTBEFORE($AI$174:$AI$175," - ")),0),0)</f>
        <v>135671.27300342487</v>
      </c>
      <c r="BB143" s="6" cm="1">
        <f t="array" ref="BB143">IFERROR(INDEX(BB$174:BB$175,MATCH(_xlfn.TEXTAFTER(INDEX($F$78:$F$129,MATCH($AI143,$G$78:$G$129,0))," "),_xlfn.TEXTBEFORE($AI$174:$AI$175," - ")),0),0)</f>
        <v>135671.27300342487</v>
      </c>
      <c r="BC143" s="6" cm="1">
        <f t="array" ref="BC143">IFERROR(INDEX(BC$174:BC$175,MATCH(_xlfn.TEXTAFTER(INDEX($F$78:$F$129,MATCH($AI143,$G$78:$G$129,0))," "),_xlfn.TEXTBEFORE($AI$174:$AI$175," - ")),0),0)</f>
        <v>135671.27300342487</v>
      </c>
      <c r="BD143" s="6" cm="1">
        <f t="array" ref="BD143">IFERROR(INDEX(BD$174:BD$175,MATCH(_xlfn.TEXTAFTER(INDEX($F$78:$F$129,MATCH($AI143,$G$78:$G$129,0))," "),_xlfn.TEXTBEFORE($AI$174:$AI$175," - ")),0),0)</f>
        <v>135671.27300342487</v>
      </c>
      <c r="BE143" s="6" cm="1">
        <f t="array" ref="BE143">IFERROR(INDEX(BE$174:BE$175,MATCH(_xlfn.TEXTAFTER(INDEX($F$78:$F$129,MATCH($AI143,$G$78:$G$129,0))," "),_xlfn.TEXTBEFORE($AI$174:$AI$175," - ")),0),0)</f>
        <v>135671.27300342487</v>
      </c>
      <c r="BF143" s="6" cm="1">
        <f t="array" ref="BF143">IFERROR(INDEX(BF$174:BF$175,MATCH(_xlfn.TEXTAFTER(INDEX($F$78:$F$129,MATCH($AI143,$G$78:$G$129,0))," "),_xlfn.TEXTBEFORE($AI$174:$AI$175," - ")),0),0)</f>
        <v>135671.27300342487</v>
      </c>
      <c r="BG143" s="6" cm="1">
        <f t="array" ref="BG143">IFERROR(INDEX(BG$174:BG$175,MATCH(_xlfn.TEXTAFTER(INDEX($F$78:$F$129,MATCH($AI143,$G$78:$G$129,0))," "),_xlfn.TEXTBEFORE($AI$174:$AI$175," - ")),0),0)</f>
        <v>135671.27300342487</v>
      </c>
      <c r="BH143" s="6" cm="1">
        <f t="array" ref="BH143">IFERROR(INDEX(BH$174:BH$175,MATCH(_xlfn.TEXTAFTER(INDEX($F$78:$F$129,MATCH($AI143,$G$78:$G$129,0))," "),_xlfn.TEXTBEFORE($AI$174:$AI$175," - ")),0),0)</f>
        <v>135671.27300342487</v>
      </c>
      <c r="BI143" s="6" cm="1">
        <f t="array" ref="BI143">IFERROR(INDEX(BI$174:BI$175,MATCH(_xlfn.TEXTAFTER(INDEX($F$78:$F$129,MATCH($AI143,$G$78:$G$129,0))," "),_xlfn.TEXTBEFORE($AI$174:$AI$175," - ")),0),0)</f>
        <v>135671.27300342487</v>
      </c>
      <c r="BK143" s="2" t="s">
        <v>105</v>
      </c>
      <c r="BL143" s="26">
        <f t="shared" si="36"/>
        <v>0</v>
      </c>
      <c r="BM143" s="26">
        <f t="shared" si="36"/>
        <v>0</v>
      </c>
      <c r="BN143" s="26">
        <f t="shared" si="36"/>
        <v>0</v>
      </c>
      <c r="BO143" s="26">
        <f t="shared" si="36"/>
        <v>0</v>
      </c>
      <c r="BP143" s="26">
        <f t="shared" si="36"/>
        <v>0</v>
      </c>
      <c r="BQ143" s="26">
        <f t="shared" si="36"/>
        <v>0</v>
      </c>
      <c r="BR143" s="26">
        <f t="shared" si="36"/>
        <v>0</v>
      </c>
      <c r="BS143" s="27">
        <f t="shared" si="37"/>
        <v>0</v>
      </c>
    </row>
    <row r="144" spans="6:177" ht="16" x14ac:dyDescent="0.2">
      <c r="G144" s="5" t="s">
        <v>43</v>
      </c>
      <c r="H144" s="6">
        <f>IFERROR(ROUND(AVERAGEIFS([1]!Resources[Fixed O&amp;M Cost],[1]!Resources[COD],"&lt;="&amp;H$139,[1]!Resources[Retirement Date],"&gt;="&amp;H$139,[1]!Resources[Unique Key],$G144,[1]!Resources[Summer Rating],"&gt;"&amp;0),2),0)*H82/10^6</f>
        <v>0</v>
      </c>
      <c r="I144" s="6">
        <f>IFERROR(ROUND(AVERAGEIFS([1]!Resources[Fixed O&amp;M Cost],[1]!Resources[COD],"&lt;="&amp;I$139,[1]!Resources[Retirement Date],"&gt;="&amp;I$139,[1]!Resources[Unique Key],$G144,[1]!Resources[Summer Rating],"&gt;"&amp;0),2),0)*I82/10^6</f>
        <v>0</v>
      </c>
      <c r="J144" s="6">
        <f>IFERROR(ROUND(AVERAGEIFS([1]!Resources[Fixed O&amp;M Cost],[1]!Resources[COD],"&lt;="&amp;J$139,[1]!Resources[Retirement Date],"&gt;="&amp;J$139,[1]!Resources[Unique Key],$G144,[1]!Resources[Summer Rating],"&gt;"&amp;0),2),0)*J82/10^6</f>
        <v>0</v>
      </c>
      <c r="K144" s="6">
        <f>IFERROR(ROUND(AVERAGEIFS([1]!Resources[Fixed O&amp;M Cost],[1]!Resources[COD],"&lt;="&amp;K$139,[1]!Resources[Retirement Date],"&gt;="&amp;K$139,[1]!Resources[Unique Key],$G144,[1]!Resources[Summer Rating],"&gt;"&amp;0),2),0)*K82/10^6</f>
        <v>5.4997999999999996</v>
      </c>
      <c r="L144" s="6">
        <f>IFERROR(ROUND(AVERAGEIFS([1]!Resources[Fixed O&amp;M Cost],[1]!Resources[COD],"&lt;="&amp;L$139,[1]!Resources[Retirement Date],"&gt;="&amp;L$139,[1]!Resources[Unique Key],$G144,[1]!Resources[Summer Rating],"&gt;"&amp;0),2),0)*L82/10^6</f>
        <v>17.835799999999999</v>
      </c>
      <c r="M144" s="6">
        <f>IFERROR(ROUND(AVERAGEIFS([1]!Resources[Fixed O&amp;M Cost],[1]!Resources[COD],"&lt;="&amp;M$139,[1]!Resources[Retirement Date],"&gt;="&amp;M$139,[1]!Resources[Unique Key],$G144,[1]!Resources[Summer Rating],"&gt;"&amp;0),2),0)*M82/10^6</f>
        <v>17.835799999999999</v>
      </c>
      <c r="N144" s="6">
        <f>IFERROR(ROUND(AVERAGEIFS([1]!Resources[Fixed O&amp;M Cost],[1]!Resources[COD],"&lt;="&amp;N$139,[1]!Resources[Retirement Date],"&gt;="&amp;N$139,[1]!Resources[Unique Key],$G144,[1]!Resources[Summer Rating],"&gt;"&amp;0),2),0)*N82/10^6</f>
        <v>17.835799999999999</v>
      </c>
      <c r="O144" s="6">
        <f>IFERROR(ROUND(AVERAGEIFS([1]!Resources[Fixed O&amp;M Cost],[1]!Resources[COD],"&lt;="&amp;O$139,[1]!Resources[Retirement Date],"&gt;="&amp;O$139,[1]!Resources[Unique Key],$G144,[1]!Resources[Summer Rating],"&gt;"&amp;0),2),0)*O82/10^6</f>
        <v>17.835799999999999</v>
      </c>
      <c r="P144" s="6">
        <f>IFERROR(ROUND(AVERAGEIFS([1]!Resources[Fixed O&amp;M Cost],[1]!Resources[COD],"&lt;="&amp;P$139,[1]!Resources[Retirement Date],"&gt;="&amp;P$139,[1]!Resources[Unique Key],$G144,[1]!Resources[Summer Rating],"&gt;"&amp;0),2),0)*P82/10^6</f>
        <v>17.835799999999999</v>
      </c>
      <c r="Q144" s="6">
        <f>IFERROR(ROUND(AVERAGEIFS([1]!Resources[Fixed O&amp;M Cost],[1]!Resources[COD],"&lt;="&amp;Q$139,[1]!Resources[Retirement Date],"&gt;="&amp;Q$139,[1]!Resources[Unique Key],$G144,[1]!Resources[Summer Rating],"&gt;"&amp;0),2),0)*Q82/10^6</f>
        <v>17.835799999999999</v>
      </c>
      <c r="R144" s="6">
        <f>IFERROR(ROUND(AVERAGEIFS([1]!Resources[Fixed O&amp;M Cost],[1]!Resources[COD],"&lt;="&amp;R$139,[1]!Resources[Retirement Date],"&gt;="&amp;R$139,[1]!Resources[Unique Key],$G144,[1]!Resources[Summer Rating],"&gt;"&amp;0),2),0)*R82/10^6</f>
        <v>17.835799999999999</v>
      </c>
      <c r="S144" s="6">
        <f>IFERROR(ROUND(AVERAGEIFS([1]!Resources[Fixed O&amp;M Cost],[1]!Resources[COD],"&lt;="&amp;S$139,[1]!Resources[Retirement Date],"&gt;="&amp;S$139,[1]!Resources[Unique Key],$G144,[1]!Resources[Summer Rating],"&gt;"&amp;0),2),0)*S82/10^6</f>
        <v>17.835799999999999</v>
      </c>
      <c r="T144" s="6">
        <f>IFERROR(ROUND(AVERAGEIFS([1]!Resources[Fixed O&amp;M Cost],[1]!Resources[COD],"&lt;="&amp;T$139,[1]!Resources[Retirement Date],"&gt;="&amp;T$139,[1]!Resources[Unique Key],$G144,[1]!Resources[Summer Rating],"&gt;"&amp;0),2),0)*T82/10^6</f>
        <v>17.835799999999999</v>
      </c>
      <c r="U144" s="6">
        <f>IFERROR(ROUND(AVERAGEIFS([1]!Resources[Fixed O&amp;M Cost],[1]!Resources[COD],"&lt;="&amp;U$139,[1]!Resources[Retirement Date],"&gt;="&amp;U$139,[1]!Resources[Unique Key],$G144,[1]!Resources[Summer Rating],"&gt;"&amp;0),2),0)*U82/10^6</f>
        <v>17.835799999999999</v>
      </c>
      <c r="V144" s="6">
        <f>IFERROR(ROUND(AVERAGEIFS([1]!Resources[Fixed O&amp;M Cost],[1]!Resources[COD],"&lt;="&amp;V$139,[1]!Resources[Retirement Date],"&gt;="&amp;V$139,[1]!Resources[Unique Key],$G144,[1]!Resources[Summer Rating],"&gt;"&amp;0),2),0)*V82/10^6</f>
        <v>17.835799999999999</v>
      </c>
      <c r="W144" s="6">
        <f>IFERROR(ROUND(AVERAGEIFS([1]!Resources[Fixed O&amp;M Cost],[1]!Resources[COD],"&lt;="&amp;W$139,[1]!Resources[Retirement Date],"&gt;="&amp;W$139,[1]!Resources[Unique Key],$G144,[1]!Resources[Summer Rating],"&gt;"&amp;0),2),0)*W82/10^6</f>
        <v>17.835799999999999</v>
      </c>
      <c r="X144" s="6">
        <f>IFERROR(ROUND(AVERAGEIFS([1]!Resources[Fixed O&amp;M Cost],[1]!Resources[COD],"&lt;="&amp;X$139,[1]!Resources[Retirement Date],"&gt;="&amp;X$139,[1]!Resources[Unique Key],$G144,[1]!Resources[Summer Rating],"&gt;"&amp;0),2),0)*X82/10^6</f>
        <v>17.835799999999999</v>
      </c>
      <c r="Y144" s="6">
        <f>IFERROR(ROUND(AVERAGEIFS([1]!Resources[Fixed O&amp;M Cost],[1]!Resources[COD],"&lt;="&amp;Y$139,[1]!Resources[Retirement Date],"&gt;="&amp;Y$139,[1]!Resources[Unique Key],$G144,[1]!Resources[Summer Rating],"&gt;"&amp;0),2),0)*Y82/10^6</f>
        <v>17.835799999999999</v>
      </c>
      <c r="Z144" s="6">
        <f>IFERROR(ROUND(AVERAGEIFS([1]!Resources[Fixed O&amp;M Cost],[1]!Resources[COD],"&lt;="&amp;Z$139,[1]!Resources[Retirement Date],"&gt;="&amp;Z$139,[1]!Resources[Unique Key],$G144,[1]!Resources[Summer Rating],"&gt;"&amp;0),2),0)*Z82/10^6</f>
        <v>17.835799999999999</v>
      </c>
      <c r="AA144" s="6">
        <f>IFERROR(ROUND(AVERAGEIFS([1]!Resources[Fixed O&amp;M Cost],[1]!Resources[COD],"&lt;="&amp;AA$139,[1]!Resources[Retirement Date],"&gt;="&amp;AA$139,[1]!Resources[Unique Key],$G144,[1]!Resources[Summer Rating],"&gt;"&amp;0),2),0)*AA82/10^6</f>
        <v>17.835799999999999</v>
      </c>
      <c r="AB144" s="6">
        <f>IFERROR(ROUND(AVERAGEIFS([1]!Resources[Fixed O&amp;M Cost],[1]!Resources[COD],"&lt;="&amp;AB$139,[1]!Resources[Retirement Date],"&gt;="&amp;AB$139,[1]!Resources[Unique Key],$G144,[1]!Resources[Summer Rating],"&gt;"&amp;0),2),0)*AB82/10^6</f>
        <v>17.835799999999999</v>
      </c>
      <c r="AC144" s="6">
        <f>IFERROR(ROUND(AVERAGEIFS([1]!Resources[Fixed O&amp;M Cost],[1]!Resources[COD],"&lt;="&amp;AC$139,[1]!Resources[Retirement Date],"&gt;="&amp;AC$139,[1]!Resources[Unique Key],$G144,[1]!Resources[Summer Rating],"&gt;"&amp;0),2),0)*AC82/10^6</f>
        <v>17.835799999999999</v>
      </c>
      <c r="AD144" s="6">
        <f>IFERROR(ROUND(AVERAGEIFS([1]!Resources[Fixed O&amp;M Cost],[1]!Resources[COD],"&lt;="&amp;AD$139,[1]!Resources[Retirement Date],"&gt;="&amp;AD$139,[1]!Resources[Unique Key],$G144,[1]!Resources[Summer Rating],"&gt;"&amp;0),2),0)*AD82/10^6</f>
        <v>17.835799999999999</v>
      </c>
      <c r="AE144" s="6">
        <f>IFERROR(ROUND(AVERAGEIFS([1]!Resources[Fixed O&amp;M Cost],[1]!Resources[COD],"&lt;="&amp;AE$139,[1]!Resources[Retirement Date],"&gt;="&amp;AE$139,[1]!Resources[Unique Key],$G144,[1]!Resources[Summer Rating],"&gt;"&amp;0),2),0)*AE82/10^6</f>
        <v>17.835799999999999</v>
      </c>
      <c r="AF144" s="6">
        <f>IFERROR(ROUND(AVERAGEIFS([1]!Resources[Fixed O&amp;M Cost],[1]!Resources[COD],"&lt;="&amp;AF$139,[1]!Resources[Retirement Date],"&gt;="&amp;AF$139,[1]!Resources[Unique Key],$G144,[1]!Resources[Summer Rating],"&gt;"&amp;0),2),0)*AF82/10^6</f>
        <v>17.835799999999999</v>
      </c>
      <c r="AG144" s="6">
        <f>IFERROR(ROUND(AVERAGEIFS([1]!Resources[Fixed O&amp;M Cost],[1]!Resources[COD],"&lt;="&amp;AG$139,[1]!Resources[Retirement Date],"&gt;="&amp;AG$139,[1]!Resources[Unique Key],$G144,[1]!Resources[Summer Rating],"&gt;"&amp;0),2),0)*AG82/10^6</f>
        <v>17.835799999999999</v>
      </c>
      <c r="AI144" s="5" t="s">
        <v>43</v>
      </c>
      <c r="AJ144" s="6" cm="1">
        <f t="array" ref="AJ144">IFERROR(INDEX(AJ$174:AJ$175,MATCH(_xlfn.TEXTAFTER(INDEX($F$78:$F$129,MATCH($AI144,$G$78:$G$129,0))," "),_xlfn.TEXTBEFORE($AI$174:$AI$175," - ")),0),0)</f>
        <v>92503.140684153317</v>
      </c>
      <c r="AK144" s="6" cm="1">
        <f t="array" ref="AK144">IFERROR(INDEX(AK$174:AK$175,MATCH(_xlfn.TEXTAFTER(INDEX($F$78:$F$129,MATCH($AI144,$G$78:$G$129,0))," "),_xlfn.TEXTBEFORE($AI$174:$AI$175," - ")),0),0)</f>
        <v>92503.140684153317</v>
      </c>
      <c r="AL144" s="6" cm="1">
        <f t="array" ref="AL144">IFERROR(INDEX(AL$174:AL$175,MATCH(_xlfn.TEXTAFTER(INDEX($F$78:$F$129,MATCH($AI144,$G$78:$G$129,0))," "),_xlfn.TEXTBEFORE($AI$174:$AI$175," - ")),0),0)</f>
        <v>92503.140684153317</v>
      </c>
      <c r="AM144" s="6" cm="1">
        <f t="array" ref="AM144">IFERROR(INDEX(AM$174:AM$175,MATCH(_xlfn.TEXTAFTER(INDEX($F$78:$F$129,MATCH($AI144,$G$78:$G$129,0))," "),_xlfn.TEXTBEFORE($AI$174:$AI$175," - ")),0),0)</f>
        <v>92503.140684153317</v>
      </c>
      <c r="AN144" s="6" cm="1">
        <f t="array" ref="AN144">IFERROR(INDEX(AN$174:AN$175,MATCH(_xlfn.TEXTAFTER(INDEX($F$78:$F$129,MATCH($AI144,$G$78:$G$129,0))," "),_xlfn.TEXTBEFORE($AI$174:$AI$175," - ")),0),0)</f>
        <v>92503.140684153317</v>
      </c>
      <c r="AO144" s="6" cm="1">
        <f t="array" ref="AO144">IFERROR(INDEX(AO$174:AO$175,MATCH(_xlfn.TEXTAFTER(INDEX($F$78:$F$129,MATCH($AI144,$G$78:$G$129,0))," "),_xlfn.TEXTBEFORE($AI$174:$AI$175," - ")),0),0)</f>
        <v>92503.140684153317</v>
      </c>
      <c r="AP144" s="6" cm="1">
        <f t="array" ref="AP144">IFERROR(INDEX(AP$174:AP$175,MATCH(_xlfn.TEXTAFTER(INDEX($F$78:$F$129,MATCH($AI144,$G$78:$G$129,0))," "),_xlfn.TEXTBEFORE($AI$174:$AI$175," - ")),0),0)</f>
        <v>92503.140684153317</v>
      </c>
      <c r="AQ144" s="6" cm="1">
        <f t="array" ref="AQ144">IFERROR(INDEX(AQ$174:AQ$175,MATCH(_xlfn.TEXTAFTER(INDEX($F$78:$F$129,MATCH($AI144,$G$78:$G$129,0))," "),_xlfn.TEXTBEFORE($AI$174:$AI$175," - ")),0),0)</f>
        <v>92503.140684153317</v>
      </c>
      <c r="AR144" s="6" cm="1">
        <f t="array" ref="AR144">IFERROR(INDEX(AR$174:AR$175,MATCH(_xlfn.TEXTAFTER(INDEX($F$78:$F$129,MATCH($AI144,$G$78:$G$129,0))," "),_xlfn.TEXTBEFORE($AI$174:$AI$175," - ")),0),0)</f>
        <v>92503.140684153317</v>
      </c>
      <c r="AS144" s="6" cm="1">
        <f t="array" ref="AS144">IFERROR(INDEX(AS$174:AS$175,MATCH(_xlfn.TEXTAFTER(INDEX($F$78:$F$129,MATCH($AI144,$G$78:$G$129,0))," "),_xlfn.TEXTBEFORE($AI$174:$AI$175," - ")),0),0)</f>
        <v>92503.140684153317</v>
      </c>
      <c r="AT144" s="6" cm="1">
        <f t="array" ref="AT144">IFERROR(INDEX(AT$174:AT$175,MATCH(_xlfn.TEXTAFTER(INDEX($F$78:$F$129,MATCH($AI144,$G$78:$G$129,0))," "),_xlfn.TEXTBEFORE($AI$174:$AI$175," - ")),0),0)</f>
        <v>92503.140684153317</v>
      </c>
      <c r="AU144" s="6" cm="1">
        <f t="array" ref="AU144">IFERROR(INDEX(AU$174:AU$175,MATCH(_xlfn.TEXTAFTER(INDEX($F$78:$F$129,MATCH($AI144,$G$78:$G$129,0))," "),_xlfn.TEXTBEFORE($AI$174:$AI$175," - ")),0),0)</f>
        <v>92503.140684153317</v>
      </c>
      <c r="AV144" s="6" cm="1">
        <f t="array" ref="AV144">IFERROR(INDEX(AV$174:AV$175,MATCH(_xlfn.TEXTAFTER(INDEX($F$78:$F$129,MATCH($AI144,$G$78:$G$129,0))," "),_xlfn.TEXTBEFORE($AI$174:$AI$175," - ")),0),0)</f>
        <v>92503.140684153317</v>
      </c>
      <c r="AW144" s="6" cm="1">
        <f t="array" ref="AW144">IFERROR(INDEX(AW$174:AW$175,MATCH(_xlfn.TEXTAFTER(INDEX($F$78:$F$129,MATCH($AI144,$G$78:$G$129,0))," "),_xlfn.TEXTBEFORE($AI$174:$AI$175," - ")),0),0)</f>
        <v>92503.140684153317</v>
      </c>
      <c r="AX144" s="6" cm="1">
        <f t="array" ref="AX144">IFERROR(INDEX(AX$174:AX$175,MATCH(_xlfn.TEXTAFTER(INDEX($F$78:$F$129,MATCH($AI144,$G$78:$G$129,0))," "),_xlfn.TEXTBEFORE($AI$174:$AI$175," - ")),0),0)</f>
        <v>92503.140684153317</v>
      </c>
      <c r="AY144" s="6" cm="1">
        <f t="array" ref="AY144">IFERROR(INDEX(AY$174:AY$175,MATCH(_xlfn.TEXTAFTER(INDEX($F$78:$F$129,MATCH($AI144,$G$78:$G$129,0))," "),_xlfn.TEXTBEFORE($AI$174:$AI$175," - ")),0),0)</f>
        <v>92503.140684153317</v>
      </c>
      <c r="AZ144" s="6" cm="1">
        <f t="array" ref="AZ144">IFERROR(INDEX(AZ$174:AZ$175,MATCH(_xlfn.TEXTAFTER(INDEX($F$78:$F$129,MATCH($AI144,$G$78:$G$129,0))," "),_xlfn.TEXTBEFORE($AI$174:$AI$175," - ")),0),0)</f>
        <v>92503.140684153317</v>
      </c>
      <c r="BA144" s="6" cm="1">
        <f t="array" ref="BA144">IFERROR(INDEX(BA$174:BA$175,MATCH(_xlfn.TEXTAFTER(INDEX($F$78:$F$129,MATCH($AI144,$G$78:$G$129,0))," "),_xlfn.TEXTBEFORE($AI$174:$AI$175," - ")),0),0)</f>
        <v>92503.140684153317</v>
      </c>
      <c r="BB144" s="6" cm="1">
        <f t="array" ref="BB144">IFERROR(INDEX(BB$174:BB$175,MATCH(_xlfn.TEXTAFTER(INDEX($F$78:$F$129,MATCH($AI144,$G$78:$G$129,0))," "),_xlfn.TEXTBEFORE($AI$174:$AI$175," - ")),0),0)</f>
        <v>92503.140684153317</v>
      </c>
      <c r="BC144" s="6" cm="1">
        <f t="array" ref="BC144">IFERROR(INDEX(BC$174:BC$175,MATCH(_xlfn.TEXTAFTER(INDEX($F$78:$F$129,MATCH($AI144,$G$78:$G$129,0))," "),_xlfn.TEXTBEFORE($AI$174:$AI$175," - ")),0),0)</f>
        <v>92503.140684153317</v>
      </c>
      <c r="BD144" s="6" cm="1">
        <f t="array" ref="BD144">IFERROR(INDEX(BD$174:BD$175,MATCH(_xlfn.TEXTAFTER(INDEX($F$78:$F$129,MATCH($AI144,$G$78:$G$129,0))," "),_xlfn.TEXTBEFORE($AI$174:$AI$175," - ")),0),0)</f>
        <v>92503.140684153317</v>
      </c>
      <c r="BE144" s="6" cm="1">
        <f t="array" ref="BE144">IFERROR(INDEX(BE$174:BE$175,MATCH(_xlfn.TEXTAFTER(INDEX($F$78:$F$129,MATCH($AI144,$G$78:$G$129,0))," "),_xlfn.TEXTBEFORE($AI$174:$AI$175," - ")),0),0)</f>
        <v>92503.140684153317</v>
      </c>
      <c r="BF144" s="6" cm="1">
        <f t="array" ref="BF144">IFERROR(INDEX(BF$174:BF$175,MATCH(_xlfn.TEXTAFTER(INDEX($F$78:$F$129,MATCH($AI144,$G$78:$G$129,0))," "),_xlfn.TEXTBEFORE($AI$174:$AI$175," - ")),0),0)</f>
        <v>92503.140684153317</v>
      </c>
      <c r="BG144" s="6" cm="1">
        <f t="array" ref="BG144">IFERROR(INDEX(BG$174:BG$175,MATCH(_xlfn.TEXTAFTER(INDEX($F$78:$F$129,MATCH($AI144,$G$78:$G$129,0))," "),_xlfn.TEXTBEFORE($AI$174:$AI$175," - ")),0),0)</f>
        <v>92503.140684153317</v>
      </c>
      <c r="BH144" s="6" cm="1">
        <f t="array" ref="BH144">IFERROR(INDEX(BH$174:BH$175,MATCH(_xlfn.TEXTAFTER(INDEX($F$78:$F$129,MATCH($AI144,$G$78:$G$129,0))," "),_xlfn.TEXTBEFORE($AI$174:$AI$175," - ")),0),0)</f>
        <v>92503.140684153317</v>
      </c>
      <c r="BI144" s="6" cm="1">
        <f t="array" ref="BI144">IFERROR(INDEX(BI$174:BI$175,MATCH(_xlfn.TEXTAFTER(INDEX($F$78:$F$129,MATCH($AI144,$G$78:$G$129,0))," "),_xlfn.TEXTBEFORE($AI$174:$AI$175," - ")),0),0)</f>
        <v>92503.140684153317</v>
      </c>
      <c r="BK144" s="2" t="s">
        <v>106</v>
      </c>
      <c r="BL144" s="26">
        <f t="shared" si="36"/>
        <v>0</v>
      </c>
      <c r="BM144" s="26">
        <f t="shared" si="36"/>
        <v>0</v>
      </c>
      <c r="BN144" s="26">
        <f t="shared" si="36"/>
        <v>0</v>
      </c>
      <c r="BO144" s="26">
        <f t="shared" si="36"/>
        <v>0</v>
      </c>
      <c r="BP144" s="26">
        <f t="shared" si="36"/>
        <v>0</v>
      </c>
      <c r="BQ144" s="26">
        <f t="shared" si="36"/>
        <v>0</v>
      </c>
      <c r="BR144" s="26">
        <f t="shared" si="36"/>
        <v>0</v>
      </c>
      <c r="BS144" s="27">
        <f t="shared" si="37"/>
        <v>0</v>
      </c>
    </row>
    <row r="145" spans="7:61" ht="16" x14ac:dyDescent="0.2">
      <c r="G145" s="5" t="s">
        <v>45</v>
      </c>
      <c r="H145" s="6">
        <f>IFERROR(ROUND(AVERAGEIFS([1]!Resources[Fixed O&amp;M Cost],[1]!Resources[COD],"&lt;="&amp;H$139,[1]!Resources[Retirement Date],"&gt;="&amp;H$139,[1]!Resources[Unique Key],$G145,[1]!Resources[Summer Rating],"&gt;"&amp;0),2),0)*H83/10^6</f>
        <v>0</v>
      </c>
      <c r="I145" s="6">
        <f>IFERROR(ROUND(AVERAGEIFS([1]!Resources[Fixed O&amp;M Cost],[1]!Resources[COD],"&lt;="&amp;I$139,[1]!Resources[Retirement Date],"&gt;="&amp;I$139,[1]!Resources[Unique Key],$G145,[1]!Resources[Summer Rating],"&gt;"&amp;0),2),0)*I83/10^6</f>
        <v>0</v>
      </c>
      <c r="J145" s="6">
        <f>IFERROR(ROUND(AVERAGEIFS([1]!Resources[Fixed O&amp;M Cost],[1]!Resources[COD],"&lt;="&amp;J$139,[1]!Resources[Retirement Date],"&gt;="&amp;J$139,[1]!Resources[Unique Key],$G145,[1]!Resources[Summer Rating],"&gt;"&amp;0),2),0)*J83/10^6</f>
        <v>0</v>
      </c>
      <c r="K145" s="6">
        <f>IFERROR(ROUND(AVERAGEIFS([1]!Resources[Fixed O&amp;M Cost],[1]!Resources[COD],"&lt;="&amp;K$139,[1]!Resources[Retirement Date],"&gt;="&amp;K$139,[1]!Resources[Unique Key],$G145,[1]!Resources[Summer Rating],"&gt;"&amp;0),2),0)*K83/10^6</f>
        <v>0</v>
      </c>
      <c r="L145" s="6">
        <f>IFERROR(ROUND(AVERAGEIFS([1]!Resources[Fixed O&amp;M Cost],[1]!Resources[COD],"&lt;="&amp;L$139,[1]!Resources[Retirement Date],"&gt;="&amp;L$139,[1]!Resources[Unique Key],$G145,[1]!Resources[Summer Rating],"&gt;"&amp;0),2),0)*L83/10^6</f>
        <v>0</v>
      </c>
      <c r="M145" s="6">
        <f>IFERROR(ROUND(AVERAGEIFS([1]!Resources[Fixed O&amp;M Cost],[1]!Resources[COD],"&lt;="&amp;M$139,[1]!Resources[Retirement Date],"&gt;="&amp;M$139,[1]!Resources[Unique Key],$G145,[1]!Resources[Summer Rating],"&gt;"&amp;0),2),0)*M83/10^6</f>
        <v>42</v>
      </c>
      <c r="N145" s="6">
        <f>IFERROR(ROUND(AVERAGEIFS([1]!Resources[Fixed O&amp;M Cost],[1]!Resources[COD],"&lt;="&amp;N$139,[1]!Resources[Retirement Date],"&gt;="&amp;N$139,[1]!Resources[Unique Key],$G145,[1]!Resources[Summer Rating],"&gt;"&amp;0),2),0)*N83/10^6</f>
        <v>42</v>
      </c>
      <c r="O145" s="6">
        <f>IFERROR(ROUND(AVERAGEIFS([1]!Resources[Fixed O&amp;M Cost],[1]!Resources[COD],"&lt;="&amp;O$139,[1]!Resources[Retirement Date],"&gt;="&amp;O$139,[1]!Resources[Unique Key],$G145,[1]!Resources[Summer Rating],"&gt;"&amp;0),2),0)*O83/10^6</f>
        <v>42</v>
      </c>
      <c r="P145" s="6">
        <f>IFERROR(ROUND(AVERAGEIFS([1]!Resources[Fixed O&amp;M Cost],[1]!Resources[COD],"&lt;="&amp;P$139,[1]!Resources[Retirement Date],"&gt;="&amp;P$139,[1]!Resources[Unique Key],$G145,[1]!Resources[Summer Rating],"&gt;"&amp;0),2),0)*P83/10^6</f>
        <v>42</v>
      </c>
      <c r="Q145" s="6">
        <f>IFERROR(ROUND(AVERAGEIFS([1]!Resources[Fixed O&amp;M Cost],[1]!Resources[COD],"&lt;="&amp;Q$139,[1]!Resources[Retirement Date],"&gt;="&amp;Q$139,[1]!Resources[Unique Key],$G145,[1]!Resources[Summer Rating],"&gt;"&amp;0),2),0)*Q83/10^6</f>
        <v>42</v>
      </c>
      <c r="R145" s="6">
        <f>IFERROR(ROUND(AVERAGEIFS([1]!Resources[Fixed O&amp;M Cost],[1]!Resources[COD],"&lt;="&amp;R$139,[1]!Resources[Retirement Date],"&gt;="&amp;R$139,[1]!Resources[Unique Key],$G145,[1]!Resources[Summer Rating],"&gt;"&amp;0),2),0)*R83/10^6</f>
        <v>42</v>
      </c>
      <c r="S145" s="6">
        <f>IFERROR(ROUND(AVERAGEIFS([1]!Resources[Fixed O&amp;M Cost],[1]!Resources[COD],"&lt;="&amp;S$139,[1]!Resources[Retirement Date],"&gt;="&amp;S$139,[1]!Resources[Unique Key],$G145,[1]!Resources[Summer Rating],"&gt;"&amp;0),2),0)*S83/10^6</f>
        <v>42</v>
      </c>
      <c r="T145" s="6">
        <f>IFERROR(ROUND(AVERAGEIFS([1]!Resources[Fixed O&amp;M Cost],[1]!Resources[COD],"&lt;="&amp;T$139,[1]!Resources[Retirement Date],"&gt;="&amp;T$139,[1]!Resources[Unique Key],$G145,[1]!Resources[Summer Rating],"&gt;"&amp;0),2),0)*T83/10^6</f>
        <v>42</v>
      </c>
      <c r="U145" s="6">
        <f>IFERROR(ROUND(AVERAGEIFS([1]!Resources[Fixed O&amp;M Cost],[1]!Resources[COD],"&lt;="&amp;U$139,[1]!Resources[Retirement Date],"&gt;="&amp;U$139,[1]!Resources[Unique Key],$G145,[1]!Resources[Summer Rating],"&gt;"&amp;0),2),0)*U83/10^6</f>
        <v>42</v>
      </c>
      <c r="V145" s="6">
        <f>IFERROR(ROUND(AVERAGEIFS([1]!Resources[Fixed O&amp;M Cost],[1]!Resources[COD],"&lt;="&amp;V$139,[1]!Resources[Retirement Date],"&gt;="&amp;V$139,[1]!Resources[Unique Key],$G145,[1]!Resources[Summer Rating],"&gt;"&amp;0),2),0)*V83/10^6</f>
        <v>68.888000000000005</v>
      </c>
      <c r="W145" s="6">
        <f>IFERROR(ROUND(AVERAGEIFS([1]!Resources[Fixed O&amp;M Cost],[1]!Resources[COD],"&lt;="&amp;W$139,[1]!Resources[Retirement Date],"&gt;="&amp;W$139,[1]!Resources[Unique Key],$G145,[1]!Resources[Summer Rating],"&gt;"&amp;0),2),0)*W83/10^6</f>
        <v>68.888000000000005</v>
      </c>
      <c r="X145" s="6">
        <f>IFERROR(ROUND(AVERAGEIFS([1]!Resources[Fixed O&amp;M Cost],[1]!Resources[COD],"&lt;="&amp;X$139,[1]!Resources[Retirement Date],"&gt;="&amp;X$139,[1]!Resources[Unique Key],$G145,[1]!Resources[Summer Rating],"&gt;"&amp;0),2),0)*X83/10^6</f>
        <v>68.888000000000005</v>
      </c>
      <c r="Y145" s="6">
        <f>IFERROR(ROUND(AVERAGEIFS([1]!Resources[Fixed O&amp;M Cost],[1]!Resources[COD],"&lt;="&amp;Y$139,[1]!Resources[Retirement Date],"&gt;="&amp;Y$139,[1]!Resources[Unique Key],$G145,[1]!Resources[Summer Rating],"&gt;"&amp;0),2),0)*Y83/10^6</f>
        <v>68.888000000000005</v>
      </c>
      <c r="Z145" s="6">
        <f>IFERROR(ROUND(AVERAGEIFS([1]!Resources[Fixed O&amp;M Cost],[1]!Resources[COD],"&lt;="&amp;Z$139,[1]!Resources[Retirement Date],"&gt;="&amp;Z$139,[1]!Resources[Unique Key],$G145,[1]!Resources[Summer Rating],"&gt;"&amp;0),2),0)*Z83/10^6</f>
        <v>68.888000000000005</v>
      </c>
      <c r="AA145" s="6">
        <f>IFERROR(ROUND(AVERAGEIFS([1]!Resources[Fixed O&amp;M Cost],[1]!Resources[COD],"&lt;="&amp;AA$139,[1]!Resources[Retirement Date],"&gt;="&amp;AA$139,[1]!Resources[Unique Key],$G145,[1]!Resources[Summer Rating],"&gt;"&amp;0),2),0)*AA83/10^6</f>
        <v>68.888000000000005</v>
      </c>
      <c r="AB145" s="6">
        <f>IFERROR(ROUND(AVERAGEIFS([1]!Resources[Fixed O&amp;M Cost],[1]!Resources[COD],"&lt;="&amp;AB$139,[1]!Resources[Retirement Date],"&gt;="&amp;AB$139,[1]!Resources[Unique Key],$G145,[1]!Resources[Summer Rating],"&gt;"&amp;0),2),0)*AB83/10^6</f>
        <v>68.888000000000005</v>
      </c>
      <c r="AC145" s="6">
        <f>IFERROR(ROUND(AVERAGEIFS([1]!Resources[Fixed O&amp;M Cost],[1]!Resources[COD],"&lt;="&amp;AC$139,[1]!Resources[Retirement Date],"&gt;="&amp;AC$139,[1]!Resources[Unique Key],$G145,[1]!Resources[Summer Rating],"&gt;"&amp;0),2),0)*AC83/10^6</f>
        <v>68.888000000000005</v>
      </c>
      <c r="AD145" s="6">
        <f>IFERROR(ROUND(AVERAGEIFS([1]!Resources[Fixed O&amp;M Cost],[1]!Resources[COD],"&lt;="&amp;AD$139,[1]!Resources[Retirement Date],"&gt;="&amp;AD$139,[1]!Resources[Unique Key],$G145,[1]!Resources[Summer Rating],"&gt;"&amp;0),2),0)*AD83/10^6</f>
        <v>68.888000000000005</v>
      </c>
      <c r="AE145" s="6">
        <f>IFERROR(ROUND(AVERAGEIFS([1]!Resources[Fixed O&amp;M Cost],[1]!Resources[COD],"&lt;="&amp;AE$139,[1]!Resources[Retirement Date],"&gt;="&amp;AE$139,[1]!Resources[Unique Key],$G145,[1]!Resources[Summer Rating],"&gt;"&amp;0),2),0)*AE83/10^6</f>
        <v>68.888000000000005</v>
      </c>
      <c r="AF145" s="6">
        <f>IFERROR(ROUND(AVERAGEIFS([1]!Resources[Fixed O&amp;M Cost],[1]!Resources[COD],"&lt;="&amp;AF$139,[1]!Resources[Retirement Date],"&gt;="&amp;AF$139,[1]!Resources[Unique Key],$G145,[1]!Resources[Summer Rating],"&gt;"&amp;0),2),0)*AF83/10^6</f>
        <v>68.888000000000005</v>
      </c>
      <c r="AG145" s="6">
        <f>IFERROR(ROUND(AVERAGEIFS([1]!Resources[Fixed O&amp;M Cost],[1]!Resources[COD],"&lt;="&amp;AG$139,[1]!Resources[Retirement Date],"&gt;="&amp;AG$139,[1]!Resources[Unique Key],$G145,[1]!Resources[Summer Rating],"&gt;"&amp;0),2),0)*AG83/10^6</f>
        <v>68.888000000000005</v>
      </c>
      <c r="AI145" s="5" t="s">
        <v>45</v>
      </c>
      <c r="AJ145" s="6" cm="1">
        <f t="array" ref="AJ145">IFERROR(INDEX(AJ$174:AJ$175,MATCH(_xlfn.TEXTAFTER(INDEX($F$78:$F$129,MATCH($AI145,$G$78:$G$129,0))," "),_xlfn.TEXTBEFORE($AI$174:$AI$175," - ")),0),0)</f>
        <v>92503.140684153317</v>
      </c>
      <c r="AK145" s="6" cm="1">
        <f t="array" ref="AK145">IFERROR(INDEX(AK$174:AK$175,MATCH(_xlfn.TEXTAFTER(INDEX($F$78:$F$129,MATCH($AI145,$G$78:$G$129,0))," "),_xlfn.TEXTBEFORE($AI$174:$AI$175," - ")),0),0)</f>
        <v>92503.140684153317</v>
      </c>
      <c r="AL145" s="6" cm="1">
        <f t="array" ref="AL145">IFERROR(INDEX(AL$174:AL$175,MATCH(_xlfn.TEXTAFTER(INDEX($F$78:$F$129,MATCH($AI145,$G$78:$G$129,0))," "),_xlfn.TEXTBEFORE($AI$174:$AI$175," - ")),0),0)</f>
        <v>92503.140684153317</v>
      </c>
      <c r="AM145" s="6" cm="1">
        <f t="array" ref="AM145">IFERROR(INDEX(AM$174:AM$175,MATCH(_xlfn.TEXTAFTER(INDEX($F$78:$F$129,MATCH($AI145,$G$78:$G$129,0))," "),_xlfn.TEXTBEFORE($AI$174:$AI$175," - ")),0),0)</f>
        <v>92503.140684153317</v>
      </c>
      <c r="AN145" s="6" cm="1">
        <f t="array" ref="AN145">IFERROR(INDEX(AN$174:AN$175,MATCH(_xlfn.TEXTAFTER(INDEX($F$78:$F$129,MATCH($AI145,$G$78:$G$129,0))," "),_xlfn.TEXTBEFORE($AI$174:$AI$175," - ")),0),0)</f>
        <v>92503.140684153317</v>
      </c>
      <c r="AO145" s="6" cm="1">
        <f t="array" ref="AO145">IFERROR(INDEX(AO$174:AO$175,MATCH(_xlfn.TEXTAFTER(INDEX($F$78:$F$129,MATCH($AI145,$G$78:$G$129,0))," "),_xlfn.TEXTBEFORE($AI$174:$AI$175," - ")),0),0)</f>
        <v>92503.140684153317</v>
      </c>
      <c r="AP145" s="6" cm="1">
        <f t="array" ref="AP145">IFERROR(INDEX(AP$174:AP$175,MATCH(_xlfn.TEXTAFTER(INDEX($F$78:$F$129,MATCH($AI145,$G$78:$G$129,0))," "),_xlfn.TEXTBEFORE($AI$174:$AI$175," - ")),0),0)</f>
        <v>92503.140684153317</v>
      </c>
      <c r="AQ145" s="6" cm="1">
        <f t="array" ref="AQ145">IFERROR(INDEX(AQ$174:AQ$175,MATCH(_xlfn.TEXTAFTER(INDEX($F$78:$F$129,MATCH($AI145,$G$78:$G$129,0))," "),_xlfn.TEXTBEFORE($AI$174:$AI$175," - ")),0),0)</f>
        <v>92503.140684153317</v>
      </c>
      <c r="AR145" s="6" cm="1">
        <f t="array" ref="AR145">IFERROR(INDEX(AR$174:AR$175,MATCH(_xlfn.TEXTAFTER(INDEX($F$78:$F$129,MATCH($AI145,$G$78:$G$129,0))," "),_xlfn.TEXTBEFORE($AI$174:$AI$175," - ")),0),0)</f>
        <v>92503.140684153317</v>
      </c>
      <c r="AS145" s="6" cm="1">
        <f t="array" ref="AS145">IFERROR(INDEX(AS$174:AS$175,MATCH(_xlfn.TEXTAFTER(INDEX($F$78:$F$129,MATCH($AI145,$G$78:$G$129,0))," "),_xlfn.TEXTBEFORE($AI$174:$AI$175," - ")),0),0)</f>
        <v>92503.140684153317</v>
      </c>
      <c r="AT145" s="6" cm="1">
        <f t="array" ref="AT145">IFERROR(INDEX(AT$174:AT$175,MATCH(_xlfn.TEXTAFTER(INDEX($F$78:$F$129,MATCH($AI145,$G$78:$G$129,0))," "),_xlfn.TEXTBEFORE($AI$174:$AI$175," - ")),0),0)</f>
        <v>92503.140684153317</v>
      </c>
      <c r="AU145" s="6" cm="1">
        <f t="array" ref="AU145">IFERROR(INDEX(AU$174:AU$175,MATCH(_xlfn.TEXTAFTER(INDEX($F$78:$F$129,MATCH($AI145,$G$78:$G$129,0))," "),_xlfn.TEXTBEFORE($AI$174:$AI$175," - ")),0),0)</f>
        <v>92503.140684153317</v>
      </c>
      <c r="AV145" s="6" cm="1">
        <f t="array" ref="AV145">IFERROR(INDEX(AV$174:AV$175,MATCH(_xlfn.TEXTAFTER(INDEX($F$78:$F$129,MATCH($AI145,$G$78:$G$129,0))," "),_xlfn.TEXTBEFORE($AI$174:$AI$175," - ")),0),0)</f>
        <v>92503.140684153317</v>
      </c>
      <c r="AW145" s="6" cm="1">
        <f t="array" ref="AW145">IFERROR(INDEX(AW$174:AW$175,MATCH(_xlfn.TEXTAFTER(INDEX($F$78:$F$129,MATCH($AI145,$G$78:$G$129,0))," "),_xlfn.TEXTBEFORE($AI$174:$AI$175," - ")),0),0)</f>
        <v>92503.140684153317</v>
      </c>
      <c r="AX145" s="6" cm="1">
        <f t="array" ref="AX145">IFERROR(INDEX(AX$174:AX$175,MATCH(_xlfn.TEXTAFTER(INDEX($F$78:$F$129,MATCH($AI145,$G$78:$G$129,0))," "),_xlfn.TEXTBEFORE($AI$174:$AI$175," - ")),0),0)</f>
        <v>92503.140684153317</v>
      </c>
      <c r="AY145" s="6" cm="1">
        <f t="array" ref="AY145">IFERROR(INDEX(AY$174:AY$175,MATCH(_xlfn.TEXTAFTER(INDEX($F$78:$F$129,MATCH($AI145,$G$78:$G$129,0))," "),_xlfn.TEXTBEFORE($AI$174:$AI$175," - ")),0),0)</f>
        <v>92503.140684153317</v>
      </c>
      <c r="AZ145" s="6" cm="1">
        <f t="array" ref="AZ145">IFERROR(INDEX(AZ$174:AZ$175,MATCH(_xlfn.TEXTAFTER(INDEX($F$78:$F$129,MATCH($AI145,$G$78:$G$129,0))," "),_xlfn.TEXTBEFORE($AI$174:$AI$175," - ")),0),0)</f>
        <v>92503.140684153317</v>
      </c>
      <c r="BA145" s="6" cm="1">
        <f t="array" ref="BA145">IFERROR(INDEX(BA$174:BA$175,MATCH(_xlfn.TEXTAFTER(INDEX($F$78:$F$129,MATCH($AI145,$G$78:$G$129,0))," "),_xlfn.TEXTBEFORE($AI$174:$AI$175," - ")),0),0)</f>
        <v>92503.140684153317</v>
      </c>
      <c r="BB145" s="6" cm="1">
        <f t="array" ref="BB145">IFERROR(INDEX(BB$174:BB$175,MATCH(_xlfn.TEXTAFTER(INDEX($F$78:$F$129,MATCH($AI145,$G$78:$G$129,0))," "),_xlfn.TEXTBEFORE($AI$174:$AI$175," - ")),0),0)</f>
        <v>92503.140684153317</v>
      </c>
      <c r="BC145" s="6" cm="1">
        <f t="array" ref="BC145">IFERROR(INDEX(BC$174:BC$175,MATCH(_xlfn.TEXTAFTER(INDEX($F$78:$F$129,MATCH($AI145,$G$78:$G$129,0))," "),_xlfn.TEXTBEFORE($AI$174:$AI$175," - ")),0),0)</f>
        <v>92503.140684153317</v>
      </c>
      <c r="BD145" s="6" cm="1">
        <f t="array" ref="BD145">IFERROR(INDEX(BD$174:BD$175,MATCH(_xlfn.TEXTAFTER(INDEX($F$78:$F$129,MATCH($AI145,$G$78:$G$129,0))," "),_xlfn.TEXTBEFORE($AI$174:$AI$175," - ")),0),0)</f>
        <v>92503.140684153317</v>
      </c>
      <c r="BE145" s="6" cm="1">
        <f t="array" ref="BE145">IFERROR(INDEX(BE$174:BE$175,MATCH(_xlfn.TEXTAFTER(INDEX($F$78:$F$129,MATCH($AI145,$G$78:$G$129,0))," "),_xlfn.TEXTBEFORE($AI$174:$AI$175," - ")),0),0)</f>
        <v>92503.140684153317</v>
      </c>
      <c r="BF145" s="6" cm="1">
        <f t="array" ref="BF145">IFERROR(INDEX(BF$174:BF$175,MATCH(_xlfn.TEXTAFTER(INDEX($F$78:$F$129,MATCH($AI145,$G$78:$G$129,0))," "),_xlfn.TEXTBEFORE($AI$174:$AI$175," - ")),0),0)</f>
        <v>92503.140684153317</v>
      </c>
      <c r="BG145" s="6" cm="1">
        <f t="array" ref="BG145">IFERROR(INDEX(BG$174:BG$175,MATCH(_xlfn.TEXTAFTER(INDEX($F$78:$F$129,MATCH($AI145,$G$78:$G$129,0))," "),_xlfn.TEXTBEFORE($AI$174:$AI$175," - ")),0),0)</f>
        <v>92503.140684153317</v>
      </c>
      <c r="BH145" s="6" cm="1">
        <f t="array" ref="BH145">IFERROR(INDEX(BH$174:BH$175,MATCH(_xlfn.TEXTAFTER(INDEX($F$78:$F$129,MATCH($AI145,$G$78:$G$129,0))," "),_xlfn.TEXTBEFORE($AI$174:$AI$175," - ")),0),0)</f>
        <v>92503.140684153317</v>
      </c>
      <c r="BI145" s="6" cm="1">
        <f t="array" ref="BI145">IFERROR(INDEX(BI$174:BI$175,MATCH(_xlfn.TEXTAFTER(INDEX($F$78:$F$129,MATCH($AI145,$G$78:$G$129,0))," "),_xlfn.TEXTBEFORE($AI$174:$AI$175," - ")),0),0)</f>
        <v>92503.140684153317</v>
      </c>
    </row>
    <row r="146" spans="7:61" ht="16" x14ac:dyDescent="0.2">
      <c r="G146" s="5" t="s">
        <v>47</v>
      </c>
      <c r="H146" s="6">
        <f>IFERROR(ROUND(AVERAGEIFS([1]!Resources[Fixed O&amp;M Cost],[1]!Resources[COD],"&lt;="&amp;H$139,[1]!Resources[Retirement Date],"&gt;="&amp;H$139,[1]!Resources[Unique Key],$G146,[1]!Resources[Summer Rating],"&gt;"&amp;0),2),0)*H84/10^6</f>
        <v>42</v>
      </c>
      <c r="I146" s="6">
        <f>IFERROR(ROUND(AVERAGEIFS([1]!Resources[Fixed O&amp;M Cost],[1]!Resources[COD],"&lt;="&amp;I$139,[1]!Resources[Retirement Date],"&gt;="&amp;I$139,[1]!Resources[Unique Key],$G146,[1]!Resources[Summer Rating],"&gt;"&amp;0),2),0)*I84/10^6</f>
        <v>42</v>
      </c>
      <c r="J146" s="6">
        <f>IFERROR(ROUND(AVERAGEIFS([1]!Resources[Fixed O&amp;M Cost],[1]!Resources[COD],"&lt;="&amp;J$139,[1]!Resources[Retirement Date],"&gt;="&amp;J$139,[1]!Resources[Unique Key],$G146,[1]!Resources[Summer Rating],"&gt;"&amp;0),2),0)*J84/10^6</f>
        <v>42</v>
      </c>
      <c r="K146" s="6">
        <f>IFERROR(ROUND(AVERAGEIFS([1]!Resources[Fixed O&amp;M Cost],[1]!Resources[COD],"&lt;="&amp;K$139,[1]!Resources[Retirement Date],"&gt;="&amp;K$139,[1]!Resources[Unique Key],$G146,[1]!Resources[Summer Rating],"&gt;"&amp;0),2),0)*K84/10^6</f>
        <v>42</v>
      </c>
      <c r="L146" s="6">
        <f>IFERROR(ROUND(AVERAGEIFS([1]!Resources[Fixed O&amp;M Cost],[1]!Resources[COD],"&lt;="&amp;L$139,[1]!Resources[Retirement Date],"&gt;="&amp;L$139,[1]!Resources[Unique Key],$G146,[1]!Resources[Summer Rating],"&gt;"&amp;0),2),0)*L84/10^6</f>
        <v>42</v>
      </c>
      <c r="M146" s="6">
        <f>IFERROR(ROUND(AVERAGEIFS([1]!Resources[Fixed O&amp;M Cost],[1]!Resources[COD],"&lt;="&amp;M$139,[1]!Resources[Retirement Date],"&gt;="&amp;M$139,[1]!Resources[Unique Key],$G146,[1]!Resources[Summer Rating],"&gt;"&amp;0),2),0)*M84/10^6</f>
        <v>0</v>
      </c>
      <c r="N146" s="6">
        <f>IFERROR(ROUND(AVERAGEIFS([1]!Resources[Fixed O&amp;M Cost],[1]!Resources[COD],"&lt;="&amp;N$139,[1]!Resources[Retirement Date],"&gt;="&amp;N$139,[1]!Resources[Unique Key],$G146,[1]!Resources[Summer Rating],"&gt;"&amp;0),2),0)*N84/10^6</f>
        <v>0</v>
      </c>
      <c r="O146" s="6">
        <f>IFERROR(ROUND(AVERAGEIFS([1]!Resources[Fixed O&amp;M Cost],[1]!Resources[COD],"&lt;="&amp;O$139,[1]!Resources[Retirement Date],"&gt;="&amp;O$139,[1]!Resources[Unique Key],$G146,[1]!Resources[Summer Rating],"&gt;"&amp;0),2),0)*O84/10^6</f>
        <v>0</v>
      </c>
      <c r="P146" s="6">
        <f>IFERROR(ROUND(AVERAGEIFS([1]!Resources[Fixed O&amp;M Cost],[1]!Resources[COD],"&lt;="&amp;P$139,[1]!Resources[Retirement Date],"&gt;="&amp;P$139,[1]!Resources[Unique Key],$G146,[1]!Resources[Summer Rating],"&gt;"&amp;0),2),0)*P84/10^6</f>
        <v>0</v>
      </c>
      <c r="Q146" s="6">
        <f>IFERROR(ROUND(AVERAGEIFS([1]!Resources[Fixed O&amp;M Cost],[1]!Resources[COD],"&lt;="&amp;Q$139,[1]!Resources[Retirement Date],"&gt;="&amp;Q$139,[1]!Resources[Unique Key],$G146,[1]!Resources[Summer Rating],"&gt;"&amp;0),2),0)*Q84/10^6</f>
        <v>0</v>
      </c>
      <c r="R146" s="6">
        <f>IFERROR(ROUND(AVERAGEIFS([1]!Resources[Fixed O&amp;M Cost],[1]!Resources[COD],"&lt;="&amp;R$139,[1]!Resources[Retirement Date],"&gt;="&amp;R$139,[1]!Resources[Unique Key],$G146,[1]!Resources[Summer Rating],"&gt;"&amp;0),2),0)*R84/10^6</f>
        <v>0</v>
      </c>
      <c r="S146" s="6">
        <f>IFERROR(ROUND(AVERAGEIFS([1]!Resources[Fixed O&amp;M Cost],[1]!Resources[COD],"&lt;="&amp;S$139,[1]!Resources[Retirement Date],"&gt;="&amp;S$139,[1]!Resources[Unique Key],$G146,[1]!Resources[Summer Rating],"&gt;"&amp;0),2),0)*S84/10^6</f>
        <v>0</v>
      </c>
      <c r="T146" s="6">
        <f>IFERROR(ROUND(AVERAGEIFS([1]!Resources[Fixed O&amp;M Cost],[1]!Resources[COD],"&lt;="&amp;T$139,[1]!Resources[Retirement Date],"&gt;="&amp;T$139,[1]!Resources[Unique Key],$G146,[1]!Resources[Summer Rating],"&gt;"&amp;0),2),0)*T84/10^6</f>
        <v>0</v>
      </c>
      <c r="U146" s="6">
        <f>IFERROR(ROUND(AVERAGEIFS([1]!Resources[Fixed O&amp;M Cost],[1]!Resources[COD],"&lt;="&amp;U$139,[1]!Resources[Retirement Date],"&gt;="&amp;U$139,[1]!Resources[Unique Key],$G146,[1]!Resources[Summer Rating],"&gt;"&amp;0),2),0)*U84/10^6</f>
        <v>0</v>
      </c>
      <c r="V146" s="6">
        <f>IFERROR(ROUND(AVERAGEIFS([1]!Resources[Fixed O&amp;M Cost],[1]!Resources[COD],"&lt;="&amp;V$139,[1]!Resources[Retirement Date],"&gt;="&amp;V$139,[1]!Resources[Unique Key],$G146,[1]!Resources[Summer Rating],"&gt;"&amp;0),2),0)*V84/10^6</f>
        <v>0</v>
      </c>
      <c r="W146" s="6">
        <f>IFERROR(ROUND(AVERAGEIFS([1]!Resources[Fixed O&amp;M Cost],[1]!Resources[COD],"&lt;="&amp;W$139,[1]!Resources[Retirement Date],"&gt;="&amp;W$139,[1]!Resources[Unique Key],$G146,[1]!Resources[Summer Rating],"&gt;"&amp;0),2),0)*W84/10^6</f>
        <v>0</v>
      </c>
      <c r="X146" s="6">
        <f>IFERROR(ROUND(AVERAGEIFS([1]!Resources[Fixed O&amp;M Cost],[1]!Resources[COD],"&lt;="&amp;X$139,[1]!Resources[Retirement Date],"&gt;="&amp;X$139,[1]!Resources[Unique Key],$G146,[1]!Resources[Summer Rating],"&gt;"&amp;0),2),0)*X84/10^6</f>
        <v>0</v>
      </c>
      <c r="Y146" s="6">
        <f>IFERROR(ROUND(AVERAGEIFS([1]!Resources[Fixed O&amp;M Cost],[1]!Resources[COD],"&lt;="&amp;Y$139,[1]!Resources[Retirement Date],"&gt;="&amp;Y$139,[1]!Resources[Unique Key],$G146,[1]!Resources[Summer Rating],"&gt;"&amp;0),2),0)*Y84/10^6</f>
        <v>0</v>
      </c>
      <c r="Z146" s="6">
        <f>IFERROR(ROUND(AVERAGEIFS([1]!Resources[Fixed O&amp;M Cost],[1]!Resources[COD],"&lt;="&amp;Z$139,[1]!Resources[Retirement Date],"&gt;="&amp;Z$139,[1]!Resources[Unique Key],$G146,[1]!Resources[Summer Rating],"&gt;"&amp;0),2),0)*Z84/10^6</f>
        <v>0</v>
      </c>
      <c r="AA146" s="6">
        <f>IFERROR(ROUND(AVERAGEIFS([1]!Resources[Fixed O&amp;M Cost],[1]!Resources[COD],"&lt;="&amp;AA$139,[1]!Resources[Retirement Date],"&gt;="&amp;AA$139,[1]!Resources[Unique Key],$G146,[1]!Resources[Summer Rating],"&gt;"&amp;0),2),0)*AA84/10^6</f>
        <v>0</v>
      </c>
      <c r="AB146" s="6">
        <f>IFERROR(ROUND(AVERAGEIFS([1]!Resources[Fixed O&amp;M Cost],[1]!Resources[COD],"&lt;="&amp;AB$139,[1]!Resources[Retirement Date],"&gt;="&amp;AB$139,[1]!Resources[Unique Key],$G146,[1]!Resources[Summer Rating],"&gt;"&amp;0),2),0)*AB84/10^6</f>
        <v>0</v>
      </c>
      <c r="AC146" s="6">
        <f>IFERROR(ROUND(AVERAGEIFS([1]!Resources[Fixed O&amp;M Cost],[1]!Resources[COD],"&lt;="&amp;AC$139,[1]!Resources[Retirement Date],"&gt;="&amp;AC$139,[1]!Resources[Unique Key],$G146,[1]!Resources[Summer Rating],"&gt;"&amp;0),2),0)*AC84/10^6</f>
        <v>0</v>
      </c>
      <c r="AD146" s="6">
        <f>IFERROR(ROUND(AVERAGEIFS([1]!Resources[Fixed O&amp;M Cost],[1]!Resources[COD],"&lt;="&amp;AD$139,[1]!Resources[Retirement Date],"&gt;="&amp;AD$139,[1]!Resources[Unique Key],$G146,[1]!Resources[Summer Rating],"&gt;"&amp;0),2),0)*AD84/10^6</f>
        <v>0</v>
      </c>
      <c r="AE146" s="6">
        <f>IFERROR(ROUND(AVERAGEIFS([1]!Resources[Fixed O&amp;M Cost],[1]!Resources[COD],"&lt;="&amp;AE$139,[1]!Resources[Retirement Date],"&gt;="&amp;AE$139,[1]!Resources[Unique Key],$G146,[1]!Resources[Summer Rating],"&gt;"&amp;0),2),0)*AE84/10^6</f>
        <v>0</v>
      </c>
      <c r="AF146" s="6">
        <f>IFERROR(ROUND(AVERAGEIFS([1]!Resources[Fixed O&amp;M Cost],[1]!Resources[COD],"&lt;="&amp;AF$139,[1]!Resources[Retirement Date],"&gt;="&amp;AF$139,[1]!Resources[Unique Key],$G146,[1]!Resources[Summer Rating],"&gt;"&amp;0),2),0)*AF84/10^6</f>
        <v>0</v>
      </c>
      <c r="AG146" s="6">
        <f>IFERROR(ROUND(AVERAGEIFS([1]!Resources[Fixed O&amp;M Cost],[1]!Resources[COD],"&lt;="&amp;AG$139,[1]!Resources[Retirement Date],"&gt;="&amp;AG$139,[1]!Resources[Unique Key],$G146,[1]!Resources[Summer Rating],"&gt;"&amp;0),2),0)*AG84/10^6</f>
        <v>0</v>
      </c>
      <c r="AI146" s="5" t="s">
        <v>47</v>
      </c>
      <c r="AJ146" s="6" cm="1">
        <f t="array" ref="AJ146">IFERROR(INDEX(AJ$174:AJ$175,MATCH(_xlfn.TEXTAFTER(INDEX($F$78:$F$129,MATCH($AI146,$G$78:$G$129,0))," "),_xlfn.TEXTBEFORE($AI$174:$AI$175," - ")),0),0)</f>
        <v>0</v>
      </c>
      <c r="AK146" s="6" cm="1">
        <f t="array" ref="AK146">IFERROR(INDEX(AK$174:AK$175,MATCH(_xlfn.TEXTAFTER(INDEX($F$78:$F$129,MATCH($AI146,$G$78:$G$129,0))," "),_xlfn.TEXTBEFORE($AI$174:$AI$175," - ")),0),0)</f>
        <v>0</v>
      </c>
      <c r="AL146" s="6" cm="1">
        <f t="array" ref="AL146">IFERROR(INDEX(AL$174:AL$175,MATCH(_xlfn.TEXTAFTER(INDEX($F$78:$F$129,MATCH($AI146,$G$78:$G$129,0))," "),_xlfn.TEXTBEFORE($AI$174:$AI$175," - ")),0),0)</f>
        <v>0</v>
      </c>
      <c r="AM146" s="6" cm="1">
        <f t="array" ref="AM146">IFERROR(INDEX(AM$174:AM$175,MATCH(_xlfn.TEXTAFTER(INDEX($F$78:$F$129,MATCH($AI146,$G$78:$G$129,0))," "),_xlfn.TEXTBEFORE($AI$174:$AI$175," - ")),0),0)</f>
        <v>0</v>
      </c>
      <c r="AN146" s="6" cm="1">
        <f t="array" ref="AN146">IFERROR(INDEX(AN$174:AN$175,MATCH(_xlfn.TEXTAFTER(INDEX($F$78:$F$129,MATCH($AI146,$G$78:$G$129,0))," "),_xlfn.TEXTBEFORE($AI$174:$AI$175," - ")),0),0)</f>
        <v>0</v>
      </c>
      <c r="AO146" s="6" cm="1">
        <f t="array" ref="AO146">IFERROR(INDEX(AO$174:AO$175,MATCH(_xlfn.TEXTAFTER(INDEX($F$78:$F$129,MATCH($AI146,$G$78:$G$129,0))," "),_xlfn.TEXTBEFORE($AI$174:$AI$175," - ")),0),0)</f>
        <v>0</v>
      </c>
      <c r="AP146" s="6" cm="1">
        <f t="array" ref="AP146">IFERROR(INDEX(AP$174:AP$175,MATCH(_xlfn.TEXTAFTER(INDEX($F$78:$F$129,MATCH($AI146,$G$78:$G$129,0))," "),_xlfn.TEXTBEFORE($AI$174:$AI$175," - ")),0),0)</f>
        <v>0</v>
      </c>
      <c r="AQ146" s="6" cm="1">
        <f t="array" ref="AQ146">IFERROR(INDEX(AQ$174:AQ$175,MATCH(_xlfn.TEXTAFTER(INDEX($F$78:$F$129,MATCH($AI146,$G$78:$G$129,0))," "),_xlfn.TEXTBEFORE($AI$174:$AI$175," - ")),0),0)</f>
        <v>0</v>
      </c>
      <c r="AR146" s="6" cm="1">
        <f t="array" ref="AR146">IFERROR(INDEX(AR$174:AR$175,MATCH(_xlfn.TEXTAFTER(INDEX($F$78:$F$129,MATCH($AI146,$G$78:$G$129,0))," "),_xlfn.TEXTBEFORE($AI$174:$AI$175," - ")),0),0)</f>
        <v>0</v>
      </c>
      <c r="AS146" s="6" cm="1">
        <f t="array" ref="AS146">IFERROR(INDEX(AS$174:AS$175,MATCH(_xlfn.TEXTAFTER(INDEX($F$78:$F$129,MATCH($AI146,$G$78:$G$129,0))," "),_xlfn.TEXTBEFORE($AI$174:$AI$175," - ")),0),0)</f>
        <v>0</v>
      </c>
      <c r="AT146" s="6" cm="1">
        <f t="array" ref="AT146">IFERROR(INDEX(AT$174:AT$175,MATCH(_xlfn.TEXTAFTER(INDEX($F$78:$F$129,MATCH($AI146,$G$78:$G$129,0))," "),_xlfn.TEXTBEFORE($AI$174:$AI$175," - ")),0),0)</f>
        <v>0</v>
      </c>
      <c r="AU146" s="6" cm="1">
        <f t="array" ref="AU146">IFERROR(INDEX(AU$174:AU$175,MATCH(_xlfn.TEXTAFTER(INDEX($F$78:$F$129,MATCH($AI146,$G$78:$G$129,0))," "),_xlfn.TEXTBEFORE($AI$174:$AI$175," - ")),0),0)</f>
        <v>0</v>
      </c>
      <c r="AV146" s="6" cm="1">
        <f t="array" ref="AV146">IFERROR(INDEX(AV$174:AV$175,MATCH(_xlfn.TEXTAFTER(INDEX($F$78:$F$129,MATCH($AI146,$G$78:$G$129,0))," "),_xlfn.TEXTBEFORE($AI$174:$AI$175," - ")),0),0)</f>
        <v>0</v>
      </c>
      <c r="AW146" s="6" cm="1">
        <f t="array" ref="AW146">IFERROR(INDEX(AW$174:AW$175,MATCH(_xlfn.TEXTAFTER(INDEX($F$78:$F$129,MATCH($AI146,$G$78:$G$129,0))," "),_xlfn.TEXTBEFORE($AI$174:$AI$175," - ")),0),0)</f>
        <v>0</v>
      </c>
      <c r="AX146" s="6" cm="1">
        <f t="array" ref="AX146">IFERROR(INDEX(AX$174:AX$175,MATCH(_xlfn.TEXTAFTER(INDEX($F$78:$F$129,MATCH($AI146,$G$78:$G$129,0))," "),_xlfn.TEXTBEFORE($AI$174:$AI$175," - ")),0),0)</f>
        <v>0</v>
      </c>
      <c r="AY146" s="6" cm="1">
        <f t="array" ref="AY146">IFERROR(INDEX(AY$174:AY$175,MATCH(_xlfn.TEXTAFTER(INDEX($F$78:$F$129,MATCH($AI146,$G$78:$G$129,0))," "),_xlfn.TEXTBEFORE($AI$174:$AI$175," - ")),0),0)</f>
        <v>0</v>
      </c>
      <c r="AZ146" s="6" cm="1">
        <f t="array" ref="AZ146">IFERROR(INDEX(AZ$174:AZ$175,MATCH(_xlfn.TEXTAFTER(INDEX($F$78:$F$129,MATCH($AI146,$G$78:$G$129,0))," "),_xlfn.TEXTBEFORE($AI$174:$AI$175," - ")),0),0)</f>
        <v>0</v>
      </c>
      <c r="BA146" s="6" cm="1">
        <f t="array" ref="BA146">IFERROR(INDEX(BA$174:BA$175,MATCH(_xlfn.TEXTAFTER(INDEX($F$78:$F$129,MATCH($AI146,$G$78:$G$129,0))," "),_xlfn.TEXTBEFORE($AI$174:$AI$175," - ")),0),0)</f>
        <v>0</v>
      </c>
      <c r="BB146" s="6" cm="1">
        <f t="array" ref="BB146">IFERROR(INDEX(BB$174:BB$175,MATCH(_xlfn.TEXTAFTER(INDEX($F$78:$F$129,MATCH($AI146,$G$78:$G$129,0))," "),_xlfn.TEXTBEFORE($AI$174:$AI$175," - ")),0),0)</f>
        <v>0</v>
      </c>
      <c r="BC146" s="6" cm="1">
        <f t="array" ref="BC146">IFERROR(INDEX(BC$174:BC$175,MATCH(_xlfn.TEXTAFTER(INDEX($F$78:$F$129,MATCH($AI146,$G$78:$G$129,0))," "),_xlfn.TEXTBEFORE($AI$174:$AI$175," - ")),0),0)</f>
        <v>0</v>
      </c>
      <c r="BD146" s="6" cm="1">
        <f t="array" ref="BD146">IFERROR(INDEX(BD$174:BD$175,MATCH(_xlfn.TEXTAFTER(INDEX($F$78:$F$129,MATCH($AI146,$G$78:$G$129,0))," "),_xlfn.TEXTBEFORE($AI$174:$AI$175," - ")),0),0)</f>
        <v>0</v>
      </c>
      <c r="BE146" s="6" cm="1">
        <f t="array" ref="BE146">IFERROR(INDEX(BE$174:BE$175,MATCH(_xlfn.TEXTAFTER(INDEX($F$78:$F$129,MATCH($AI146,$G$78:$G$129,0))," "),_xlfn.TEXTBEFORE($AI$174:$AI$175," - ")),0),0)</f>
        <v>0</v>
      </c>
      <c r="BF146" s="6" cm="1">
        <f t="array" ref="BF146">IFERROR(INDEX(BF$174:BF$175,MATCH(_xlfn.TEXTAFTER(INDEX($F$78:$F$129,MATCH($AI146,$G$78:$G$129,0))," "),_xlfn.TEXTBEFORE($AI$174:$AI$175," - ")),0),0)</f>
        <v>0</v>
      </c>
      <c r="BG146" s="6" cm="1">
        <f t="array" ref="BG146">IFERROR(INDEX(BG$174:BG$175,MATCH(_xlfn.TEXTAFTER(INDEX($F$78:$F$129,MATCH($AI146,$G$78:$G$129,0))," "),_xlfn.TEXTBEFORE($AI$174:$AI$175," - ")),0),0)</f>
        <v>0</v>
      </c>
      <c r="BH146" s="6" cm="1">
        <f t="array" ref="BH146">IFERROR(INDEX(BH$174:BH$175,MATCH(_xlfn.TEXTAFTER(INDEX($F$78:$F$129,MATCH($AI146,$G$78:$G$129,0))," "),_xlfn.TEXTBEFORE($AI$174:$AI$175," - ")),0),0)</f>
        <v>0</v>
      </c>
      <c r="BI146" s="6" cm="1">
        <f t="array" ref="BI146">IFERROR(INDEX(BI$174:BI$175,MATCH(_xlfn.TEXTAFTER(INDEX($F$78:$F$129,MATCH($AI146,$G$78:$G$129,0))," "),_xlfn.TEXTBEFORE($AI$174:$AI$175," - ")),0),0)</f>
        <v>0</v>
      </c>
    </row>
    <row r="147" spans="7:61" ht="16" x14ac:dyDescent="0.2">
      <c r="G147" s="5" t="s">
        <v>49</v>
      </c>
      <c r="H147" s="6">
        <f>IFERROR(ROUND(AVERAGEIFS([1]!Resources[Fixed O&amp;M Cost],[1]!Resources[COD],"&lt;="&amp;H$139,[1]!Resources[Retirement Date],"&gt;="&amp;H$139,[1]!Resources[Unique Key],$G147,[1]!Resources[Summer Rating],"&gt;"&amp;0),2),0)*H85/10^6</f>
        <v>14.4948</v>
      </c>
      <c r="I147" s="6">
        <f>IFERROR(ROUND(AVERAGEIFS([1]!Resources[Fixed O&amp;M Cost],[1]!Resources[COD],"&lt;="&amp;I$139,[1]!Resources[Retirement Date],"&gt;="&amp;I$139,[1]!Resources[Unique Key],$G147,[1]!Resources[Summer Rating],"&gt;"&amp;0),2),0)*I85/10^6</f>
        <v>14.4948</v>
      </c>
      <c r="J147" s="6">
        <f>IFERROR(ROUND(AVERAGEIFS([1]!Resources[Fixed O&amp;M Cost],[1]!Resources[COD],"&lt;="&amp;J$139,[1]!Resources[Retirement Date],"&gt;="&amp;J$139,[1]!Resources[Unique Key],$G147,[1]!Resources[Summer Rating],"&gt;"&amp;0),2),0)*J85/10^6</f>
        <v>14.4948</v>
      </c>
      <c r="K147" s="6">
        <f>IFERROR(ROUND(AVERAGEIFS([1]!Resources[Fixed O&amp;M Cost],[1]!Resources[COD],"&lt;="&amp;K$139,[1]!Resources[Retirement Date],"&gt;="&amp;K$139,[1]!Resources[Unique Key],$G147,[1]!Resources[Summer Rating],"&gt;"&amp;0),2),0)*K85/10^6</f>
        <v>14.4948</v>
      </c>
      <c r="L147" s="6">
        <f>IFERROR(ROUND(AVERAGEIFS([1]!Resources[Fixed O&amp;M Cost],[1]!Resources[COD],"&lt;="&amp;L$139,[1]!Resources[Retirement Date],"&gt;="&amp;L$139,[1]!Resources[Unique Key],$G147,[1]!Resources[Summer Rating],"&gt;"&amp;0),2),0)*L85/10^6</f>
        <v>14.4948</v>
      </c>
      <c r="M147" s="6">
        <f>IFERROR(ROUND(AVERAGEIFS([1]!Resources[Fixed O&amp;M Cost],[1]!Resources[COD],"&lt;="&amp;M$139,[1]!Resources[Retirement Date],"&gt;="&amp;M$139,[1]!Resources[Unique Key],$G147,[1]!Resources[Summer Rating],"&gt;"&amp;0),2),0)*M85/10^6</f>
        <v>14.4948</v>
      </c>
      <c r="N147" s="6">
        <f>IFERROR(ROUND(AVERAGEIFS([1]!Resources[Fixed O&amp;M Cost],[1]!Resources[COD],"&lt;="&amp;N$139,[1]!Resources[Retirement Date],"&gt;="&amp;N$139,[1]!Resources[Unique Key],$G147,[1]!Resources[Summer Rating],"&gt;"&amp;0),2),0)*N85/10^6</f>
        <v>14.4948</v>
      </c>
      <c r="O147" s="6">
        <f>IFERROR(ROUND(AVERAGEIFS([1]!Resources[Fixed O&amp;M Cost],[1]!Resources[COD],"&lt;="&amp;O$139,[1]!Resources[Retirement Date],"&gt;="&amp;O$139,[1]!Resources[Unique Key],$G147,[1]!Resources[Summer Rating],"&gt;"&amp;0),2),0)*O85/10^6</f>
        <v>14.4948</v>
      </c>
      <c r="P147" s="6">
        <f>IFERROR(ROUND(AVERAGEIFS([1]!Resources[Fixed O&amp;M Cost],[1]!Resources[COD],"&lt;="&amp;P$139,[1]!Resources[Retirement Date],"&gt;="&amp;P$139,[1]!Resources[Unique Key],$G147,[1]!Resources[Summer Rating],"&gt;"&amp;0),2),0)*P85/10^6</f>
        <v>14.4948</v>
      </c>
      <c r="Q147" s="6">
        <f>IFERROR(ROUND(AVERAGEIFS([1]!Resources[Fixed O&amp;M Cost],[1]!Resources[COD],"&lt;="&amp;Q$139,[1]!Resources[Retirement Date],"&gt;="&amp;Q$139,[1]!Resources[Unique Key],$G147,[1]!Resources[Summer Rating],"&gt;"&amp;0),2),0)*Q85/10^6</f>
        <v>14.4948</v>
      </c>
      <c r="R147" s="6">
        <f>IFERROR(ROUND(AVERAGEIFS([1]!Resources[Fixed O&amp;M Cost],[1]!Resources[COD],"&lt;="&amp;R$139,[1]!Resources[Retirement Date],"&gt;="&amp;R$139,[1]!Resources[Unique Key],$G147,[1]!Resources[Summer Rating],"&gt;"&amp;0),2),0)*R85/10^6</f>
        <v>14.4948</v>
      </c>
      <c r="S147" s="6">
        <f>IFERROR(ROUND(AVERAGEIFS([1]!Resources[Fixed O&amp;M Cost],[1]!Resources[COD],"&lt;="&amp;S$139,[1]!Resources[Retirement Date],"&gt;="&amp;S$139,[1]!Resources[Unique Key],$G147,[1]!Resources[Summer Rating],"&gt;"&amp;0),2),0)*S85/10^6</f>
        <v>14.4948</v>
      </c>
      <c r="T147" s="6">
        <f>IFERROR(ROUND(AVERAGEIFS([1]!Resources[Fixed O&amp;M Cost],[1]!Resources[COD],"&lt;="&amp;T$139,[1]!Resources[Retirement Date],"&gt;="&amp;T$139,[1]!Resources[Unique Key],$G147,[1]!Resources[Summer Rating],"&gt;"&amp;0),2),0)*T85/10^6</f>
        <v>14.4948</v>
      </c>
      <c r="U147" s="6">
        <f>IFERROR(ROUND(AVERAGEIFS([1]!Resources[Fixed O&amp;M Cost],[1]!Resources[COD],"&lt;="&amp;U$139,[1]!Resources[Retirement Date],"&gt;="&amp;U$139,[1]!Resources[Unique Key],$G147,[1]!Resources[Summer Rating],"&gt;"&amp;0),2),0)*U85/10^6</f>
        <v>14.4948</v>
      </c>
      <c r="V147" s="6">
        <f>IFERROR(ROUND(AVERAGEIFS([1]!Resources[Fixed O&amp;M Cost],[1]!Resources[COD],"&lt;="&amp;V$139,[1]!Resources[Retirement Date],"&gt;="&amp;V$139,[1]!Resources[Unique Key],$G147,[1]!Resources[Summer Rating],"&gt;"&amp;0),2),0)*V85/10^6</f>
        <v>14.4948</v>
      </c>
      <c r="W147" s="6">
        <f>IFERROR(ROUND(AVERAGEIFS([1]!Resources[Fixed O&amp;M Cost],[1]!Resources[COD],"&lt;="&amp;W$139,[1]!Resources[Retirement Date],"&gt;="&amp;W$139,[1]!Resources[Unique Key],$G147,[1]!Resources[Summer Rating],"&gt;"&amp;0),2),0)*W85/10^6</f>
        <v>14.4948</v>
      </c>
      <c r="X147" s="6">
        <f>IFERROR(ROUND(AVERAGEIFS([1]!Resources[Fixed O&amp;M Cost],[1]!Resources[COD],"&lt;="&amp;X$139,[1]!Resources[Retirement Date],"&gt;="&amp;X$139,[1]!Resources[Unique Key],$G147,[1]!Resources[Summer Rating],"&gt;"&amp;0),2),0)*X85/10^6</f>
        <v>14.4948</v>
      </c>
      <c r="Y147" s="6">
        <f>IFERROR(ROUND(AVERAGEIFS([1]!Resources[Fixed O&amp;M Cost],[1]!Resources[COD],"&lt;="&amp;Y$139,[1]!Resources[Retirement Date],"&gt;="&amp;Y$139,[1]!Resources[Unique Key],$G147,[1]!Resources[Summer Rating],"&gt;"&amp;0),2),0)*Y85/10^6</f>
        <v>14.4948</v>
      </c>
      <c r="Z147" s="6">
        <f>IFERROR(ROUND(AVERAGEIFS([1]!Resources[Fixed O&amp;M Cost],[1]!Resources[COD],"&lt;="&amp;Z$139,[1]!Resources[Retirement Date],"&gt;="&amp;Z$139,[1]!Resources[Unique Key],$G147,[1]!Resources[Summer Rating],"&gt;"&amp;0),2),0)*Z85/10^6</f>
        <v>14.4948</v>
      </c>
      <c r="AA147" s="6">
        <f>IFERROR(ROUND(AVERAGEIFS([1]!Resources[Fixed O&amp;M Cost],[1]!Resources[COD],"&lt;="&amp;AA$139,[1]!Resources[Retirement Date],"&gt;="&amp;AA$139,[1]!Resources[Unique Key],$G147,[1]!Resources[Summer Rating],"&gt;"&amp;0),2),0)*AA85/10^6</f>
        <v>14.4948</v>
      </c>
      <c r="AB147" s="6">
        <f>IFERROR(ROUND(AVERAGEIFS([1]!Resources[Fixed O&amp;M Cost],[1]!Resources[COD],"&lt;="&amp;AB$139,[1]!Resources[Retirement Date],"&gt;="&amp;AB$139,[1]!Resources[Unique Key],$G147,[1]!Resources[Summer Rating],"&gt;"&amp;0),2),0)*AB85/10^6</f>
        <v>14.4948</v>
      </c>
      <c r="AC147" s="6">
        <f>IFERROR(ROUND(AVERAGEIFS([1]!Resources[Fixed O&amp;M Cost],[1]!Resources[COD],"&lt;="&amp;AC$139,[1]!Resources[Retirement Date],"&gt;="&amp;AC$139,[1]!Resources[Unique Key],$G147,[1]!Resources[Summer Rating],"&gt;"&amp;0),2),0)*AC85/10^6</f>
        <v>14.4948</v>
      </c>
      <c r="AD147" s="6">
        <f>IFERROR(ROUND(AVERAGEIFS([1]!Resources[Fixed O&amp;M Cost],[1]!Resources[COD],"&lt;="&amp;AD$139,[1]!Resources[Retirement Date],"&gt;="&amp;AD$139,[1]!Resources[Unique Key],$G147,[1]!Resources[Summer Rating],"&gt;"&amp;0),2),0)*AD85/10^6</f>
        <v>14.4948</v>
      </c>
      <c r="AE147" s="6">
        <f>IFERROR(ROUND(AVERAGEIFS([1]!Resources[Fixed O&amp;M Cost],[1]!Resources[COD],"&lt;="&amp;AE$139,[1]!Resources[Retirement Date],"&gt;="&amp;AE$139,[1]!Resources[Unique Key],$G147,[1]!Resources[Summer Rating],"&gt;"&amp;0),2),0)*AE85/10^6</f>
        <v>14.4948</v>
      </c>
      <c r="AF147" s="6">
        <f>IFERROR(ROUND(AVERAGEIFS([1]!Resources[Fixed O&amp;M Cost],[1]!Resources[COD],"&lt;="&amp;AF$139,[1]!Resources[Retirement Date],"&gt;="&amp;AF$139,[1]!Resources[Unique Key],$G147,[1]!Resources[Summer Rating],"&gt;"&amp;0),2),0)*AF85/10^6</f>
        <v>14.4948</v>
      </c>
      <c r="AG147" s="6">
        <f>IFERROR(ROUND(AVERAGEIFS([1]!Resources[Fixed O&amp;M Cost],[1]!Resources[COD],"&lt;="&amp;AG$139,[1]!Resources[Retirement Date],"&gt;="&amp;AG$139,[1]!Resources[Unique Key],$G147,[1]!Resources[Summer Rating],"&gt;"&amp;0),2),0)*AG85/10^6</f>
        <v>14.4948</v>
      </c>
      <c r="AI147" s="5" t="s">
        <v>49</v>
      </c>
      <c r="AJ147" s="6" cm="1">
        <f t="array" ref="AJ147">IFERROR(INDEX(AJ$174:AJ$175,MATCH(_xlfn.TEXTAFTER(INDEX($F$78:$F$129,MATCH($AI147,$G$78:$G$129,0))," "),_xlfn.TEXTBEFORE($AI$174:$AI$175," - ")),0),0)</f>
        <v>92503.140684153317</v>
      </c>
      <c r="AK147" s="6" cm="1">
        <f t="array" ref="AK147">IFERROR(INDEX(AK$174:AK$175,MATCH(_xlfn.TEXTAFTER(INDEX($F$78:$F$129,MATCH($AI147,$G$78:$G$129,0))," "),_xlfn.TEXTBEFORE($AI$174:$AI$175," - ")),0),0)</f>
        <v>92503.140684153317</v>
      </c>
      <c r="AL147" s="6" cm="1">
        <f t="array" ref="AL147">IFERROR(INDEX(AL$174:AL$175,MATCH(_xlfn.TEXTAFTER(INDEX($F$78:$F$129,MATCH($AI147,$G$78:$G$129,0))," "),_xlfn.TEXTBEFORE($AI$174:$AI$175," - ")),0),0)</f>
        <v>92503.140684153317</v>
      </c>
      <c r="AM147" s="6" cm="1">
        <f t="array" ref="AM147">IFERROR(INDEX(AM$174:AM$175,MATCH(_xlfn.TEXTAFTER(INDEX($F$78:$F$129,MATCH($AI147,$G$78:$G$129,0))," "),_xlfn.TEXTBEFORE($AI$174:$AI$175," - ")),0),0)</f>
        <v>92503.140684153317</v>
      </c>
      <c r="AN147" s="6" cm="1">
        <f t="array" ref="AN147">IFERROR(INDEX(AN$174:AN$175,MATCH(_xlfn.TEXTAFTER(INDEX($F$78:$F$129,MATCH($AI147,$G$78:$G$129,0))," "),_xlfn.TEXTBEFORE($AI$174:$AI$175," - ")),0),0)</f>
        <v>92503.140684153317</v>
      </c>
      <c r="AO147" s="6" cm="1">
        <f t="array" ref="AO147">IFERROR(INDEX(AO$174:AO$175,MATCH(_xlfn.TEXTAFTER(INDEX($F$78:$F$129,MATCH($AI147,$G$78:$G$129,0))," "),_xlfn.TEXTBEFORE($AI$174:$AI$175," - ")),0),0)</f>
        <v>92503.140684153317</v>
      </c>
      <c r="AP147" s="6" cm="1">
        <f t="array" ref="AP147">IFERROR(INDEX(AP$174:AP$175,MATCH(_xlfn.TEXTAFTER(INDEX($F$78:$F$129,MATCH($AI147,$G$78:$G$129,0))," "),_xlfn.TEXTBEFORE($AI$174:$AI$175," - ")),0),0)</f>
        <v>92503.140684153317</v>
      </c>
      <c r="AQ147" s="6" cm="1">
        <f t="array" ref="AQ147">IFERROR(INDEX(AQ$174:AQ$175,MATCH(_xlfn.TEXTAFTER(INDEX($F$78:$F$129,MATCH($AI147,$G$78:$G$129,0))," "),_xlfn.TEXTBEFORE($AI$174:$AI$175," - ")),0),0)</f>
        <v>92503.140684153317</v>
      </c>
      <c r="AR147" s="6" cm="1">
        <f t="array" ref="AR147">IFERROR(INDEX(AR$174:AR$175,MATCH(_xlfn.TEXTAFTER(INDEX($F$78:$F$129,MATCH($AI147,$G$78:$G$129,0))," "),_xlfn.TEXTBEFORE($AI$174:$AI$175," - ")),0),0)</f>
        <v>92503.140684153317</v>
      </c>
      <c r="AS147" s="6" cm="1">
        <f t="array" ref="AS147">IFERROR(INDEX(AS$174:AS$175,MATCH(_xlfn.TEXTAFTER(INDEX($F$78:$F$129,MATCH($AI147,$G$78:$G$129,0))," "),_xlfn.TEXTBEFORE($AI$174:$AI$175," - ")),0),0)</f>
        <v>92503.140684153317</v>
      </c>
      <c r="AT147" s="6" cm="1">
        <f t="array" ref="AT147">IFERROR(INDEX(AT$174:AT$175,MATCH(_xlfn.TEXTAFTER(INDEX($F$78:$F$129,MATCH($AI147,$G$78:$G$129,0))," "),_xlfn.TEXTBEFORE($AI$174:$AI$175," - ")),0),0)</f>
        <v>92503.140684153317</v>
      </c>
      <c r="AU147" s="6" cm="1">
        <f t="array" ref="AU147">IFERROR(INDEX(AU$174:AU$175,MATCH(_xlfn.TEXTAFTER(INDEX($F$78:$F$129,MATCH($AI147,$G$78:$G$129,0))," "),_xlfn.TEXTBEFORE($AI$174:$AI$175," - ")),0),0)</f>
        <v>92503.140684153317</v>
      </c>
      <c r="AV147" s="6" cm="1">
        <f t="array" ref="AV147">IFERROR(INDEX(AV$174:AV$175,MATCH(_xlfn.TEXTAFTER(INDEX($F$78:$F$129,MATCH($AI147,$G$78:$G$129,0))," "),_xlfn.TEXTBEFORE($AI$174:$AI$175," - ")),0),0)</f>
        <v>92503.140684153317</v>
      </c>
      <c r="AW147" s="6" cm="1">
        <f t="array" ref="AW147">IFERROR(INDEX(AW$174:AW$175,MATCH(_xlfn.TEXTAFTER(INDEX($F$78:$F$129,MATCH($AI147,$G$78:$G$129,0))," "),_xlfn.TEXTBEFORE($AI$174:$AI$175," - ")),0),0)</f>
        <v>92503.140684153317</v>
      </c>
      <c r="AX147" s="6" cm="1">
        <f t="array" ref="AX147">IFERROR(INDEX(AX$174:AX$175,MATCH(_xlfn.TEXTAFTER(INDEX($F$78:$F$129,MATCH($AI147,$G$78:$G$129,0))," "),_xlfn.TEXTBEFORE($AI$174:$AI$175," - ")),0),0)</f>
        <v>92503.140684153317</v>
      </c>
      <c r="AY147" s="6" cm="1">
        <f t="array" ref="AY147">IFERROR(INDEX(AY$174:AY$175,MATCH(_xlfn.TEXTAFTER(INDEX($F$78:$F$129,MATCH($AI147,$G$78:$G$129,0))," "),_xlfn.TEXTBEFORE($AI$174:$AI$175," - ")),0),0)</f>
        <v>92503.140684153317</v>
      </c>
      <c r="AZ147" s="6" cm="1">
        <f t="array" ref="AZ147">IFERROR(INDEX(AZ$174:AZ$175,MATCH(_xlfn.TEXTAFTER(INDEX($F$78:$F$129,MATCH($AI147,$G$78:$G$129,0))," "),_xlfn.TEXTBEFORE($AI$174:$AI$175," - ")),0),0)</f>
        <v>92503.140684153317</v>
      </c>
      <c r="BA147" s="6" cm="1">
        <f t="array" ref="BA147">IFERROR(INDEX(BA$174:BA$175,MATCH(_xlfn.TEXTAFTER(INDEX($F$78:$F$129,MATCH($AI147,$G$78:$G$129,0))," "),_xlfn.TEXTBEFORE($AI$174:$AI$175," - ")),0),0)</f>
        <v>92503.140684153317</v>
      </c>
      <c r="BB147" s="6" cm="1">
        <f t="array" ref="BB147">IFERROR(INDEX(BB$174:BB$175,MATCH(_xlfn.TEXTAFTER(INDEX($F$78:$F$129,MATCH($AI147,$G$78:$G$129,0))," "),_xlfn.TEXTBEFORE($AI$174:$AI$175," - ")),0),0)</f>
        <v>92503.140684153317</v>
      </c>
      <c r="BC147" s="6" cm="1">
        <f t="array" ref="BC147">IFERROR(INDEX(BC$174:BC$175,MATCH(_xlfn.TEXTAFTER(INDEX($F$78:$F$129,MATCH($AI147,$G$78:$G$129,0))," "),_xlfn.TEXTBEFORE($AI$174:$AI$175," - ")),0),0)</f>
        <v>92503.140684153317</v>
      </c>
      <c r="BD147" s="6" cm="1">
        <f t="array" ref="BD147">IFERROR(INDEX(BD$174:BD$175,MATCH(_xlfn.TEXTAFTER(INDEX($F$78:$F$129,MATCH($AI147,$G$78:$G$129,0))," "),_xlfn.TEXTBEFORE($AI$174:$AI$175," - ")),0),0)</f>
        <v>92503.140684153317</v>
      </c>
      <c r="BE147" s="6" cm="1">
        <f t="array" ref="BE147">IFERROR(INDEX(BE$174:BE$175,MATCH(_xlfn.TEXTAFTER(INDEX($F$78:$F$129,MATCH($AI147,$G$78:$G$129,0))," "),_xlfn.TEXTBEFORE($AI$174:$AI$175," - ")),0),0)</f>
        <v>92503.140684153317</v>
      </c>
      <c r="BF147" s="6" cm="1">
        <f t="array" ref="BF147">IFERROR(INDEX(BF$174:BF$175,MATCH(_xlfn.TEXTAFTER(INDEX($F$78:$F$129,MATCH($AI147,$G$78:$G$129,0))," "),_xlfn.TEXTBEFORE($AI$174:$AI$175," - ")),0),0)</f>
        <v>92503.140684153317</v>
      </c>
      <c r="BG147" s="6" cm="1">
        <f t="array" ref="BG147">IFERROR(INDEX(BG$174:BG$175,MATCH(_xlfn.TEXTAFTER(INDEX($F$78:$F$129,MATCH($AI147,$G$78:$G$129,0))," "),_xlfn.TEXTBEFORE($AI$174:$AI$175," - ")),0),0)</f>
        <v>92503.140684153317</v>
      </c>
      <c r="BH147" s="6" cm="1">
        <f t="array" ref="BH147">IFERROR(INDEX(BH$174:BH$175,MATCH(_xlfn.TEXTAFTER(INDEX($F$78:$F$129,MATCH($AI147,$G$78:$G$129,0))," "),_xlfn.TEXTBEFORE($AI$174:$AI$175," - ")),0),0)</f>
        <v>92503.140684153317</v>
      </c>
      <c r="BI147" s="6" cm="1">
        <f t="array" ref="BI147">IFERROR(INDEX(BI$174:BI$175,MATCH(_xlfn.TEXTAFTER(INDEX($F$78:$F$129,MATCH($AI147,$G$78:$G$129,0))," "),_xlfn.TEXTBEFORE($AI$174:$AI$175," - ")),0),0)</f>
        <v>92503.140684153317</v>
      </c>
    </row>
    <row r="148" spans="7:61" ht="16" x14ac:dyDescent="0.2">
      <c r="G148" s="5" t="s">
        <v>51</v>
      </c>
      <c r="H148" s="6">
        <f>IFERROR(ROUND(AVERAGEIFS([1]!Resources[Fixed O&amp;M Cost],[1]!Resources[COD],"&lt;="&amp;H$139,[1]!Resources[Retirement Date],"&gt;="&amp;H$139,[1]!Resources[Unique Key],$G148,[1]!Resources[Summer Rating],"&gt;"&amp;0),2),0)*H86/10^6</f>
        <v>12.8757</v>
      </c>
      <c r="I148" s="6">
        <f>IFERROR(ROUND(AVERAGEIFS([1]!Resources[Fixed O&amp;M Cost],[1]!Resources[COD],"&lt;="&amp;I$139,[1]!Resources[Retirement Date],"&gt;="&amp;I$139,[1]!Resources[Unique Key],$G148,[1]!Resources[Summer Rating],"&gt;"&amp;0),2),0)*I86/10^6</f>
        <v>12.8757</v>
      </c>
      <c r="J148" s="6">
        <f>IFERROR(ROUND(AVERAGEIFS([1]!Resources[Fixed O&amp;M Cost],[1]!Resources[COD],"&lt;="&amp;J$139,[1]!Resources[Retirement Date],"&gt;="&amp;J$139,[1]!Resources[Unique Key],$G148,[1]!Resources[Summer Rating],"&gt;"&amp;0),2),0)*J86/10^6</f>
        <v>12.8757</v>
      </c>
      <c r="K148" s="6">
        <f>IFERROR(ROUND(AVERAGEIFS([1]!Resources[Fixed O&amp;M Cost],[1]!Resources[COD],"&lt;="&amp;K$139,[1]!Resources[Retirement Date],"&gt;="&amp;K$139,[1]!Resources[Unique Key],$G148,[1]!Resources[Summer Rating],"&gt;"&amp;0),2),0)*K86/10^6</f>
        <v>12.8757</v>
      </c>
      <c r="L148" s="6">
        <f>IFERROR(ROUND(AVERAGEIFS([1]!Resources[Fixed O&amp;M Cost],[1]!Resources[COD],"&lt;="&amp;L$139,[1]!Resources[Retirement Date],"&gt;="&amp;L$139,[1]!Resources[Unique Key],$G148,[1]!Resources[Summer Rating],"&gt;"&amp;0),2),0)*L86/10^6</f>
        <v>12.8757</v>
      </c>
      <c r="M148" s="6">
        <f>IFERROR(ROUND(AVERAGEIFS([1]!Resources[Fixed O&amp;M Cost],[1]!Resources[COD],"&lt;="&amp;M$139,[1]!Resources[Retirement Date],"&gt;="&amp;M$139,[1]!Resources[Unique Key],$G148,[1]!Resources[Summer Rating],"&gt;"&amp;0),2),0)*M86/10^6</f>
        <v>12.8757</v>
      </c>
      <c r="N148" s="6">
        <f>IFERROR(ROUND(AVERAGEIFS([1]!Resources[Fixed O&amp;M Cost],[1]!Resources[COD],"&lt;="&amp;N$139,[1]!Resources[Retirement Date],"&gt;="&amp;N$139,[1]!Resources[Unique Key],$G148,[1]!Resources[Summer Rating],"&gt;"&amp;0),2),0)*N86/10^6</f>
        <v>12.8757</v>
      </c>
      <c r="O148" s="6">
        <f>IFERROR(ROUND(AVERAGEIFS([1]!Resources[Fixed O&amp;M Cost],[1]!Resources[COD],"&lt;="&amp;O$139,[1]!Resources[Retirement Date],"&gt;="&amp;O$139,[1]!Resources[Unique Key],$G148,[1]!Resources[Summer Rating],"&gt;"&amp;0),2),0)*O86/10^6</f>
        <v>12.8757</v>
      </c>
      <c r="P148" s="6">
        <f>IFERROR(ROUND(AVERAGEIFS([1]!Resources[Fixed O&amp;M Cost],[1]!Resources[COD],"&lt;="&amp;P$139,[1]!Resources[Retirement Date],"&gt;="&amp;P$139,[1]!Resources[Unique Key],$G148,[1]!Resources[Summer Rating],"&gt;"&amp;0),2),0)*P86/10^6</f>
        <v>12.8757</v>
      </c>
      <c r="Q148" s="6">
        <f>IFERROR(ROUND(AVERAGEIFS([1]!Resources[Fixed O&amp;M Cost],[1]!Resources[COD],"&lt;="&amp;Q$139,[1]!Resources[Retirement Date],"&gt;="&amp;Q$139,[1]!Resources[Unique Key],$G148,[1]!Resources[Summer Rating],"&gt;"&amp;0),2),0)*Q86/10^6</f>
        <v>12.8757</v>
      </c>
      <c r="R148" s="6">
        <f>IFERROR(ROUND(AVERAGEIFS([1]!Resources[Fixed O&amp;M Cost],[1]!Resources[COD],"&lt;="&amp;R$139,[1]!Resources[Retirement Date],"&gt;="&amp;R$139,[1]!Resources[Unique Key],$G148,[1]!Resources[Summer Rating],"&gt;"&amp;0),2),0)*R86/10^6</f>
        <v>12.8757</v>
      </c>
      <c r="S148" s="6">
        <f>IFERROR(ROUND(AVERAGEIFS([1]!Resources[Fixed O&amp;M Cost],[1]!Resources[COD],"&lt;="&amp;S$139,[1]!Resources[Retirement Date],"&gt;="&amp;S$139,[1]!Resources[Unique Key],$G148,[1]!Resources[Summer Rating],"&gt;"&amp;0),2),0)*S86/10^6</f>
        <v>12.8757</v>
      </c>
      <c r="T148" s="6">
        <f>IFERROR(ROUND(AVERAGEIFS([1]!Resources[Fixed O&amp;M Cost],[1]!Resources[COD],"&lt;="&amp;T$139,[1]!Resources[Retirement Date],"&gt;="&amp;T$139,[1]!Resources[Unique Key],$G148,[1]!Resources[Summer Rating],"&gt;"&amp;0),2),0)*T86/10^6</f>
        <v>12.8757</v>
      </c>
      <c r="U148" s="6">
        <f>IFERROR(ROUND(AVERAGEIFS([1]!Resources[Fixed O&amp;M Cost],[1]!Resources[COD],"&lt;="&amp;U$139,[1]!Resources[Retirement Date],"&gt;="&amp;U$139,[1]!Resources[Unique Key],$G148,[1]!Resources[Summer Rating],"&gt;"&amp;0),2),0)*U86/10^6</f>
        <v>12.8757</v>
      </c>
      <c r="V148" s="6">
        <f>IFERROR(ROUND(AVERAGEIFS([1]!Resources[Fixed O&amp;M Cost],[1]!Resources[COD],"&lt;="&amp;V$139,[1]!Resources[Retirement Date],"&gt;="&amp;V$139,[1]!Resources[Unique Key],$G148,[1]!Resources[Summer Rating],"&gt;"&amp;0),2),0)*V86/10^6</f>
        <v>12.8757</v>
      </c>
      <c r="W148" s="6">
        <f>IFERROR(ROUND(AVERAGEIFS([1]!Resources[Fixed O&amp;M Cost],[1]!Resources[COD],"&lt;="&amp;W$139,[1]!Resources[Retirement Date],"&gt;="&amp;W$139,[1]!Resources[Unique Key],$G148,[1]!Resources[Summer Rating],"&gt;"&amp;0),2),0)*W86/10^6</f>
        <v>12.8757</v>
      </c>
      <c r="X148" s="6">
        <f>IFERROR(ROUND(AVERAGEIFS([1]!Resources[Fixed O&amp;M Cost],[1]!Resources[COD],"&lt;="&amp;X$139,[1]!Resources[Retirement Date],"&gt;="&amp;X$139,[1]!Resources[Unique Key],$G148,[1]!Resources[Summer Rating],"&gt;"&amp;0),2),0)*X86/10^6</f>
        <v>12.8757</v>
      </c>
      <c r="Y148" s="6">
        <f>IFERROR(ROUND(AVERAGEIFS([1]!Resources[Fixed O&amp;M Cost],[1]!Resources[COD],"&lt;="&amp;Y$139,[1]!Resources[Retirement Date],"&gt;="&amp;Y$139,[1]!Resources[Unique Key],$G148,[1]!Resources[Summer Rating],"&gt;"&amp;0),2),0)*Y86/10^6</f>
        <v>12.8757</v>
      </c>
      <c r="Z148" s="6">
        <f>IFERROR(ROUND(AVERAGEIFS([1]!Resources[Fixed O&amp;M Cost],[1]!Resources[COD],"&lt;="&amp;Z$139,[1]!Resources[Retirement Date],"&gt;="&amp;Z$139,[1]!Resources[Unique Key],$G148,[1]!Resources[Summer Rating],"&gt;"&amp;0),2),0)*Z86/10^6</f>
        <v>12.8757</v>
      </c>
      <c r="AA148" s="6">
        <f>IFERROR(ROUND(AVERAGEIFS([1]!Resources[Fixed O&amp;M Cost],[1]!Resources[COD],"&lt;="&amp;AA$139,[1]!Resources[Retirement Date],"&gt;="&amp;AA$139,[1]!Resources[Unique Key],$G148,[1]!Resources[Summer Rating],"&gt;"&amp;0),2),0)*AA86/10^6</f>
        <v>12.8757</v>
      </c>
      <c r="AB148" s="6">
        <f>IFERROR(ROUND(AVERAGEIFS([1]!Resources[Fixed O&amp;M Cost],[1]!Resources[COD],"&lt;="&amp;AB$139,[1]!Resources[Retirement Date],"&gt;="&amp;AB$139,[1]!Resources[Unique Key],$G148,[1]!Resources[Summer Rating],"&gt;"&amp;0),2),0)*AB86/10^6</f>
        <v>12.8757</v>
      </c>
      <c r="AC148" s="6">
        <f>IFERROR(ROUND(AVERAGEIFS([1]!Resources[Fixed O&amp;M Cost],[1]!Resources[COD],"&lt;="&amp;AC$139,[1]!Resources[Retirement Date],"&gt;="&amp;AC$139,[1]!Resources[Unique Key],$G148,[1]!Resources[Summer Rating],"&gt;"&amp;0),2),0)*AC86/10^6</f>
        <v>12.8757</v>
      </c>
      <c r="AD148" s="6">
        <f>IFERROR(ROUND(AVERAGEIFS([1]!Resources[Fixed O&amp;M Cost],[1]!Resources[COD],"&lt;="&amp;AD$139,[1]!Resources[Retirement Date],"&gt;="&amp;AD$139,[1]!Resources[Unique Key],$G148,[1]!Resources[Summer Rating],"&gt;"&amp;0),2),0)*AD86/10^6</f>
        <v>12.8757</v>
      </c>
      <c r="AE148" s="6">
        <f>IFERROR(ROUND(AVERAGEIFS([1]!Resources[Fixed O&amp;M Cost],[1]!Resources[COD],"&lt;="&amp;AE$139,[1]!Resources[Retirement Date],"&gt;="&amp;AE$139,[1]!Resources[Unique Key],$G148,[1]!Resources[Summer Rating],"&gt;"&amp;0),2),0)*AE86/10^6</f>
        <v>12.8757</v>
      </c>
      <c r="AF148" s="6">
        <f>IFERROR(ROUND(AVERAGEIFS([1]!Resources[Fixed O&amp;M Cost],[1]!Resources[COD],"&lt;="&amp;AF$139,[1]!Resources[Retirement Date],"&gt;="&amp;AF$139,[1]!Resources[Unique Key],$G148,[1]!Resources[Summer Rating],"&gt;"&amp;0),2),0)*AF86/10^6</f>
        <v>12.8757</v>
      </c>
      <c r="AG148" s="6">
        <f>IFERROR(ROUND(AVERAGEIFS([1]!Resources[Fixed O&amp;M Cost],[1]!Resources[COD],"&lt;="&amp;AG$139,[1]!Resources[Retirement Date],"&gt;="&amp;AG$139,[1]!Resources[Unique Key],$G148,[1]!Resources[Summer Rating],"&gt;"&amp;0),2),0)*AG86/10^6</f>
        <v>12.8757</v>
      </c>
      <c r="AI148" s="5" t="s">
        <v>51</v>
      </c>
      <c r="AJ148" s="6" cm="1">
        <f t="array" ref="AJ148">IFERROR(INDEX(AJ$174:AJ$175,MATCH(_xlfn.TEXTAFTER(INDEX($F$78:$F$129,MATCH($AI148,$G$78:$G$129,0))," "),_xlfn.TEXTBEFORE($AI$174:$AI$175," - ")),0),0)</f>
        <v>92503.140684153317</v>
      </c>
      <c r="AK148" s="6" cm="1">
        <f t="array" ref="AK148">IFERROR(INDEX(AK$174:AK$175,MATCH(_xlfn.TEXTAFTER(INDEX($F$78:$F$129,MATCH($AI148,$G$78:$G$129,0))," "),_xlfn.TEXTBEFORE($AI$174:$AI$175," - ")),0),0)</f>
        <v>92503.140684153317</v>
      </c>
      <c r="AL148" s="6" cm="1">
        <f t="array" ref="AL148">IFERROR(INDEX(AL$174:AL$175,MATCH(_xlfn.TEXTAFTER(INDEX($F$78:$F$129,MATCH($AI148,$G$78:$G$129,0))," "),_xlfn.TEXTBEFORE($AI$174:$AI$175," - ")),0),0)</f>
        <v>92503.140684153317</v>
      </c>
      <c r="AM148" s="6" cm="1">
        <f t="array" ref="AM148">IFERROR(INDEX(AM$174:AM$175,MATCH(_xlfn.TEXTAFTER(INDEX($F$78:$F$129,MATCH($AI148,$G$78:$G$129,0))," "),_xlfn.TEXTBEFORE($AI$174:$AI$175," - ")),0),0)</f>
        <v>92503.140684153317</v>
      </c>
      <c r="AN148" s="6" cm="1">
        <f t="array" ref="AN148">IFERROR(INDEX(AN$174:AN$175,MATCH(_xlfn.TEXTAFTER(INDEX($F$78:$F$129,MATCH($AI148,$G$78:$G$129,0))," "),_xlfn.TEXTBEFORE($AI$174:$AI$175," - ")),0),0)</f>
        <v>92503.140684153317</v>
      </c>
      <c r="AO148" s="6" cm="1">
        <f t="array" ref="AO148">IFERROR(INDEX(AO$174:AO$175,MATCH(_xlfn.TEXTAFTER(INDEX($F$78:$F$129,MATCH($AI148,$G$78:$G$129,0))," "),_xlfn.TEXTBEFORE($AI$174:$AI$175," - ")),0),0)</f>
        <v>92503.140684153317</v>
      </c>
      <c r="AP148" s="6" cm="1">
        <f t="array" ref="AP148">IFERROR(INDEX(AP$174:AP$175,MATCH(_xlfn.TEXTAFTER(INDEX($F$78:$F$129,MATCH($AI148,$G$78:$G$129,0))," "),_xlfn.TEXTBEFORE($AI$174:$AI$175," - ")),0),0)</f>
        <v>92503.140684153317</v>
      </c>
      <c r="AQ148" s="6" cm="1">
        <f t="array" ref="AQ148">IFERROR(INDEX(AQ$174:AQ$175,MATCH(_xlfn.TEXTAFTER(INDEX($F$78:$F$129,MATCH($AI148,$G$78:$G$129,0))," "),_xlfn.TEXTBEFORE($AI$174:$AI$175," - ")),0),0)</f>
        <v>92503.140684153317</v>
      </c>
      <c r="AR148" s="6" cm="1">
        <f t="array" ref="AR148">IFERROR(INDEX(AR$174:AR$175,MATCH(_xlfn.TEXTAFTER(INDEX($F$78:$F$129,MATCH($AI148,$G$78:$G$129,0))," "),_xlfn.TEXTBEFORE($AI$174:$AI$175," - ")),0),0)</f>
        <v>92503.140684153317</v>
      </c>
      <c r="AS148" s="6" cm="1">
        <f t="array" ref="AS148">IFERROR(INDEX(AS$174:AS$175,MATCH(_xlfn.TEXTAFTER(INDEX($F$78:$F$129,MATCH($AI148,$G$78:$G$129,0))," "),_xlfn.TEXTBEFORE($AI$174:$AI$175," - ")),0),0)</f>
        <v>92503.140684153317</v>
      </c>
      <c r="AT148" s="6" cm="1">
        <f t="array" ref="AT148">IFERROR(INDEX(AT$174:AT$175,MATCH(_xlfn.TEXTAFTER(INDEX($F$78:$F$129,MATCH($AI148,$G$78:$G$129,0))," "),_xlfn.TEXTBEFORE($AI$174:$AI$175," - ")),0),0)</f>
        <v>92503.140684153317</v>
      </c>
      <c r="AU148" s="6" cm="1">
        <f t="array" ref="AU148">IFERROR(INDEX(AU$174:AU$175,MATCH(_xlfn.TEXTAFTER(INDEX($F$78:$F$129,MATCH($AI148,$G$78:$G$129,0))," "),_xlfn.TEXTBEFORE($AI$174:$AI$175," - ")),0),0)</f>
        <v>92503.140684153317</v>
      </c>
      <c r="AV148" s="6" cm="1">
        <f t="array" ref="AV148">IFERROR(INDEX(AV$174:AV$175,MATCH(_xlfn.TEXTAFTER(INDEX($F$78:$F$129,MATCH($AI148,$G$78:$G$129,0))," "),_xlfn.TEXTBEFORE($AI$174:$AI$175," - ")),0),0)</f>
        <v>92503.140684153317</v>
      </c>
      <c r="AW148" s="6" cm="1">
        <f t="array" ref="AW148">IFERROR(INDEX(AW$174:AW$175,MATCH(_xlfn.TEXTAFTER(INDEX($F$78:$F$129,MATCH($AI148,$G$78:$G$129,0))," "),_xlfn.TEXTBEFORE($AI$174:$AI$175," - ")),0),0)</f>
        <v>92503.140684153317</v>
      </c>
      <c r="AX148" s="6" cm="1">
        <f t="array" ref="AX148">IFERROR(INDEX(AX$174:AX$175,MATCH(_xlfn.TEXTAFTER(INDEX($F$78:$F$129,MATCH($AI148,$G$78:$G$129,0))," "),_xlfn.TEXTBEFORE($AI$174:$AI$175," - ")),0),0)</f>
        <v>92503.140684153317</v>
      </c>
      <c r="AY148" s="6" cm="1">
        <f t="array" ref="AY148">IFERROR(INDEX(AY$174:AY$175,MATCH(_xlfn.TEXTAFTER(INDEX($F$78:$F$129,MATCH($AI148,$G$78:$G$129,0))," "),_xlfn.TEXTBEFORE($AI$174:$AI$175," - ")),0),0)</f>
        <v>92503.140684153317</v>
      </c>
      <c r="AZ148" s="6" cm="1">
        <f t="array" ref="AZ148">IFERROR(INDEX(AZ$174:AZ$175,MATCH(_xlfn.TEXTAFTER(INDEX($F$78:$F$129,MATCH($AI148,$G$78:$G$129,0))," "),_xlfn.TEXTBEFORE($AI$174:$AI$175," - ")),0),0)</f>
        <v>92503.140684153317</v>
      </c>
      <c r="BA148" s="6" cm="1">
        <f t="array" ref="BA148">IFERROR(INDEX(BA$174:BA$175,MATCH(_xlfn.TEXTAFTER(INDEX($F$78:$F$129,MATCH($AI148,$G$78:$G$129,0))," "),_xlfn.TEXTBEFORE($AI$174:$AI$175," - ")),0),0)</f>
        <v>92503.140684153317</v>
      </c>
      <c r="BB148" s="6" cm="1">
        <f t="array" ref="BB148">IFERROR(INDEX(BB$174:BB$175,MATCH(_xlfn.TEXTAFTER(INDEX($F$78:$F$129,MATCH($AI148,$G$78:$G$129,0))," "),_xlfn.TEXTBEFORE($AI$174:$AI$175," - ")),0),0)</f>
        <v>92503.140684153317</v>
      </c>
      <c r="BC148" s="6" cm="1">
        <f t="array" ref="BC148">IFERROR(INDEX(BC$174:BC$175,MATCH(_xlfn.TEXTAFTER(INDEX($F$78:$F$129,MATCH($AI148,$G$78:$G$129,0))," "),_xlfn.TEXTBEFORE($AI$174:$AI$175," - ")),0),0)</f>
        <v>92503.140684153317</v>
      </c>
      <c r="BD148" s="6" cm="1">
        <f t="array" ref="BD148">IFERROR(INDEX(BD$174:BD$175,MATCH(_xlfn.TEXTAFTER(INDEX($F$78:$F$129,MATCH($AI148,$G$78:$G$129,0))," "),_xlfn.TEXTBEFORE($AI$174:$AI$175," - ")),0),0)</f>
        <v>92503.140684153317</v>
      </c>
      <c r="BE148" s="6" cm="1">
        <f t="array" ref="BE148">IFERROR(INDEX(BE$174:BE$175,MATCH(_xlfn.TEXTAFTER(INDEX($F$78:$F$129,MATCH($AI148,$G$78:$G$129,0))," "),_xlfn.TEXTBEFORE($AI$174:$AI$175," - ")),0),0)</f>
        <v>92503.140684153317</v>
      </c>
      <c r="BF148" s="6" cm="1">
        <f t="array" ref="BF148">IFERROR(INDEX(BF$174:BF$175,MATCH(_xlfn.TEXTAFTER(INDEX($F$78:$F$129,MATCH($AI148,$G$78:$G$129,0))," "),_xlfn.TEXTBEFORE($AI$174:$AI$175," - ")),0),0)</f>
        <v>92503.140684153317</v>
      </c>
      <c r="BG148" s="6" cm="1">
        <f t="array" ref="BG148">IFERROR(INDEX(BG$174:BG$175,MATCH(_xlfn.TEXTAFTER(INDEX($F$78:$F$129,MATCH($AI148,$G$78:$G$129,0))," "),_xlfn.TEXTBEFORE($AI$174:$AI$175," - ")),0),0)</f>
        <v>92503.140684153317</v>
      </c>
      <c r="BH148" s="6" cm="1">
        <f t="array" ref="BH148">IFERROR(INDEX(BH$174:BH$175,MATCH(_xlfn.TEXTAFTER(INDEX($F$78:$F$129,MATCH($AI148,$G$78:$G$129,0))," "),_xlfn.TEXTBEFORE($AI$174:$AI$175," - ")),0),0)</f>
        <v>92503.140684153317</v>
      </c>
      <c r="BI148" s="6" cm="1">
        <f t="array" ref="BI148">IFERROR(INDEX(BI$174:BI$175,MATCH(_xlfn.TEXTAFTER(INDEX($F$78:$F$129,MATCH($AI148,$G$78:$G$129,0))," "),_xlfn.TEXTBEFORE($AI$174:$AI$175," - ")),0),0)</f>
        <v>92503.140684153317</v>
      </c>
    </row>
    <row r="149" spans="7:61" ht="16" x14ac:dyDescent="0.2">
      <c r="G149" s="5" t="s">
        <v>53</v>
      </c>
      <c r="H149" s="6">
        <f>IFERROR(ROUND(AVERAGEIFS([1]!Resources[Fixed O&amp;M Cost],[1]!Resources[COD],"&lt;="&amp;H$139,[1]!Resources[Retirement Date],"&gt;="&amp;H$139,[1]!Resources[Unique Key],$G149,[1]!Resources[Summer Rating],"&gt;"&amp;0),2),0)*H87/10^6</f>
        <v>0</v>
      </c>
      <c r="I149" s="6">
        <f>IFERROR(ROUND(AVERAGEIFS([1]!Resources[Fixed O&amp;M Cost],[1]!Resources[COD],"&lt;="&amp;I$139,[1]!Resources[Retirement Date],"&gt;="&amp;I$139,[1]!Resources[Unique Key],$G149,[1]!Resources[Summer Rating],"&gt;"&amp;0),2),0)*I87/10^6</f>
        <v>0</v>
      </c>
      <c r="J149" s="6">
        <f>IFERROR(ROUND(AVERAGEIFS([1]!Resources[Fixed O&amp;M Cost],[1]!Resources[COD],"&lt;="&amp;J$139,[1]!Resources[Retirement Date],"&gt;="&amp;J$139,[1]!Resources[Unique Key],$G149,[1]!Resources[Summer Rating],"&gt;"&amp;0),2),0)*J87/10^6</f>
        <v>0</v>
      </c>
      <c r="K149" s="6">
        <f>IFERROR(ROUND(AVERAGEIFS([1]!Resources[Fixed O&amp;M Cost],[1]!Resources[COD],"&lt;="&amp;K$139,[1]!Resources[Retirement Date],"&gt;="&amp;K$139,[1]!Resources[Unique Key],$G149,[1]!Resources[Summer Rating],"&gt;"&amp;0),2),0)*K87/10^6</f>
        <v>0</v>
      </c>
      <c r="L149" s="6">
        <f>IFERROR(ROUND(AVERAGEIFS([1]!Resources[Fixed O&amp;M Cost],[1]!Resources[COD],"&lt;="&amp;L$139,[1]!Resources[Retirement Date],"&gt;="&amp;L$139,[1]!Resources[Unique Key],$G149,[1]!Resources[Summer Rating],"&gt;"&amp;0),2),0)*L87/10^6</f>
        <v>0</v>
      </c>
      <c r="M149" s="6">
        <f>IFERROR(ROUND(AVERAGEIFS([1]!Resources[Fixed O&amp;M Cost],[1]!Resources[COD],"&lt;="&amp;M$139,[1]!Resources[Retirement Date],"&gt;="&amp;M$139,[1]!Resources[Unique Key],$G149,[1]!Resources[Summer Rating],"&gt;"&amp;0),2),0)*M87/10^6</f>
        <v>23.87</v>
      </c>
      <c r="N149" s="6">
        <f>IFERROR(ROUND(AVERAGEIFS([1]!Resources[Fixed O&amp;M Cost],[1]!Resources[COD],"&lt;="&amp;N$139,[1]!Resources[Retirement Date],"&gt;="&amp;N$139,[1]!Resources[Unique Key],$G149,[1]!Resources[Summer Rating],"&gt;"&amp;0),2),0)*N87/10^6</f>
        <v>23.87</v>
      </c>
      <c r="O149" s="6">
        <f>IFERROR(ROUND(AVERAGEIFS([1]!Resources[Fixed O&amp;M Cost],[1]!Resources[COD],"&lt;="&amp;O$139,[1]!Resources[Retirement Date],"&gt;="&amp;O$139,[1]!Resources[Unique Key],$G149,[1]!Resources[Summer Rating],"&gt;"&amp;0),2),0)*O87/10^6</f>
        <v>23.87</v>
      </c>
      <c r="P149" s="6">
        <f>IFERROR(ROUND(AVERAGEIFS([1]!Resources[Fixed O&amp;M Cost],[1]!Resources[COD],"&lt;="&amp;P$139,[1]!Resources[Retirement Date],"&gt;="&amp;P$139,[1]!Resources[Unique Key],$G149,[1]!Resources[Summer Rating],"&gt;"&amp;0),2),0)*P87/10^6</f>
        <v>23.87</v>
      </c>
      <c r="Q149" s="6">
        <f>IFERROR(ROUND(AVERAGEIFS([1]!Resources[Fixed O&amp;M Cost],[1]!Resources[COD],"&lt;="&amp;Q$139,[1]!Resources[Retirement Date],"&gt;="&amp;Q$139,[1]!Resources[Unique Key],$G149,[1]!Resources[Summer Rating],"&gt;"&amp;0),2),0)*Q87/10^6</f>
        <v>23.87</v>
      </c>
      <c r="R149" s="6">
        <f>IFERROR(ROUND(AVERAGEIFS([1]!Resources[Fixed O&amp;M Cost],[1]!Resources[COD],"&lt;="&amp;R$139,[1]!Resources[Retirement Date],"&gt;="&amp;R$139,[1]!Resources[Unique Key],$G149,[1]!Resources[Summer Rating],"&gt;"&amp;0),2),0)*R87/10^6</f>
        <v>23.87</v>
      </c>
      <c r="S149" s="6">
        <f>IFERROR(ROUND(AVERAGEIFS([1]!Resources[Fixed O&amp;M Cost],[1]!Resources[COD],"&lt;="&amp;S$139,[1]!Resources[Retirement Date],"&gt;="&amp;S$139,[1]!Resources[Unique Key],$G149,[1]!Resources[Summer Rating],"&gt;"&amp;0),2),0)*S87/10^6</f>
        <v>23.87</v>
      </c>
      <c r="T149" s="6">
        <f>IFERROR(ROUND(AVERAGEIFS([1]!Resources[Fixed O&amp;M Cost],[1]!Resources[COD],"&lt;="&amp;T$139,[1]!Resources[Retirement Date],"&gt;="&amp;T$139,[1]!Resources[Unique Key],$G149,[1]!Resources[Summer Rating],"&gt;"&amp;0),2),0)*T87/10^6</f>
        <v>23.87</v>
      </c>
      <c r="U149" s="6">
        <f>IFERROR(ROUND(AVERAGEIFS([1]!Resources[Fixed O&amp;M Cost],[1]!Resources[COD],"&lt;="&amp;U$139,[1]!Resources[Retirement Date],"&gt;="&amp;U$139,[1]!Resources[Unique Key],$G149,[1]!Resources[Summer Rating],"&gt;"&amp;0),2),0)*U87/10^6</f>
        <v>23.87</v>
      </c>
      <c r="V149" s="6">
        <f>IFERROR(ROUND(AVERAGEIFS([1]!Resources[Fixed O&amp;M Cost],[1]!Resources[COD],"&lt;="&amp;V$139,[1]!Resources[Retirement Date],"&gt;="&amp;V$139,[1]!Resources[Unique Key],$G149,[1]!Resources[Summer Rating],"&gt;"&amp;0),2),0)*V87/10^6</f>
        <v>23.87</v>
      </c>
      <c r="W149" s="6">
        <f>IFERROR(ROUND(AVERAGEIFS([1]!Resources[Fixed O&amp;M Cost],[1]!Resources[COD],"&lt;="&amp;W$139,[1]!Resources[Retirement Date],"&gt;="&amp;W$139,[1]!Resources[Unique Key],$G149,[1]!Resources[Summer Rating],"&gt;"&amp;0),2),0)*W87/10^6</f>
        <v>23.87</v>
      </c>
      <c r="X149" s="6">
        <f>IFERROR(ROUND(AVERAGEIFS([1]!Resources[Fixed O&amp;M Cost],[1]!Resources[COD],"&lt;="&amp;X$139,[1]!Resources[Retirement Date],"&gt;="&amp;X$139,[1]!Resources[Unique Key],$G149,[1]!Resources[Summer Rating],"&gt;"&amp;0),2),0)*X87/10^6</f>
        <v>23.87</v>
      </c>
      <c r="Y149" s="6">
        <f>IFERROR(ROUND(AVERAGEIFS([1]!Resources[Fixed O&amp;M Cost],[1]!Resources[COD],"&lt;="&amp;Y$139,[1]!Resources[Retirement Date],"&gt;="&amp;Y$139,[1]!Resources[Unique Key],$G149,[1]!Resources[Summer Rating],"&gt;"&amp;0),2),0)*Y87/10^6</f>
        <v>23.87</v>
      </c>
      <c r="Z149" s="6">
        <f>IFERROR(ROUND(AVERAGEIFS([1]!Resources[Fixed O&amp;M Cost],[1]!Resources[COD],"&lt;="&amp;Z$139,[1]!Resources[Retirement Date],"&gt;="&amp;Z$139,[1]!Resources[Unique Key],$G149,[1]!Resources[Summer Rating],"&gt;"&amp;0),2),0)*Z87/10^6</f>
        <v>23.87</v>
      </c>
      <c r="AA149" s="6">
        <f>IFERROR(ROUND(AVERAGEIFS([1]!Resources[Fixed O&amp;M Cost],[1]!Resources[COD],"&lt;="&amp;AA$139,[1]!Resources[Retirement Date],"&gt;="&amp;AA$139,[1]!Resources[Unique Key],$G149,[1]!Resources[Summer Rating],"&gt;"&amp;0),2),0)*AA87/10^6</f>
        <v>23.87</v>
      </c>
      <c r="AB149" s="6">
        <f>IFERROR(ROUND(AVERAGEIFS([1]!Resources[Fixed O&amp;M Cost],[1]!Resources[COD],"&lt;="&amp;AB$139,[1]!Resources[Retirement Date],"&gt;="&amp;AB$139,[1]!Resources[Unique Key],$G149,[1]!Resources[Summer Rating],"&gt;"&amp;0),2),0)*AB87/10^6</f>
        <v>23.87</v>
      </c>
      <c r="AC149" s="6">
        <f>IFERROR(ROUND(AVERAGEIFS([1]!Resources[Fixed O&amp;M Cost],[1]!Resources[COD],"&lt;="&amp;AC$139,[1]!Resources[Retirement Date],"&gt;="&amp;AC$139,[1]!Resources[Unique Key],$G149,[1]!Resources[Summer Rating],"&gt;"&amp;0),2),0)*AC87/10^6</f>
        <v>23.87</v>
      </c>
      <c r="AD149" s="6">
        <f>IFERROR(ROUND(AVERAGEIFS([1]!Resources[Fixed O&amp;M Cost],[1]!Resources[COD],"&lt;="&amp;AD$139,[1]!Resources[Retirement Date],"&gt;="&amp;AD$139,[1]!Resources[Unique Key],$G149,[1]!Resources[Summer Rating],"&gt;"&amp;0),2),0)*AD87/10^6</f>
        <v>23.87</v>
      </c>
      <c r="AE149" s="6">
        <f>IFERROR(ROUND(AVERAGEIFS([1]!Resources[Fixed O&amp;M Cost],[1]!Resources[COD],"&lt;="&amp;AE$139,[1]!Resources[Retirement Date],"&gt;="&amp;AE$139,[1]!Resources[Unique Key],$G149,[1]!Resources[Summer Rating],"&gt;"&amp;0),2),0)*AE87/10^6</f>
        <v>23.87</v>
      </c>
      <c r="AF149" s="6">
        <f>IFERROR(ROUND(AVERAGEIFS([1]!Resources[Fixed O&amp;M Cost],[1]!Resources[COD],"&lt;="&amp;AF$139,[1]!Resources[Retirement Date],"&gt;="&amp;AF$139,[1]!Resources[Unique Key],$G149,[1]!Resources[Summer Rating],"&gt;"&amp;0),2),0)*AF87/10^6</f>
        <v>23.87</v>
      </c>
      <c r="AG149" s="6">
        <f>IFERROR(ROUND(AVERAGEIFS([1]!Resources[Fixed O&amp;M Cost],[1]!Resources[COD],"&lt;="&amp;AG$139,[1]!Resources[Retirement Date],"&gt;="&amp;AG$139,[1]!Resources[Unique Key],$G149,[1]!Resources[Summer Rating],"&gt;"&amp;0),2),0)*AG87/10^6</f>
        <v>23.87</v>
      </c>
      <c r="AI149" s="5" t="s">
        <v>53</v>
      </c>
      <c r="AJ149" s="6" cm="1">
        <f t="array" ref="AJ149">IFERROR(INDEX(AJ$174:AJ$175,MATCH(_xlfn.TEXTAFTER(INDEX($F$78:$F$129,MATCH($AI149,$G$78:$G$129,0))," "),_xlfn.TEXTBEFORE($AI$174:$AI$175," - ")),0),0)</f>
        <v>92503.140684153317</v>
      </c>
      <c r="AK149" s="6" cm="1">
        <f t="array" ref="AK149">IFERROR(INDEX(AK$174:AK$175,MATCH(_xlfn.TEXTAFTER(INDEX($F$78:$F$129,MATCH($AI149,$G$78:$G$129,0))," "),_xlfn.TEXTBEFORE($AI$174:$AI$175," - ")),0),0)</f>
        <v>92503.140684153317</v>
      </c>
      <c r="AL149" s="6" cm="1">
        <f t="array" ref="AL149">IFERROR(INDEX(AL$174:AL$175,MATCH(_xlfn.TEXTAFTER(INDEX($F$78:$F$129,MATCH($AI149,$G$78:$G$129,0))," "),_xlfn.TEXTBEFORE($AI$174:$AI$175," - ")),0),0)</f>
        <v>92503.140684153317</v>
      </c>
      <c r="AM149" s="6" cm="1">
        <f t="array" ref="AM149">IFERROR(INDEX(AM$174:AM$175,MATCH(_xlfn.TEXTAFTER(INDEX($F$78:$F$129,MATCH($AI149,$G$78:$G$129,0))," "),_xlfn.TEXTBEFORE($AI$174:$AI$175," - ")),0),0)</f>
        <v>92503.140684153317</v>
      </c>
      <c r="AN149" s="6" cm="1">
        <f t="array" ref="AN149">IFERROR(INDEX(AN$174:AN$175,MATCH(_xlfn.TEXTAFTER(INDEX($F$78:$F$129,MATCH($AI149,$G$78:$G$129,0))," "),_xlfn.TEXTBEFORE($AI$174:$AI$175," - ")),0),0)</f>
        <v>92503.140684153317</v>
      </c>
      <c r="AO149" s="6" cm="1">
        <f t="array" ref="AO149">IFERROR(INDEX(AO$174:AO$175,MATCH(_xlfn.TEXTAFTER(INDEX($F$78:$F$129,MATCH($AI149,$G$78:$G$129,0))," "),_xlfn.TEXTBEFORE($AI$174:$AI$175," - ")),0),0)</f>
        <v>92503.140684153317</v>
      </c>
      <c r="AP149" s="6" cm="1">
        <f t="array" ref="AP149">IFERROR(INDEX(AP$174:AP$175,MATCH(_xlfn.TEXTAFTER(INDEX($F$78:$F$129,MATCH($AI149,$G$78:$G$129,0))," "),_xlfn.TEXTBEFORE($AI$174:$AI$175," - ")),0),0)</f>
        <v>92503.140684153317</v>
      </c>
      <c r="AQ149" s="6" cm="1">
        <f t="array" ref="AQ149">IFERROR(INDEX(AQ$174:AQ$175,MATCH(_xlfn.TEXTAFTER(INDEX($F$78:$F$129,MATCH($AI149,$G$78:$G$129,0))," "),_xlfn.TEXTBEFORE($AI$174:$AI$175," - ")),0),0)</f>
        <v>92503.140684153317</v>
      </c>
      <c r="AR149" s="6" cm="1">
        <f t="array" ref="AR149">IFERROR(INDEX(AR$174:AR$175,MATCH(_xlfn.TEXTAFTER(INDEX($F$78:$F$129,MATCH($AI149,$G$78:$G$129,0))," "),_xlfn.TEXTBEFORE($AI$174:$AI$175," - ")),0),0)</f>
        <v>92503.140684153317</v>
      </c>
      <c r="AS149" s="6" cm="1">
        <f t="array" ref="AS149">IFERROR(INDEX(AS$174:AS$175,MATCH(_xlfn.TEXTAFTER(INDEX($F$78:$F$129,MATCH($AI149,$G$78:$G$129,0))," "),_xlfn.TEXTBEFORE($AI$174:$AI$175," - ")),0),0)</f>
        <v>92503.140684153317</v>
      </c>
      <c r="AT149" s="6" cm="1">
        <f t="array" ref="AT149">IFERROR(INDEX(AT$174:AT$175,MATCH(_xlfn.TEXTAFTER(INDEX($F$78:$F$129,MATCH($AI149,$G$78:$G$129,0))," "),_xlfn.TEXTBEFORE($AI$174:$AI$175," - ")),0),0)</f>
        <v>92503.140684153317</v>
      </c>
      <c r="AU149" s="6" cm="1">
        <f t="array" ref="AU149">IFERROR(INDEX(AU$174:AU$175,MATCH(_xlfn.TEXTAFTER(INDEX($F$78:$F$129,MATCH($AI149,$G$78:$G$129,0))," "),_xlfn.TEXTBEFORE($AI$174:$AI$175," - ")),0),0)</f>
        <v>92503.140684153317</v>
      </c>
      <c r="AV149" s="6" cm="1">
        <f t="array" ref="AV149">IFERROR(INDEX(AV$174:AV$175,MATCH(_xlfn.TEXTAFTER(INDEX($F$78:$F$129,MATCH($AI149,$G$78:$G$129,0))," "),_xlfn.TEXTBEFORE($AI$174:$AI$175," - ")),0),0)</f>
        <v>92503.140684153317</v>
      </c>
      <c r="AW149" s="6" cm="1">
        <f t="array" ref="AW149">IFERROR(INDEX(AW$174:AW$175,MATCH(_xlfn.TEXTAFTER(INDEX($F$78:$F$129,MATCH($AI149,$G$78:$G$129,0))," "),_xlfn.TEXTBEFORE($AI$174:$AI$175," - ")),0),0)</f>
        <v>92503.140684153317</v>
      </c>
      <c r="AX149" s="6" cm="1">
        <f t="array" ref="AX149">IFERROR(INDEX(AX$174:AX$175,MATCH(_xlfn.TEXTAFTER(INDEX($F$78:$F$129,MATCH($AI149,$G$78:$G$129,0))," "),_xlfn.TEXTBEFORE($AI$174:$AI$175," - ")),0),0)</f>
        <v>92503.140684153317</v>
      </c>
      <c r="AY149" s="6" cm="1">
        <f t="array" ref="AY149">IFERROR(INDEX(AY$174:AY$175,MATCH(_xlfn.TEXTAFTER(INDEX($F$78:$F$129,MATCH($AI149,$G$78:$G$129,0))," "),_xlfn.TEXTBEFORE($AI$174:$AI$175," - ")),0),0)</f>
        <v>92503.140684153317</v>
      </c>
      <c r="AZ149" s="6" cm="1">
        <f t="array" ref="AZ149">IFERROR(INDEX(AZ$174:AZ$175,MATCH(_xlfn.TEXTAFTER(INDEX($F$78:$F$129,MATCH($AI149,$G$78:$G$129,0))," "),_xlfn.TEXTBEFORE($AI$174:$AI$175," - ")),0),0)</f>
        <v>92503.140684153317</v>
      </c>
      <c r="BA149" s="6" cm="1">
        <f t="array" ref="BA149">IFERROR(INDEX(BA$174:BA$175,MATCH(_xlfn.TEXTAFTER(INDEX($F$78:$F$129,MATCH($AI149,$G$78:$G$129,0))," "),_xlfn.TEXTBEFORE($AI$174:$AI$175," - ")),0),0)</f>
        <v>92503.140684153317</v>
      </c>
      <c r="BB149" s="6" cm="1">
        <f t="array" ref="BB149">IFERROR(INDEX(BB$174:BB$175,MATCH(_xlfn.TEXTAFTER(INDEX($F$78:$F$129,MATCH($AI149,$G$78:$G$129,0))," "),_xlfn.TEXTBEFORE($AI$174:$AI$175," - ")),0),0)</f>
        <v>92503.140684153317</v>
      </c>
      <c r="BC149" s="6" cm="1">
        <f t="array" ref="BC149">IFERROR(INDEX(BC$174:BC$175,MATCH(_xlfn.TEXTAFTER(INDEX($F$78:$F$129,MATCH($AI149,$G$78:$G$129,0))," "),_xlfn.TEXTBEFORE($AI$174:$AI$175," - ")),0),0)</f>
        <v>92503.140684153317</v>
      </c>
      <c r="BD149" s="6" cm="1">
        <f t="array" ref="BD149">IFERROR(INDEX(BD$174:BD$175,MATCH(_xlfn.TEXTAFTER(INDEX($F$78:$F$129,MATCH($AI149,$G$78:$G$129,0))," "),_xlfn.TEXTBEFORE($AI$174:$AI$175," - ")),0),0)</f>
        <v>92503.140684153317</v>
      </c>
      <c r="BE149" s="6" cm="1">
        <f t="array" ref="BE149">IFERROR(INDEX(BE$174:BE$175,MATCH(_xlfn.TEXTAFTER(INDEX($F$78:$F$129,MATCH($AI149,$G$78:$G$129,0))," "),_xlfn.TEXTBEFORE($AI$174:$AI$175," - ")),0),0)</f>
        <v>92503.140684153317</v>
      </c>
      <c r="BF149" s="6" cm="1">
        <f t="array" ref="BF149">IFERROR(INDEX(BF$174:BF$175,MATCH(_xlfn.TEXTAFTER(INDEX($F$78:$F$129,MATCH($AI149,$G$78:$G$129,0))," "),_xlfn.TEXTBEFORE($AI$174:$AI$175," - ")),0),0)</f>
        <v>92503.140684153317</v>
      </c>
      <c r="BG149" s="6" cm="1">
        <f t="array" ref="BG149">IFERROR(INDEX(BG$174:BG$175,MATCH(_xlfn.TEXTAFTER(INDEX($F$78:$F$129,MATCH($AI149,$G$78:$G$129,0))," "),_xlfn.TEXTBEFORE($AI$174:$AI$175," - ")),0),0)</f>
        <v>92503.140684153317</v>
      </c>
      <c r="BH149" s="6" cm="1">
        <f t="array" ref="BH149">IFERROR(INDEX(BH$174:BH$175,MATCH(_xlfn.TEXTAFTER(INDEX($F$78:$F$129,MATCH($AI149,$G$78:$G$129,0))," "),_xlfn.TEXTBEFORE($AI$174:$AI$175," - ")),0),0)</f>
        <v>92503.140684153317</v>
      </c>
      <c r="BI149" s="6" cm="1">
        <f t="array" ref="BI149">IFERROR(INDEX(BI$174:BI$175,MATCH(_xlfn.TEXTAFTER(INDEX($F$78:$F$129,MATCH($AI149,$G$78:$G$129,0))," "),_xlfn.TEXTBEFORE($AI$174:$AI$175," - ")),0),0)</f>
        <v>92503.140684153317</v>
      </c>
    </row>
    <row r="150" spans="7:61" ht="16" x14ac:dyDescent="0.2">
      <c r="G150" s="5" t="s">
        <v>54</v>
      </c>
      <c r="H150" s="6">
        <f>IFERROR(ROUND(AVERAGEIFS([1]!Resources[Fixed O&amp;M Cost],[1]!Resources[COD],"&lt;="&amp;H$139,[1]!Resources[Retirement Date],"&gt;="&amp;H$139,[1]!Resources[Unique Key],$G150,[1]!Resources[Summer Rating],"&gt;"&amp;0),2),0)*H88/10^6</f>
        <v>23.87</v>
      </c>
      <c r="I150" s="6">
        <f>IFERROR(ROUND(AVERAGEIFS([1]!Resources[Fixed O&amp;M Cost],[1]!Resources[COD],"&lt;="&amp;I$139,[1]!Resources[Retirement Date],"&gt;="&amp;I$139,[1]!Resources[Unique Key],$G150,[1]!Resources[Summer Rating],"&gt;"&amp;0),2),0)*I88/10^6</f>
        <v>23.87</v>
      </c>
      <c r="J150" s="6">
        <f>IFERROR(ROUND(AVERAGEIFS([1]!Resources[Fixed O&amp;M Cost],[1]!Resources[COD],"&lt;="&amp;J$139,[1]!Resources[Retirement Date],"&gt;="&amp;J$139,[1]!Resources[Unique Key],$G150,[1]!Resources[Summer Rating],"&gt;"&amp;0),2),0)*J88/10^6</f>
        <v>23.87</v>
      </c>
      <c r="K150" s="6">
        <f>IFERROR(ROUND(AVERAGEIFS([1]!Resources[Fixed O&amp;M Cost],[1]!Resources[COD],"&lt;="&amp;K$139,[1]!Resources[Retirement Date],"&gt;="&amp;K$139,[1]!Resources[Unique Key],$G150,[1]!Resources[Summer Rating],"&gt;"&amp;0),2),0)*K88/10^6</f>
        <v>23.87</v>
      </c>
      <c r="L150" s="6">
        <f>IFERROR(ROUND(AVERAGEIFS([1]!Resources[Fixed O&amp;M Cost],[1]!Resources[COD],"&lt;="&amp;L$139,[1]!Resources[Retirement Date],"&gt;="&amp;L$139,[1]!Resources[Unique Key],$G150,[1]!Resources[Summer Rating],"&gt;"&amp;0),2),0)*L88/10^6</f>
        <v>23.87</v>
      </c>
      <c r="M150" s="6">
        <f>IFERROR(ROUND(AVERAGEIFS([1]!Resources[Fixed O&amp;M Cost],[1]!Resources[COD],"&lt;="&amp;M$139,[1]!Resources[Retirement Date],"&gt;="&amp;M$139,[1]!Resources[Unique Key],$G150,[1]!Resources[Summer Rating],"&gt;"&amp;0),2),0)*M88/10^6</f>
        <v>0</v>
      </c>
      <c r="N150" s="6">
        <f>IFERROR(ROUND(AVERAGEIFS([1]!Resources[Fixed O&amp;M Cost],[1]!Resources[COD],"&lt;="&amp;N$139,[1]!Resources[Retirement Date],"&gt;="&amp;N$139,[1]!Resources[Unique Key],$G150,[1]!Resources[Summer Rating],"&gt;"&amp;0),2),0)*N88/10^6</f>
        <v>0</v>
      </c>
      <c r="O150" s="6">
        <f>IFERROR(ROUND(AVERAGEIFS([1]!Resources[Fixed O&amp;M Cost],[1]!Resources[COD],"&lt;="&amp;O$139,[1]!Resources[Retirement Date],"&gt;="&amp;O$139,[1]!Resources[Unique Key],$G150,[1]!Resources[Summer Rating],"&gt;"&amp;0),2),0)*O88/10^6</f>
        <v>0</v>
      </c>
      <c r="P150" s="6">
        <f>IFERROR(ROUND(AVERAGEIFS([1]!Resources[Fixed O&amp;M Cost],[1]!Resources[COD],"&lt;="&amp;P$139,[1]!Resources[Retirement Date],"&gt;="&amp;P$139,[1]!Resources[Unique Key],$G150,[1]!Resources[Summer Rating],"&gt;"&amp;0),2),0)*P88/10^6</f>
        <v>0</v>
      </c>
      <c r="Q150" s="6">
        <f>IFERROR(ROUND(AVERAGEIFS([1]!Resources[Fixed O&amp;M Cost],[1]!Resources[COD],"&lt;="&amp;Q$139,[1]!Resources[Retirement Date],"&gt;="&amp;Q$139,[1]!Resources[Unique Key],$G150,[1]!Resources[Summer Rating],"&gt;"&amp;0),2),0)*Q88/10^6</f>
        <v>0</v>
      </c>
      <c r="R150" s="6">
        <f>IFERROR(ROUND(AVERAGEIFS([1]!Resources[Fixed O&amp;M Cost],[1]!Resources[COD],"&lt;="&amp;R$139,[1]!Resources[Retirement Date],"&gt;="&amp;R$139,[1]!Resources[Unique Key],$G150,[1]!Resources[Summer Rating],"&gt;"&amp;0),2),0)*R88/10^6</f>
        <v>0</v>
      </c>
      <c r="S150" s="6">
        <f>IFERROR(ROUND(AVERAGEIFS([1]!Resources[Fixed O&amp;M Cost],[1]!Resources[COD],"&lt;="&amp;S$139,[1]!Resources[Retirement Date],"&gt;="&amp;S$139,[1]!Resources[Unique Key],$G150,[1]!Resources[Summer Rating],"&gt;"&amp;0),2),0)*S88/10^6</f>
        <v>0</v>
      </c>
      <c r="T150" s="6">
        <f>IFERROR(ROUND(AVERAGEIFS([1]!Resources[Fixed O&amp;M Cost],[1]!Resources[COD],"&lt;="&amp;T$139,[1]!Resources[Retirement Date],"&gt;="&amp;T$139,[1]!Resources[Unique Key],$G150,[1]!Resources[Summer Rating],"&gt;"&amp;0),2),0)*T88/10^6</f>
        <v>0</v>
      </c>
      <c r="U150" s="6">
        <f>IFERROR(ROUND(AVERAGEIFS([1]!Resources[Fixed O&amp;M Cost],[1]!Resources[COD],"&lt;="&amp;U$139,[1]!Resources[Retirement Date],"&gt;="&amp;U$139,[1]!Resources[Unique Key],$G150,[1]!Resources[Summer Rating],"&gt;"&amp;0),2),0)*U88/10^6</f>
        <v>0</v>
      </c>
      <c r="V150" s="6">
        <f>IFERROR(ROUND(AVERAGEIFS([1]!Resources[Fixed O&amp;M Cost],[1]!Resources[COD],"&lt;="&amp;V$139,[1]!Resources[Retirement Date],"&gt;="&amp;V$139,[1]!Resources[Unique Key],$G150,[1]!Resources[Summer Rating],"&gt;"&amp;0),2),0)*V88/10^6</f>
        <v>0</v>
      </c>
      <c r="W150" s="6">
        <f>IFERROR(ROUND(AVERAGEIFS([1]!Resources[Fixed O&amp;M Cost],[1]!Resources[COD],"&lt;="&amp;W$139,[1]!Resources[Retirement Date],"&gt;="&amp;W$139,[1]!Resources[Unique Key],$G150,[1]!Resources[Summer Rating],"&gt;"&amp;0),2),0)*W88/10^6</f>
        <v>0</v>
      </c>
      <c r="X150" s="6">
        <f>IFERROR(ROUND(AVERAGEIFS([1]!Resources[Fixed O&amp;M Cost],[1]!Resources[COD],"&lt;="&amp;X$139,[1]!Resources[Retirement Date],"&gt;="&amp;X$139,[1]!Resources[Unique Key],$G150,[1]!Resources[Summer Rating],"&gt;"&amp;0),2),0)*X88/10^6</f>
        <v>0</v>
      </c>
      <c r="Y150" s="6">
        <f>IFERROR(ROUND(AVERAGEIFS([1]!Resources[Fixed O&amp;M Cost],[1]!Resources[COD],"&lt;="&amp;Y$139,[1]!Resources[Retirement Date],"&gt;="&amp;Y$139,[1]!Resources[Unique Key],$G150,[1]!Resources[Summer Rating],"&gt;"&amp;0),2),0)*Y88/10^6</f>
        <v>0</v>
      </c>
      <c r="Z150" s="6">
        <f>IFERROR(ROUND(AVERAGEIFS([1]!Resources[Fixed O&amp;M Cost],[1]!Resources[COD],"&lt;="&amp;Z$139,[1]!Resources[Retirement Date],"&gt;="&amp;Z$139,[1]!Resources[Unique Key],$G150,[1]!Resources[Summer Rating],"&gt;"&amp;0),2),0)*Z88/10^6</f>
        <v>0</v>
      </c>
      <c r="AA150" s="6">
        <f>IFERROR(ROUND(AVERAGEIFS([1]!Resources[Fixed O&amp;M Cost],[1]!Resources[COD],"&lt;="&amp;AA$139,[1]!Resources[Retirement Date],"&gt;="&amp;AA$139,[1]!Resources[Unique Key],$G150,[1]!Resources[Summer Rating],"&gt;"&amp;0),2),0)*AA88/10^6</f>
        <v>0</v>
      </c>
      <c r="AB150" s="6">
        <f>IFERROR(ROUND(AVERAGEIFS([1]!Resources[Fixed O&amp;M Cost],[1]!Resources[COD],"&lt;="&amp;AB$139,[1]!Resources[Retirement Date],"&gt;="&amp;AB$139,[1]!Resources[Unique Key],$G150,[1]!Resources[Summer Rating],"&gt;"&amp;0),2),0)*AB88/10^6</f>
        <v>0</v>
      </c>
      <c r="AC150" s="6">
        <f>IFERROR(ROUND(AVERAGEIFS([1]!Resources[Fixed O&amp;M Cost],[1]!Resources[COD],"&lt;="&amp;AC$139,[1]!Resources[Retirement Date],"&gt;="&amp;AC$139,[1]!Resources[Unique Key],$G150,[1]!Resources[Summer Rating],"&gt;"&amp;0),2),0)*AC88/10^6</f>
        <v>0</v>
      </c>
      <c r="AD150" s="6">
        <f>IFERROR(ROUND(AVERAGEIFS([1]!Resources[Fixed O&amp;M Cost],[1]!Resources[COD],"&lt;="&amp;AD$139,[1]!Resources[Retirement Date],"&gt;="&amp;AD$139,[1]!Resources[Unique Key],$G150,[1]!Resources[Summer Rating],"&gt;"&amp;0),2),0)*AD88/10^6</f>
        <v>0</v>
      </c>
      <c r="AE150" s="6">
        <f>IFERROR(ROUND(AVERAGEIFS([1]!Resources[Fixed O&amp;M Cost],[1]!Resources[COD],"&lt;="&amp;AE$139,[1]!Resources[Retirement Date],"&gt;="&amp;AE$139,[1]!Resources[Unique Key],$G150,[1]!Resources[Summer Rating],"&gt;"&amp;0),2),0)*AE88/10^6</f>
        <v>0</v>
      </c>
      <c r="AF150" s="6">
        <f>IFERROR(ROUND(AVERAGEIFS([1]!Resources[Fixed O&amp;M Cost],[1]!Resources[COD],"&lt;="&amp;AF$139,[1]!Resources[Retirement Date],"&gt;="&amp;AF$139,[1]!Resources[Unique Key],$G150,[1]!Resources[Summer Rating],"&gt;"&amp;0),2),0)*AF88/10^6</f>
        <v>0</v>
      </c>
      <c r="AG150" s="6">
        <f>IFERROR(ROUND(AVERAGEIFS([1]!Resources[Fixed O&amp;M Cost],[1]!Resources[COD],"&lt;="&amp;AG$139,[1]!Resources[Retirement Date],"&gt;="&amp;AG$139,[1]!Resources[Unique Key],$G150,[1]!Resources[Summer Rating],"&gt;"&amp;0),2),0)*AG88/10^6</f>
        <v>0</v>
      </c>
      <c r="AI150" s="5" t="s">
        <v>54</v>
      </c>
      <c r="AJ150" s="6" cm="1">
        <f t="array" ref="AJ150">IFERROR(INDEX(AJ$174:AJ$175,MATCH(_xlfn.TEXTAFTER(INDEX($F$78:$F$129,MATCH($AI150,$G$78:$G$129,0))," "),_xlfn.TEXTBEFORE($AI$174:$AI$175," - ")),0),0)</f>
        <v>0</v>
      </c>
      <c r="AK150" s="6" cm="1">
        <f t="array" ref="AK150">IFERROR(INDEX(AK$174:AK$175,MATCH(_xlfn.TEXTAFTER(INDEX($F$78:$F$129,MATCH($AI150,$G$78:$G$129,0))," "),_xlfn.TEXTBEFORE($AI$174:$AI$175," - ")),0),0)</f>
        <v>0</v>
      </c>
      <c r="AL150" s="6" cm="1">
        <f t="array" ref="AL150">IFERROR(INDEX(AL$174:AL$175,MATCH(_xlfn.TEXTAFTER(INDEX($F$78:$F$129,MATCH($AI150,$G$78:$G$129,0))," "),_xlfn.TEXTBEFORE($AI$174:$AI$175," - ")),0),0)</f>
        <v>0</v>
      </c>
      <c r="AM150" s="6" cm="1">
        <f t="array" ref="AM150">IFERROR(INDEX(AM$174:AM$175,MATCH(_xlfn.TEXTAFTER(INDEX($F$78:$F$129,MATCH($AI150,$G$78:$G$129,0))," "),_xlfn.TEXTBEFORE($AI$174:$AI$175," - ")),0),0)</f>
        <v>0</v>
      </c>
      <c r="AN150" s="6" cm="1">
        <f t="array" ref="AN150">IFERROR(INDEX(AN$174:AN$175,MATCH(_xlfn.TEXTAFTER(INDEX($F$78:$F$129,MATCH($AI150,$G$78:$G$129,0))," "),_xlfn.TEXTBEFORE($AI$174:$AI$175," - ")),0),0)</f>
        <v>0</v>
      </c>
      <c r="AO150" s="6" cm="1">
        <f t="array" ref="AO150">IFERROR(INDEX(AO$174:AO$175,MATCH(_xlfn.TEXTAFTER(INDEX($F$78:$F$129,MATCH($AI150,$G$78:$G$129,0))," "),_xlfn.TEXTBEFORE($AI$174:$AI$175," - ")),0),0)</f>
        <v>0</v>
      </c>
      <c r="AP150" s="6" cm="1">
        <f t="array" ref="AP150">IFERROR(INDEX(AP$174:AP$175,MATCH(_xlfn.TEXTAFTER(INDEX($F$78:$F$129,MATCH($AI150,$G$78:$G$129,0))," "),_xlfn.TEXTBEFORE($AI$174:$AI$175," - ")),0),0)</f>
        <v>0</v>
      </c>
      <c r="AQ150" s="6" cm="1">
        <f t="array" ref="AQ150">IFERROR(INDEX(AQ$174:AQ$175,MATCH(_xlfn.TEXTAFTER(INDEX($F$78:$F$129,MATCH($AI150,$G$78:$G$129,0))," "),_xlfn.TEXTBEFORE($AI$174:$AI$175," - ")),0),0)</f>
        <v>0</v>
      </c>
      <c r="AR150" s="6" cm="1">
        <f t="array" ref="AR150">IFERROR(INDEX(AR$174:AR$175,MATCH(_xlfn.TEXTAFTER(INDEX($F$78:$F$129,MATCH($AI150,$G$78:$G$129,0))," "),_xlfn.TEXTBEFORE($AI$174:$AI$175," - ")),0),0)</f>
        <v>0</v>
      </c>
      <c r="AS150" s="6" cm="1">
        <f t="array" ref="AS150">IFERROR(INDEX(AS$174:AS$175,MATCH(_xlfn.TEXTAFTER(INDEX($F$78:$F$129,MATCH($AI150,$G$78:$G$129,0))," "),_xlfn.TEXTBEFORE($AI$174:$AI$175," - ")),0),0)</f>
        <v>0</v>
      </c>
      <c r="AT150" s="6" cm="1">
        <f t="array" ref="AT150">IFERROR(INDEX(AT$174:AT$175,MATCH(_xlfn.TEXTAFTER(INDEX($F$78:$F$129,MATCH($AI150,$G$78:$G$129,0))," "),_xlfn.TEXTBEFORE($AI$174:$AI$175," - ")),0),0)</f>
        <v>0</v>
      </c>
      <c r="AU150" s="6" cm="1">
        <f t="array" ref="AU150">IFERROR(INDEX(AU$174:AU$175,MATCH(_xlfn.TEXTAFTER(INDEX($F$78:$F$129,MATCH($AI150,$G$78:$G$129,0))," "),_xlfn.TEXTBEFORE($AI$174:$AI$175," - ")),0),0)</f>
        <v>0</v>
      </c>
      <c r="AV150" s="6" cm="1">
        <f t="array" ref="AV150">IFERROR(INDEX(AV$174:AV$175,MATCH(_xlfn.TEXTAFTER(INDEX($F$78:$F$129,MATCH($AI150,$G$78:$G$129,0))," "),_xlfn.TEXTBEFORE($AI$174:$AI$175," - ")),0),0)</f>
        <v>0</v>
      </c>
      <c r="AW150" s="6" cm="1">
        <f t="array" ref="AW150">IFERROR(INDEX(AW$174:AW$175,MATCH(_xlfn.TEXTAFTER(INDEX($F$78:$F$129,MATCH($AI150,$G$78:$G$129,0))," "),_xlfn.TEXTBEFORE($AI$174:$AI$175," - ")),0),0)</f>
        <v>0</v>
      </c>
      <c r="AX150" s="6" cm="1">
        <f t="array" ref="AX150">IFERROR(INDEX(AX$174:AX$175,MATCH(_xlfn.TEXTAFTER(INDEX($F$78:$F$129,MATCH($AI150,$G$78:$G$129,0))," "),_xlfn.TEXTBEFORE($AI$174:$AI$175," - ")),0),0)</f>
        <v>0</v>
      </c>
      <c r="AY150" s="6" cm="1">
        <f t="array" ref="AY150">IFERROR(INDEX(AY$174:AY$175,MATCH(_xlfn.TEXTAFTER(INDEX($F$78:$F$129,MATCH($AI150,$G$78:$G$129,0))," "),_xlfn.TEXTBEFORE($AI$174:$AI$175," - ")),0),0)</f>
        <v>0</v>
      </c>
      <c r="AZ150" s="6" cm="1">
        <f t="array" ref="AZ150">IFERROR(INDEX(AZ$174:AZ$175,MATCH(_xlfn.TEXTAFTER(INDEX($F$78:$F$129,MATCH($AI150,$G$78:$G$129,0))," "),_xlfn.TEXTBEFORE($AI$174:$AI$175," - ")),0),0)</f>
        <v>0</v>
      </c>
      <c r="BA150" s="6" cm="1">
        <f t="array" ref="BA150">IFERROR(INDEX(BA$174:BA$175,MATCH(_xlfn.TEXTAFTER(INDEX($F$78:$F$129,MATCH($AI150,$G$78:$G$129,0))," "),_xlfn.TEXTBEFORE($AI$174:$AI$175," - ")),0),0)</f>
        <v>0</v>
      </c>
      <c r="BB150" s="6" cm="1">
        <f t="array" ref="BB150">IFERROR(INDEX(BB$174:BB$175,MATCH(_xlfn.TEXTAFTER(INDEX($F$78:$F$129,MATCH($AI150,$G$78:$G$129,0))," "),_xlfn.TEXTBEFORE($AI$174:$AI$175," - ")),0),0)</f>
        <v>0</v>
      </c>
      <c r="BC150" s="6" cm="1">
        <f t="array" ref="BC150">IFERROR(INDEX(BC$174:BC$175,MATCH(_xlfn.TEXTAFTER(INDEX($F$78:$F$129,MATCH($AI150,$G$78:$G$129,0))," "),_xlfn.TEXTBEFORE($AI$174:$AI$175," - ")),0),0)</f>
        <v>0</v>
      </c>
      <c r="BD150" s="6" cm="1">
        <f t="array" ref="BD150">IFERROR(INDEX(BD$174:BD$175,MATCH(_xlfn.TEXTAFTER(INDEX($F$78:$F$129,MATCH($AI150,$G$78:$G$129,0))," "),_xlfn.TEXTBEFORE($AI$174:$AI$175," - ")),0),0)</f>
        <v>0</v>
      </c>
      <c r="BE150" s="6" cm="1">
        <f t="array" ref="BE150">IFERROR(INDEX(BE$174:BE$175,MATCH(_xlfn.TEXTAFTER(INDEX($F$78:$F$129,MATCH($AI150,$G$78:$G$129,0))," "),_xlfn.TEXTBEFORE($AI$174:$AI$175," - ")),0),0)</f>
        <v>0</v>
      </c>
      <c r="BF150" s="6" cm="1">
        <f t="array" ref="BF150">IFERROR(INDEX(BF$174:BF$175,MATCH(_xlfn.TEXTAFTER(INDEX($F$78:$F$129,MATCH($AI150,$G$78:$G$129,0))," "),_xlfn.TEXTBEFORE($AI$174:$AI$175," - ")),0),0)</f>
        <v>0</v>
      </c>
      <c r="BG150" s="6" cm="1">
        <f t="array" ref="BG150">IFERROR(INDEX(BG$174:BG$175,MATCH(_xlfn.TEXTAFTER(INDEX($F$78:$F$129,MATCH($AI150,$G$78:$G$129,0))," "),_xlfn.TEXTBEFORE($AI$174:$AI$175," - ")),0),0)</f>
        <v>0</v>
      </c>
      <c r="BH150" s="6" cm="1">
        <f t="array" ref="BH150">IFERROR(INDEX(BH$174:BH$175,MATCH(_xlfn.TEXTAFTER(INDEX($F$78:$F$129,MATCH($AI150,$G$78:$G$129,0))," "),_xlfn.TEXTBEFORE($AI$174:$AI$175," - ")),0),0)</f>
        <v>0</v>
      </c>
      <c r="BI150" s="6" cm="1">
        <f t="array" ref="BI150">IFERROR(INDEX(BI$174:BI$175,MATCH(_xlfn.TEXTAFTER(INDEX($F$78:$F$129,MATCH($AI150,$G$78:$G$129,0))," "),_xlfn.TEXTBEFORE($AI$174:$AI$175," - ")),0),0)</f>
        <v>0</v>
      </c>
    </row>
    <row r="151" spans="7:61" ht="16" x14ac:dyDescent="0.2">
      <c r="G151" s="5" t="s">
        <v>55</v>
      </c>
      <c r="H151" s="6">
        <f>IFERROR(ROUND(AVERAGEIFS([1]!Resources[Fixed O&amp;M Cost],[1]!Resources[COD],"&lt;="&amp;H$139,[1]!Resources[Retirement Date],"&gt;="&amp;H$139,[1]!Resources[Unique Key],$G151,[1]!Resources[Summer Rating],"&gt;"&amp;0),2),0)*H89/10^6</f>
        <v>15.5228</v>
      </c>
      <c r="I151" s="6">
        <f>IFERROR(ROUND(AVERAGEIFS([1]!Resources[Fixed O&amp;M Cost],[1]!Resources[COD],"&lt;="&amp;I$139,[1]!Resources[Retirement Date],"&gt;="&amp;I$139,[1]!Resources[Unique Key],$G151,[1]!Resources[Summer Rating],"&gt;"&amp;0),2),0)*I89/10^6</f>
        <v>15.5228</v>
      </c>
      <c r="J151" s="6">
        <f>IFERROR(ROUND(AVERAGEIFS([1]!Resources[Fixed O&amp;M Cost],[1]!Resources[COD],"&lt;="&amp;J$139,[1]!Resources[Retirement Date],"&gt;="&amp;J$139,[1]!Resources[Unique Key],$G151,[1]!Resources[Summer Rating],"&gt;"&amp;0),2),0)*J89/10^6</f>
        <v>15.5228</v>
      </c>
      <c r="K151" s="6">
        <f>IFERROR(ROUND(AVERAGEIFS([1]!Resources[Fixed O&amp;M Cost],[1]!Resources[COD],"&lt;="&amp;K$139,[1]!Resources[Retirement Date],"&gt;="&amp;K$139,[1]!Resources[Unique Key],$G151,[1]!Resources[Summer Rating],"&gt;"&amp;0),2),0)*K89/10^6</f>
        <v>15.5228</v>
      </c>
      <c r="L151" s="6">
        <f>IFERROR(ROUND(AVERAGEIFS([1]!Resources[Fixed O&amp;M Cost],[1]!Resources[COD],"&lt;="&amp;L$139,[1]!Resources[Retirement Date],"&gt;="&amp;L$139,[1]!Resources[Unique Key],$G151,[1]!Resources[Summer Rating],"&gt;"&amp;0),2),0)*L89/10^6</f>
        <v>15.5228</v>
      </c>
      <c r="M151" s="6">
        <f>IFERROR(ROUND(AVERAGEIFS([1]!Resources[Fixed O&amp;M Cost],[1]!Resources[COD],"&lt;="&amp;M$139,[1]!Resources[Retirement Date],"&gt;="&amp;M$139,[1]!Resources[Unique Key],$G151,[1]!Resources[Summer Rating],"&gt;"&amp;0),2),0)*M89/10^6</f>
        <v>15.5228</v>
      </c>
      <c r="N151" s="6">
        <f>IFERROR(ROUND(AVERAGEIFS([1]!Resources[Fixed O&amp;M Cost],[1]!Resources[COD],"&lt;="&amp;N$139,[1]!Resources[Retirement Date],"&gt;="&amp;N$139,[1]!Resources[Unique Key],$G151,[1]!Resources[Summer Rating],"&gt;"&amp;0),2),0)*N89/10^6</f>
        <v>15.5228</v>
      </c>
      <c r="O151" s="6">
        <f>IFERROR(ROUND(AVERAGEIFS([1]!Resources[Fixed O&amp;M Cost],[1]!Resources[COD],"&lt;="&amp;O$139,[1]!Resources[Retirement Date],"&gt;="&amp;O$139,[1]!Resources[Unique Key],$G151,[1]!Resources[Summer Rating],"&gt;"&amp;0),2),0)*O89/10^6</f>
        <v>15.5228</v>
      </c>
      <c r="P151" s="6">
        <f>IFERROR(ROUND(AVERAGEIFS([1]!Resources[Fixed O&amp;M Cost],[1]!Resources[COD],"&lt;="&amp;P$139,[1]!Resources[Retirement Date],"&gt;="&amp;P$139,[1]!Resources[Unique Key],$G151,[1]!Resources[Summer Rating],"&gt;"&amp;0),2),0)*P89/10^6</f>
        <v>15.5228</v>
      </c>
      <c r="Q151" s="6">
        <f>IFERROR(ROUND(AVERAGEIFS([1]!Resources[Fixed O&amp;M Cost],[1]!Resources[COD],"&lt;="&amp;Q$139,[1]!Resources[Retirement Date],"&gt;="&amp;Q$139,[1]!Resources[Unique Key],$G151,[1]!Resources[Summer Rating],"&gt;"&amp;0),2),0)*Q89/10^6</f>
        <v>15.5228</v>
      </c>
      <c r="R151" s="6">
        <f>IFERROR(ROUND(AVERAGEIFS([1]!Resources[Fixed O&amp;M Cost],[1]!Resources[COD],"&lt;="&amp;R$139,[1]!Resources[Retirement Date],"&gt;="&amp;R$139,[1]!Resources[Unique Key],$G151,[1]!Resources[Summer Rating],"&gt;"&amp;0),2),0)*R89/10^6</f>
        <v>15.5228</v>
      </c>
      <c r="S151" s="6">
        <f>IFERROR(ROUND(AVERAGEIFS([1]!Resources[Fixed O&amp;M Cost],[1]!Resources[COD],"&lt;="&amp;S$139,[1]!Resources[Retirement Date],"&gt;="&amp;S$139,[1]!Resources[Unique Key],$G151,[1]!Resources[Summer Rating],"&gt;"&amp;0),2),0)*S89/10^6</f>
        <v>15.5228</v>
      </c>
      <c r="T151" s="6">
        <f>IFERROR(ROUND(AVERAGEIFS([1]!Resources[Fixed O&amp;M Cost],[1]!Resources[COD],"&lt;="&amp;T$139,[1]!Resources[Retirement Date],"&gt;="&amp;T$139,[1]!Resources[Unique Key],$G151,[1]!Resources[Summer Rating],"&gt;"&amp;0),2),0)*T89/10^6</f>
        <v>15.5228</v>
      </c>
      <c r="U151" s="6">
        <f>IFERROR(ROUND(AVERAGEIFS([1]!Resources[Fixed O&amp;M Cost],[1]!Resources[COD],"&lt;="&amp;U$139,[1]!Resources[Retirement Date],"&gt;="&amp;U$139,[1]!Resources[Unique Key],$G151,[1]!Resources[Summer Rating],"&gt;"&amp;0),2),0)*U89/10^6</f>
        <v>15.5228</v>
      </c>
      <c r="V151" s="6">
        <f>IFERROR(ROUND(AVERAGEIFS([1]!Resources[Fixed O&amp;M Cost],[1]!Resources[COD],"&lt;="&amp;V$139,[1]!Resources[Retirement Date],"&gt;="&amp;V$139,[1]!Resources[Unique Key],$G151,[1]!Resources[Summer Rating],"&gt;"&amp;0),2),0)*V89/10^6</f>
        <v>15.5228</v>
      </c>
      <c r="W151" s="6">
        <f>IFERROR(ROUND(AVERAGEIFS([1]!Resources[Fixed O&amp;M Cost],[1]!Resources[COD],"&lt;="&amp;W$139,[1]!Resources[Retirement Date],"&gt;="&amp;W$139,[1]!Resources[Unique Key],$G151,[1]!Resources[Summer Rating],"&gt;"&amp;0),2),0)*W89/10^6</f>
        <v>15.5228</v>
      </c>
      <c r="X151" s="6">
        <f>IFERROR(ROUND(AVERAGEIFS([1]!Resources[Fixed O&amp;M Cost],[1]!Resources[COD],"&lt;="&amp;X$139,[1]!Resources[Retirement Date],"&gt;="&amp;X$139,[1]!Resources[Unique Key],$G151,[1]!Resources[Summer Rating],"&gt;"&amp;0),2),0)*X89/10^6</f>
        <v>15.5228</v>
      </c>
      <c r="Y151" s="6">
        <f>IFERROR(ROUND(AVERAGEIFS([1]!Resources[Fixed O&amp;M Cost],[1]!Resources[COD],"&lt;="&amp;Y$139,[1]!Resources[Retirement Date],"&gt;="&amp;Y$139,[1]!Resources[Unique Key],$G151,[1]!Resources[Summer Rating],"&gt;"&amp;0),2),0)*Y89/10^6</f>
        <v>15.5228</v>
      </c>
      <c r="Z151" s="6">
        <f>IFERROR(ROUND(AVERAGEIFS([1]!Resources[Fixed O&amp;M Cost],[1]!Resources[COD],"&lt;="&amp;Z$139,[1]!Resources[Retirement Date],"&gt;="&amp;Z$139,[1]!Resources[Unique Key],$G151,[1]!Resources[Summer Rating],"&gt;"&amp;0),2),0)*Z89/10^6</f>
        <v>15.5228</v>
      </c>
      <c r="AA151" s="6">
        <f>IFERROR(ROUND(AVERAGEIFS([1]!Resources[Fixed O&amp;M Cost],[1]!Resources[COD],"&lt;="&amp;AA$139,[1]!Resources[Retirement Date],"&gt;="&amp;AA$139,[1]!Resources[Unique Key],$G151,[1]!Resources[Summer Rating],"&gt;"&amp;0),2),0)*AA89/10^6</f>
        <v>15.5228</v>
      </c>
      <c r="AB151" s="6">
        <f>IFERROR(ROUND(AVERAGEIFS([1]!Resources[Fixed O&amp;M Cost],[1]!Resources[COD],"&lt;="&amp;AB$139,[1]!Resources[Retirement Date],"&gt;="&amp;AB$139,[1]!Resources[Unique Key],$G151,[1]!Resources[Summer Rating],"&gt;"&amp;0),2),0)*AB89/10^6</f>
        <v>15.5228</v>
      </c>
      <c r="AC151" s="6">
        <f>IFERROR(ROUND(AVERAGEIFS([1]!Resources[Fixed O&amp;M Cost],[1]!Resources[COD],"&lt;="&amp;AC$139,[1]!Resources[Retirement Date],"&gt;="&amp;AC$139,[1]!Resources[Unique Key],$G151,[1]!Resources[Summer Rating],"&gt;"&amp;0),2),0)*AC89/10^6</f>
        <v>15.5228</v>
      </c>
      <c r="AD151" s="6">
        <f>IFERROR(ROUND(AVERAGEIFS([1]!Resources[Fixed O&amp;M Cost],[1]!Resources[COD],"&lt;="&amp;AD$139,[1]!Resources[Retirement Date],"&gt;="&amp;AD$139,[1]!Resources[Unique Key],$G151,[1]!Resources[Summer Rating],"&gt;"&amp;0),2),0)*AD89/10^6</f>
        <v>15.5228</v>
      </c>
      <c r="AE151" s="6">
        <f>IFERROR(ROUND(AVERAGEIFS([1]!Resources[Fixed O&amp;M Cost],[1]!Resources[COD],"&lt;="&amp;AE$139,[1]!Resources[Retirement Date],"&gt;="&amp;AE$139,[1]!Resources[Unique Key],$G151,[1]!Resources[Summer Rating],"&gt;"&amp;0),2),0)*AE89/10^6</f>
        <v>15.5228</v>
      </c>
      <c r="AF151" s="6">
        <f>IFERROR(ROUND(AVERAGEIFS([1]!Resources[Fixed O&amp;M Cost],[1]!Resources[COD],"&lt;="&amp;AF$139,[1]!Resources[Retirement Date],"&gt;="&amp;AF$139,[1]!Resources[Unique Key],$G151,[1]!Resources[Summer Rating],"&gt;"&amp;0),2),0)*AF89/10^6</f>
        <v>15.5228</v>
      </c>
      <c r="AG151" s="6">
        <f>IFERROR(ROUND(AVERAGEIFS([1]!Resources[Fixed O&amp;M Cost],[1]!Resources[COD],"&lt;="&amp;AG$139,[1]!Resources[Retirement Date],"&gt;="&amp;AG$139,[1]!Resources[Unique Key],$G151,[1]!Resources[Summer Rating],"&gt;"&amp;0),2),0)*AG89/10^6</f>
        <v>15.5228</v>
      </c>
      <c r="AI151" s="5" t="s">
        <v>55</v>
      </c>
      <c r="AJ151" s="6" cm="1">
        <f t="array" ref="AJ151">IFERROR(INDEX(AJ$174:AJ$175,MATCH(_xlfn.TEXTAFTER(INDEX($F$78:$F$129,MATCH($AI151,$G$78:$G$129,0))," "),_xlfn.TEXTBEFORE($AI$174:$AI$175," - ")),0),0)</f>
        <v>92503.140684153317</v>
      </c>
      <c r="AK151" s="6" cm="1">
        <f t="array" ref="AK151">IFERROR(INDEX(AK$174:AK$175,MATCH(_xlfn.TEXTAFTER(INDEX($F$78:$F$129,MATCH($AI151,$G$78:$G$129,0))," "),_xlfn.TEXTBEFORE($AI$174:$AI$175," - ")),0),0)</f>
        <v>92503.140684153317</v>
      </c>
      <c r="AL151" s="6" cm="1">
        <f t="array" ref="AL151">IFERROR(INDEX(AL$174:AL$175,MATCH(_xlfn.TEXTAFTER(INDEX($F$78:$F$129,MATCH($AI151,$G$78:$G$129,0))," "),_xlfn.TEXTBEFORE($AI$174:$AI$175," - ")),0),0)</f>
        <v>92503.140684153317</v>
      </c>
      <c r="AM151" s="6" cm="1">
        <f t="array" ref="AM151">IFERROR(INDEX(AM$174:AM$175,MATCH(_xlfn.TEXTAFTER(INDEX($F$78:$F$129,MATCH($AI151,$G$78:$G$129,0))," "),_xlfn.TEXTBEFORE($AI$174:$AI$175," - ")),0),0)</f>
        <v>92503.140684153317</v>
      </c>
      <c r="AN151" s="6" cm="1">
        <f t="array" ref="AN151">IFERROR(INDEX(AN$174:AN$175,MATCH(_xlfn.TEXTAFTER(INDEX($F$78:$F$129,MATCH($AI151,$G$78:$G$129,0))," "),_xlfn.TEXTBEFORE($AI$174:$AI$175," - ")),0),0)</f>
        <v>92503.140684153317</v>
      </c>
      <c r="AO151" s="6" cm="1">
        <f t="array" ref="AO151">IFERROR(INDEX(AO$174:AO$175,MATCH(_xlfn.TEXTAFTER(INDEX($F$78:$F$129,MATCH($AI151,$G$78:$G$129,0))," "),_xlfn.TEXTBEFORE($AI$174:$AI$175," - ")),0),0)</f>
        <v>92503.140684153317</v>
      </c>
      <c r="AP151" s="6" cm="1">
        <f t="array" ref="AP151">IFERROR(INDEX(AP$174:AP$175,MATCH(_xlfn.TEXTAFTER(INDEX($F$78:$F$129,MATCH($AI151,$G$78:$G$129,0))," "),_xlfn.TEXTBEFORE($AI$174:$AI$175," - ")),0),0)</f>
        <v>92503.140684153317</v>
      </c>
      <c r="AQ151" s="6" cm="1">
        <f t="array" ref="AQ151">IFERROR(INDEX(AQ$174:AQ$175,MATCH(_xlfn.TEXTAFTER(INDEX($F$78:$F$129,MATCH($AI151,$G$78:$G$129,0))," "),_xlfn.TEXTBEFORE($AI$174:$AI$175," - ")),0),0)</f>
        <v>92503.140684153317</v>
      </c>
      <c r="AR151" s="6" cm="1">
        <f t="array" ref="AR151">IFERROR(INDEX(AR$174:AR$175,MATCH(_xlfn.TEXTAFTER(INDEX($F$78:$F$129,MATCH($AI151,$G$78:$G$129,0))," "),_xlfn.TEXTBEFORE($AI$174:$AI$175," - ")),0),0)</f>
        <v>92503.140684153317</v>
      </c>
      <c r="AS151" s="6" cm="1">
        <f t="array" ref="AS151">IFERROR(INDEX(AS$174:AS$175,MATCH(_xlfn.TEXTAFTER(INDEX($F$78:$F$129,MATCH($AI151,$G$78:$G$129,0))," "),_xlfn.TEXTBEFORE($AI$174:$AI$175," - ")),0),0)</f>
        <v>92503.140684153317</v>
      </c>
      <c r="AT151" s="6" cm="1">
        <f t="array" ref="AT151">IFERROR(INDEX(AT$174:AT$175,MATCH(_xlfn.TEXTAFTER(INDEX($F$78:$F$129,MATCH($AI151,$G$78:$G$129,0))," "),_xlfn.TEXTBEFORE($AI$174:$AI$175," - ")),0),0)</f>
        <v>92503.140684153317</v>
      </c>
      <c r="AU151" s="6" cm="1">
        <f t="array" ref="AU151">IFERROR(INDEX(AU$174:AU$175,MATCH(_xlfn.TEXTAFTER(INDEX($F$78:$F$129,MATCH($AI151,$G$78:$G$129,0))," "),_xlfn.TEXTBEFORE($AI$174:$AI$175," - ")),0),0)</f>
        <v>92503.140684153317</v>
      </c>
      <c r="AV151" s="6" cm="1">
        <f t="array" ref="AV151">IFERROR(INDEX(AV$174:AV$175,MATCH(_xlfn.TEXTAFTER(INDEX($F$78:$F$129,MATCH($AI151,$G$78:$G$129,0))," "),_xlfn.TEXTBEFORE($AI$174:$AI$175," - ")),0),0)</f>
        <v>92503.140684153317</v>
      </c>
      <c r="AW151" s="6" cm="1">
        <f t="array" ref="AW151">IFERROR(INDEX(AW$174:AW$175,MATCH(_xlfn.TEXTAFTER(INDEX($F$78:$F$129,MATCH($AI151,$G$78:$G$129,0))," "),_xlfn.TEXTBEFORE($AI$174:$AI$175," - ")),0),0)</f>
        <v>92503.140684153317</v>
      </c>
      <c r="AX151" s="6" cm="1">
        <f t="array" ref="AX151">IFERROR(INDEX(AX$174:AX$175,MATCH(_xlfn.TEXTAFTER(INDEX($F$78:$F$129,MATCH($AI151,$G$78:$G$129,0))," "),_xlfn.TEXTBEFORE($AI$174:$AI$175," - ")),0),0)</f>
        <v>92503.140684153317</v>
      </c>
      <c r="AY151" s="6" cm="1">
        <f t="array" ref="AY151">IFERROR(INDEX(AY$174:AY$175,MATCH(_xlfn.TEXTAFTER(INDEX($F$78:$F$129,MATCH($AI151,$G$78:$G$129,0))," "),_xlfn.TEXTBEFORE($AI$174:$AI$175," - ")),0),0)</f>
        <v>92503.140684153317</v>
      </c>
      <c r="AZ151" s="6" cm="1">
        <f t="array" ref="AZ151">IFERROR(INDEX(AZ$174:AZ$175,MATCH(_xlfn.TEXTAFTER(INDEX($F$78:$F$129,MATCH($AI151,$G$78:$G$129,0))," "),_xlfn.TEXTBEFORE($AI$174:$AI$175," - ")),0),0)</f>
        <v>92503.140684153317</v>
      </c>
      <c r="BA151" s="6" cm="1">
        <f t="array" ref="BA151">IFERROR(INDEX(BA$174:BA$175,MATCH(_xlfn.TEXTAFTER(INDEX($F$78:$F$129,MATCH($AI151,$G$78:$G$129,0))," "),_xlfn.TEXTBEFORE($AI$174:$AI$175," - ")),0),0)</f>
        <v>92503.140684153317</v>
      </c>
      <c r="BB151" s="6" cm="1">
        <f t="array" ref="BB151">IFERROR(INDEX(BB$174:BB$175,MATCH(_xlfn.TEXTAFTER(INDEX($F$78:$F$129,MATCH($AI151,$G$78:$G$129,0))," "),_xlfn.TEXTBEFORE($AI$174:$AI$175," - ")),0),0)</f>
        <v>92503.140684153317</v>
      </c>
      <c r="BC151" s="6" cm="1">
        <f t="array" ref="BC151">IFERROR(INDEX(BC$174:BC$175,MATCH(_xlfn.TEXTAFTER(INDEX($F$78:$F$129,MATCH($AI151,$G$78:$G$129,0))," "),_xlfn.TEXTBEFORE($AI$174:$AI$175," - ")),0),0)</f>
        <v>92503.140684153317</v>
      </c>
      <c r="BD151" s="6" cm="1">
        <f t="array" ref="BD151">IFERROR(INDEX(BD$174:BD$175,MATCH(_xlfn.TEXTAFTER(INDEX($F$78:$F$129,MATCH($AI151,$G$78:$G$129,0))," "),_xlfn.TEXTBEFORE($AI$174:$AI$175," - ")),0),0)</f>
        <v>92503.140684153317</v>
      </c>
      <c r="BE151" s="6" cm="1">
        <f t="array" ref="BE151">IFERROR(INDEX(BE$174:BE$175,MATCH(_xlfn.TEXTAFTER(INDEX($F$78:$F$129,MATCH($AI151,$G$78:$G$129,0))," "),_xlfn.TEXTBEFORE($AI$174:$AI$175," - ")),0),0)</f>
        <v>92503.140684153317</v>
      </c>
      <c r="BF151" s="6" cm="1">
        <f t="array" ref="BF151">IFERROR(INDEX(BF$174:BF$175,MATCH(_xlfn.TEXTAFTER(INDEX($F$78:$F$129,MATCH($AI151,$G$78:$G$129,0))," "),_xlfn.TEXTBEFORE($AI$174:$AI$175," - ")),0),0)</f>
        <v>92503.140684153317</v>
      </c>
      <c r="BG151" s="6" cm="1">
        <f t="array" ref="BG151">IFERROR(INDEX(BG$174:BG$175,MATCH(_xlfn.TEXTAFTER(INDEX($F$78:$F$129,MATCH($AI151,$G$78:$G$129,0))," "),_xlfn.TEXTBEFORE($AI$174:$AI$175," - ")),0),0)</f>
        <v>92503.140684153317</v>
      </c>
      <c r="BH151" s="6" cm="1">
        <f t="array" ref="BH151">IFERROR(INDEX(BH$174:BH$175,MATCH(_xlfn.TEXTAFTER(INDEX($F$78:$F$129,MATCH($AI151,$G$78:$G$129,0))," "),_xlfn.TEXTBEFORE($AI$174:$AI$175," - ")),0),0)</f>
        <v>92503.140684153317</v>
      </c>
      <c r="BI151" s="6" cm="1">
        <f t="array" ref="BI151">IFERROR(INDEX(BI$174:BI$175,MATCH(_xlfn.TEXTAFTER(INDEX($F$78:$F$129,MATCH($AI151,$G$78:$G$129,0))," "),_xlfn.TEXTBEFORE($AI$174:$AI$175," - ")),0),0)</f>
        <v>92503.140684153317</v>
      </c>
    </row>
    <row r="152" spans="7:61" ht="16" x14ac:dyDescent="0.2">
      <c r="G152" s="5" t="s">
        <v>56</v>
      </c>
      <c r="H152" s="6">
        <f>IFERROR(ROUND(AVERAGEIFS([1]!Resources[Fixed O&amp;M Cost],[1]!Resources[COD],"&lt;="&amp;H$139,[1]!Resources[Retirement Date],"&gt;="&amp;H$139,[1]!Resources[Unique Key],$G152,[1]!Resources[Summer Rating],"&gt;"&amp;0),2),0)*H90/10^6</f>
        <v>3.855</v>
      </c>
      <c r="I152" s="6">
        <f>IFERROR(ROUND(AVERAGEIFS([1]!Resources[Fixed O&amp;M Cost],[1]!Resources[COD],"&lt;="&amp;I$139,[1]!Resources[Retirement Date],"&gt;="&amp;I$139,[1]!Resources[Unique Key],$G152,[1]!Resources[Summer Rating],"&gt;"&amp;0),2),0)*I90/10^6</f>
        <v>3.855</v>
      </c>
      <c r="J152" s="6">
        <f>IFERROR(ROUND(AVERAGEIFS([1]!Resources[Fixed O&amp;M Cost],[1]!Resources[COD],"&lt;="&amp;J$139,[1]!Resources[Retirement Date],"&gt;="&amp;J$139,[1]!Resources[Unique Key],$G152,[1]!Resources[Summer Rating],"&gt;"&amp;0),2),0)*J90/10^6</f>
        <v>3.855</v>
      </c>
      <c r="K152" s="6">
        <f>IFERROR(ROUND(AVERAGEIFS([1]!Resources[Fixed O&amp;M Cost],[1]!Resources[COD],"&lt;="&amp;K$139,[1]!Resources[Retirement Date],"&gt;="&amp;K$139,[1]!Resources[Unique Key],$G152,[1]!Resources[Summer Rating],"&gt;"&amp;0),2),0)*K90/10^6</f>
        <v>3.855</v>
      </c>
      <c r="L152" s="6">
        <f>IFERROR(ROUND(AVERAGEIFS([1]!Resources[Fixed O&amp;M Cost],[1]!Resources[COD],"&lt;="&amp;L$139,[1]!Resources[Retirement Date],"&gt;="&amp;L$139,[1]!Resources[Unique Key],$G152,[1]!Resources[Summer Rating],"&gt;"&amp;0),2),0)*L90/10^6</f>
        <v>3.855</v>
      </c>
      <c r="M152" s="6">
        <f>IFERROR(ROUND(AVERAGEIFS([1]!Resources[Fixed O&amp;M Cost],[1]!Resources[COD],"&lt;="&amp;M$139,[1]!Resources[Retirement Date],"&gt;="&amp;M$139,[1]!Resources[Unique Key],$G152,[1]!Resources[Summer Rating],"&gt;"&amp;0),2),0)*M90/10^6</f>
        <v>3.855</v>
      </c>
      <c r="N152" s="6">
        <f>IFERROR(ROUND(AVERAGEIFS([1]!Resources[Fixed O&amp;M Cost],[1]!Resources[COD],"&lt;="&amp;N$139,[1]!Resources[Retirement Date],"&gt;="&amp;N$139,[1]!Resources[Unique Key],$G152,[1]!Resources[Summer Rating],"&gt;"&amp;0),2),0)*N90/10^6</f>
        <v>3.855</v>
      </c>
      <c r="O152" s="6">
        <f>IFERROR(ROUND(AVERAGEIFS([1]!Resources[Fixed O&amp;M Cost],[1]!Resources[COD],"&lt;="&amp;O$139,[1]!Resources[Retirement Date],"&gt;="&amp;O$139,[1]!Resources[Unique Key],$G152,[1]!Resources[Summer Rating],"&gt;"&amp;0),2),0)*O90/10^6</f>
        <v>3.855</v>
      </c>
      <c r="P152" s="6">
        <f>IFERROR(ROUND(AVERAGEIFS([1]!Resources[Fixed O&amp;M Cost],[1]!Resources[COD],"&lt;="&amp;P$139,[1]!Resources[Retirement Date],"&gt;="&amp;P$139,[1]!Resources[Unique Key],$G152,[1]!Resources[Summer Rating],"&gt;"&amp;0),2),0)*P90/10^6</f>
        <v>3.855</v>
      </c>
      <c r="Q152" s="6">
        <f>IFERROR(ROUND(AVERAGEIFS([1]!Resources[Fixed O&amp;M Cost],[1]!Resources[COD],"&lt;="&amp;Q$139,[1]!Resources[Retirement Date],"&gt;="&amp;Q$139,[1]!Resources[Unique Key],$G152,[1]!Resources[Summer Rating],"&gt;"&amp;0),2),0)*Q90/10^6</f>
        <v>3.855</v>
      </c>
      <c r="R152" s="6">
        <f>IFERROR(ROUND(AVERAGEIFS([1]!Resources[Fixed O&amp;M Cost],[1]!Resources[COD],"&lt;="&amp;R$139,[1]!Resources[Retirement Date],"&gt;="&amp;R$139,[1]!Resources[Unique Key],$G152,[1]!Resources[Summer Rating],"&gt;"&amp;0),2),0)*R90/10^6</f>
        <v>3.855</v>
      </c>
      <c r="S152" s="6">
        <f>IFERROR(ROUND(AVERAGEIFS([1]!Resources[Fixed O&amp;M Cost],[1]!Resources[COD],"&lt;="&amp;S$139,[1]!Resources[Retirement Date],"&gt;="&amp;S$139,[1]!Resources[Unique Key],$G152,[1]!Resources[Summer Rating],"&gt;"&amp;0),2),0)*S90/10^6</f>
        <v>3.855</v>
      </c>
      <c r="T152" s="6">
        <f>IFERROR(ROUND(AVERAGEIFS([1]!Resources[Fixed O&amp;M Cost],[1]!Resources[COD],"&lt;="&amp;T$139,[1]!Resources[Retirement Date],"&gt;="&amp;T$139,[1]!Resources[Unique Key],$G152,[1]!Resources[Summer Rating],"&gt;"&amp;0),2),0)*T90/10^6</f>
        <v>3.855</v>
      </c>
      <c r="U152" s="6">
        <f>IFERROR(ROUND(AVERAGEIFS([1]!Resources[Fixed O&amp;M Cost],[1]!Resources[COD],"&lt;="&amp;U$139,[1]!Resources[Retirement Date],"&gt;="&amp;U$139,[1]!Resources[Unique Key],$G152,[1]!Resources[Summer Rating],"&gt;"&amp;0),2),0)*U90/10^6</f>
        <v>3.855</v>
      </c>
      <c r="V152" s="6">
        <f>IFERROR(ROUND(AVERAGEIFS([1]!Resources[Fixed O&amp;M Cost],[1]!Resources[COD],"&lt;="&amp;V$139,[1]!Resources[Retirement Date],"&gt;="&amp;V$139,[1]!Resources[Unique Key],$G152,[1]!Resources[Summer Rating],"&gt;"&amp;0),2),0)*V90/10^6</f>
        <v>3.855</v>
      </c>
      <c r="W152" s="6">
        <f>IFERROR(ROUND(AVERAGEIFS([1]!Resources[Fixed O&amp;M Cost],[1]!Resources[COD],"&lt;="&amp;W$139,[1]!Resources[Retirement Date],"&gt;="&amp;W$139,[1]!Resources[Unique Key],$G152,[1]!Resources[Summer Rating],"&gt;"&amp;0),2),0)*W90/10^6</f>
        <v>3.855</v>
      </c>
      <c r="X152" s="6">
        <f>IFERROR(ROUND(AVERAGEIFS([1]!Resources[Fixed O&amp;M Cost],[1]!Resources[COD],"&lt;="&amp;X$139,[1]!Resources[Retirement Date],"&gt;="&amp;X$139,[1]!Resources[Unique Key],$G152,[1]!Resources[Summer Rating],"&gt;"&amp;0),2),0)*X90/10^6</f>
        <v>3.855</v>
      </c>
      <c r="Y152" s="6">
        <f>IFERROR(ROUND(AVERAGEIFS([1]!Resources[Fixed O&amp;M Cost],[1]!Resources[COD],"&lt;="&amp;Y$139,[1]!Resources[Retirement Date],"&gt;="&amp;Y$139,[1]!Resources[Unique Key],$G152,[1]!Resources[Summer Rating],"&gt;"&amp;0),2),0)*Y90/10^6</f>
        <v>3.855</v>
      </c>
      <c r="Z152" s="6">
        <f>IFERROR(ROUND(AVERAGEIFS([1]!Resources[Fixed O&amp;M Cost],[1]!Resources[COD],"&lt;="&amp;Z$139,[1]!Resources[Retirement Date],"&gt;="&amp;Z$139,[1]!Resources[Unique Key],$G152,[1]!Resources[Summer Rating],"&gt;"&amp;0),2),0)*Z90/10^6</f>
        <v>3.855</v>
      </c>
      <c r="AA152" s="6">
        <f>IFERROR(ROUND(AVERAGEIFS([1]!Resources[Fixed O&amp;M Cost],[1]!Resources[COD],"&lt;="&amp;AA$139,[1]!Resources[Retirement Date],"&gt;="&amp;AA$139,[1]!Resources[Unique Key],$G152,[1]!Resources[Summer Rating],"&gt;"&amp;0),2),0)*AA90/10^6</f>
        <v>3.855</v>
      </c>
      <c r="AB152" s="6">
        <f>IFERROR(ROUND(AVERAGEIFS([1]!Resources[Fixed O&amp;M Cost],[1]!Resources[COD],"&lt;="&amp;AB$139,[1]!Resources[Retirement Date],"&gt;="&amp;AB$139,[1]!Resources[Unique Key],$G152,[1]!Resources[Summer Rating],"&gt;"&amp;0),2),0)*AB90/10^6</f>
        <v>3.855</v>
      </c>
      <c r="AC152" s="6">
        <f>IFERROR(ROUND(AVERAGEIFS([1]!Resources[Fixed O&amp;M Cost],[1]!Resources[COD],"&lt;="&amp;AC$139,[1]!Resources[Retirement Date],"&gt;="&amp;AC$139,[1]!Resources[Unique Key],$G152,[1]!Resources[Summer Rating],"&gt;"&amp;0),2),0)*AC90/10^6</f>
        <v>3.855</v>
      </c>
      <c r="AD152" s="6">
        <f>IFERROR(ROUND(AVERAGEIFS([1]!Resources[Fixed O&amp;M Cost],[1]!Resources[COD],"&lt;="&amp;AD$139,[1]!Resources[Retirement Date],"&gt;="&amp;AD$139,[1]!Resources[Unique Key],$G152,[1]!Resources[Summer Rating],"&gt;"&amp;0),2),0)*AD90/10^6</f>
        <v>3.855</v>
      </c>
      <c r="AE152" s="6">
        <f>IFERROR(ROUND(AVERAGEIFS([1]!Resources[Fixed O&amp;M Cost],[1]!Resources[COD],"&lt;="&amp;AE$139,[1]!Resources[Retirement Date],"&gt;="&amp;AE$139,[1]!Resources[Unique Key],$G152,[1]!Resources[Summer Rating],"&gt;"&amp;0),2),0)*AE90/10^6</f>
        <v>3.855</v>
      </c>
      <c r="AF152" s="6">
        <f>IFERROR(ROUND(AVERAGEIFS([1]!Resources[Fixed O&amp;M Cost],[1]!Resources[COD],"&lt;="&amp;AF$139,[1]!Resources[Retirement Date],"&gt;="&amp;AF$139,[1]!Resources[Unique Key],$G152,[1]!Resources[Summer Rating],"&gt;"&amp;0),2),0)*AF90/10^6</f>
        <v>3.855</v>
      </c>
      <c r="AG152" s="6">
        <f>IFERROR(ROUND(AVERAGEIFS([1]!Resources[Fixed O&amp;M Cost],[1]!Resources[COD],"&lt;="&amp;AG$139,[1]!Resources[Retirement Date],"&gt;="&amp;AG$139,[1]!Resources[Unique Key],$G152,[1]!Resources[Summer Rating],"&gt;"&amp;0),2),0)*AG90/10^6</f>
        <v>3.855</v>
      </c>
      <c r="AI152" s="5" t="s">
        <v>56</v>
      </c>
      <c r="AJ152" s="6" cm="1">
        <f t="array" ref="AJ152">IFERROR(INDEX(AJ$174:AJ$175,MATCH(_xlfn.TEXTAFTER(INDEX($F$78:$F$129,MATCH($AI152,$G$78:$G$129,0))," "),_xlfn.TEXTBEFORE($AI$174:$AI$175," - ")),0),0)</f>
        <v>92503.140684153317</v>
      </c>
      <c r="AK152" s="6" cm="1">
        <f t="array" ref="AK152">IFERROR(INDEX(AK$174:AK$175,MATCH(_xlfn.TEXTAFTER(INDEX($F$78:$F$129,MATCH($AI152,$G$78:$G$129,0))," "),_xlfn.TEXTBEFORE($AI$174:$AI$175," - ")),0),0)</f>
        <v>92503.140684153317</v>
      </c>
      <c r="AL152" s="6" cm="1">
        <f t="array" ref="AL152">IFERROR(INDEX(AL$174:AL$175,MATCH(_xlfn.TEXTAFTER(INDEX($F$78:$F$129,MATCH($AI152,$G$78:$G$129,0))," "),_xlfn.TEXTBEFORE($AI$174:$AI$175," - ")),0),0)</f>
        <v>92503.140684153317</v>
      </c>
      <c r="AM152" s="6" cm="1">
        <f t="array" ref="AM152">IFERROR(INDEX(AM$174:AM$175,MATCH(_xlfn.TEXTAFTER(INDEX($F$78:$F$129,MATCH($AI152,$G$78:$G$129,0))," "),_xlfn.TEXTBEFORE($AI$174:$AI$175," - ")),0),0)</f>
        <v>92503.140684153317</v>
      </c>
      <c r="AN152" s="6" cm="1">
        <f t="array" ref="AN152">IFERROR(INDEX(AN$174:AN$175,MATCH(_xlfn.TEXTAFTER(INDEX($F$78:$F$129,MATCH($AI152,$G$78:$G$129,0))," "),_xlfn.TEXTBEFORE($AI$174:$AI$175," - ")),0),0)</f>
        <v>92503.140684153317</v>
      </c>
      <c r="AO152" s="6" cm="1">
        <f t="array" ref="AO152">IFERROR(INDEX(AO$174:AO$175,MATCH(_xlfn.TEXTAFTER(INDEX($F$78:$F$129,MATCH($AI152,$G$78:$G$129,0))," "),_xlfn.TEXTBEFORE($AI$174:$AI$175," - ")),0),0)</f>
        <v>92503.140684153317</v>
      </c>
      <c r="AP152" s="6" cm="1">
        <f t="array" ref="AP152">IFERROR(INDEX(AP$174:AP$175,MATCH(_xlfn.TEXTAFTER(INDEX($F$78:$F$129,MATCH($AI152,$G$78:$G$129,0))," "),_xlfn.TEXTBEFORE($AI$174:$AI$175," - ")),0),0)</f>
        <v>92503.140684153317</v>
      </c>
      <c r="AQ152" s="6" cm="1">
        <f t="array" ref="AQ152">IFERROR(INDEX(AQ$174:AQ$175,MATCH(_xlfn.TEXTAFTER(INDEX($F$78:$F$129,MATCH($AI152,$G$78:$G$129,0))," "),_xlfn.TEXTBEFORE($AI$174:$AI$175," - ")),0),0)</f>
        <v>92503.140684153317</v>
      </c>
      <c r="AR152" s="6" cm="1">
        <f t="array" ref="AR152">IFERROR(INDEX(AR$174:AR$175,MATCH(_xlfn.TEXTAFTER(INDEX($F$78:$F$129,MATCH($AI152,$G$78:$G$129,0))," "),_xlfn.TEXTBEFORE($AI$174:$AI$175," - ")),0),0)</f>
        <v>92503.140684153317</v>
      </c>
      <c r="AS152" s="6" cm="1">
        <f t="array" ref="AS152">IFERROR(INDEX(AS$174:AS$175,MATCH(_xlfn.TEXTAFTER(INDEX($F$78:$F$129,MATCH($AI152,$G$78:$G$129,0))," "),_xlfn.TEXTBEFORE($AI$174:$AI$175," - ")),0),0)</f>
        <v>92503.140684153317</v>
      </c>
      <c r="AT152" s="6" cm="1">
        <f t="array" ref="AT152">IFERROR(INDEX(AT$174:AT$175,MATCH(_xlfn.TEXTAFTER(INDEX($F$78:$F$129,MATCH($AI152,$G$78:$G$129,0))," "),_xlfn.TEXTBEFORE($AI$174:$AI$175," - ")),0),0)</f>
        <v>92503.140684153317</v>
      </c>
      <c r="AU152" s="6" cm="1">
        <f t="array" ref="AU152">IFERROR(INDEX(AU$174:AU$175,MATCH(_xlfn.TEXTAFTER(INDEX($F$78:$F$129,MATCH($AI152,$G$78:$G$129,0))," "),_xlfn.TEXTBEFORE($AI$174:$AI$175," - ")),0),0)</f>
        <v>92503.140684153317</v>
      </c>
      <c r="AV152" s="6" cm="1">
        <f t="array" ref="AV152">IFERROR(INDEX(AV$174:AV$175,MATCH(_xlfn.TEXTAFTER(INDEX($F$78:$F$129,MATCH($AI152,$G$78:$G$129,0))," "),_xlfn.TEXTBEFORE($AI$174:$AI$175," - ")),0),0)</f>
        <v>92503.140684153317</v>
      </c>
      <c r="AW152" s="6" cm="1">
        <f t="array" ref="AW152">IFERROR(INDEX(AW$174:AW$175,MATCH(_xlfn.TEXTAFTER(INDEX($F$78:$F$129,MATCH($AI152,$G$78:$G$129,0))," "),_xlfn.TEXTBEFORE($AI$174:$AI$175," - ")),0),0)</f>
        <v>92503.140684153317</v>
      </c>
      <c r="AX152" s="6" cm="1">
        <f t="array" ref="AX152">IFERROR(INDEX(AX$174:AX$175,MATCH(_xlfn.TEXTAFTER(INDEX($F$78:$F$129,MATCH($AI152,$G$78:$G$129,0))," "),_xlfn.TEXTBEFORE($AI$174:$AI$175," - ")),0),0)</f>
        <v>92503.140684153317</v>
      </c>
      <c r="AY152" s="6" cm="1">
        <f t="array" ref="AY152">IFERROR(INDEX(AY$174:AY$175,MATCH(_xlfn.TEXTAFTER(INDEX($F$78:$F$129,MATCH($AI152,$G$78:$G$129,0))," "),_xlfn.TEXTBEFORE($AI$174:$AI$175," - ")),0),0)</f>
        <v>92503.140684153317</v>
      </c>
      <c r="AZ152" s="6" cm="1">
        <f t="array" ref="AZ152">IFERROR(INDEX(AZ$174:AZ$175,MATCH(_xlfn.TEXTAFTER(INDEX($F$78:$F$129,MATCH($AI152,$G$78:$G$129,0))," "),_xlfn.TEXTBEFORE($AI$174:$AI$175," - ")),0),0)</f>
        <v>92503.140684153317</v>
      </c>
      <c r="BA152" s="6" cm="1">
        <f t="array" ref="BA152">IFERROR(INDEX(BA$174:BA$175,MATCH(_xlfn.TEXTAFTER(INDEX($F$78:$F$129,MATCH($AI152,$G$78:$G$129,0))," "),_xlfn.TEXTBEFORE($AI$174:$AI$175," - ")),0),0)</f>
        <v>92503.140684153317</v>
      </c>
      <c r="BB152" s="6" cm="1">
        <f t="array" ref="BB152">IFERROR(INDEX(BB$174:BB$175,MATCH(_xlfn.TEXTAFTER(INDEX($F$78:$F$129,MATCH($AI152,$G$78:$G$129,0))," "),_xlfn.TEXTBEFORE($AI$174:$AI$175," - ")),0),0)</f>
        <v>92503.140684153317</v>
      </c>
      <c r="BC152" s="6" cm="1">
        <f t="array" ref="BC152">IFERROR(INDEX(BC$174:BC$175,MATCH(_xlfn.TEXTAFTER(INDEX($F$78:$F$129,MATCH($AI152,$G$78:$G$129,0))," "),_xlfn.TEXTBEFORE($AI$174:$AI$175," - ")),0),0)</f>
        <v>92503.140684153317</v>
      </c>
      <c r="BD152" s="6" cm="1">
        <f t="array" ref="BD152">IFERROR(INDEX(BD$174:BD$175,MATCH(_xlfn.TEXTAFTER(INDEX($F$78:$F$129,MATCH($AI152,$G$78:$G$129,0))," "),_xlfn.TEXTBEFORE($AI$174:$AI$175," - ")),0),0)</f>
        <v>92503.140684153317</v>
      </c>
      <c r="BE152" s="6" cm="1">
        <f t="array" ref="BE152">IFERROR(INDEX(BE$174:BE$175,MATCH(_xlfn.TEXTAFTER(INDEX($F$78:$F$129,MATCH($AI152,$G$78:$G$129,0))," "),_xlfn.TEXTBEFORE($AI$174:$AI$175," - ")),0),0)</f>
        <v>92503.140684153317</v>
      </c>
      <c r="BF152" s="6" cm="1">
        <f t="array" ref="BF152">IFERROR(INDEX(BF$174:BF$175,MATCH(_xlfn.TEXTAFTER(INDEX($F$78:$F$129,MATCH($AI152,$G$78:$G$129,0))," "),_xlfn.TEXTBEFORE($AI$174:$AI$175," - ")),0),0)</f>
        <v>92503.140684153317</v>
      </c>
      <c r="BG152" s="6" cm="1">
        <f t="array" ref="BG152">IFERROR(INDEX(BG$174:BG$175,MATCH(_xlfn.TEXTAFTER(INDEX($F$78:$F$129,MATCH($AI152,$G$78:$G$129,0))," "),_xlfn.TEXTBEFORE($AI$174:$AI$175," - ")),0),0)</f>
        <v>92503.140684153317</v>
      </c>
      <c r="BH152" s="6" cm="1">
        <f t="array" ref="BH152">IFERROR(INDEX(BH$174:BH$175,MATCH(_xlfn.TEXTAFTER(INDEX($F$78:$F$129,MATCH($AI152,$G$78:$G$129,0))," "),_xlfn.TEXTBEFORE($AI$174:$AI$175," - ")),0),0)</f>
        <v>92503.140684153317</v>
      </c>
      <c r="BI152" s="6" cm="1">
        <f t="array" ref="BI152">IFERROR(INDEX(BI$174:BI$175,MATCH(_xlfn.TEXTAFTER(INDEX($F$78:$F$129,MATCH($AI152,$G$78:$G$129,0))," "),_xlfn.TEXTBEFORE($AI$174:$AI$175," - ")),0),0)</f>
        <v>92503.140684153317</v>
      </c>
    </row>
    <row r="153" spans="7:61" ht="16" x14ac:dyDescent="0.2">
      <c r="G153" s="5" t="s">
        <v>57</v>
      </c>
      <c r="H153" s="6">
        <f>IFERROR(ROUND(AVERAGEIFS([1]!Resources[Fixed O&amp;M Cost],[1]!Resources[COD],"&lt;="&amp;H$139,[1]!Resources[Retirement Date],"&gt;="&amp;H$139,[1]!Resources[Unique Key],$G153,[1]!Resources[Summer Rating],"&gt;"&amp;0),2),0)*H91/10^6</f>
        <v>0</v>
      </c>
      <c r="I153" s="6">
        <f>IFERROR(ROUND(AVERAGEIFS([1]!Resources[Fixed O&amp;M Cost],[1]!Resources[COD],"&lt;="&amp;I$139,[1]!Resources[Retirement Date],"&gt;="&amp;I$139,[1]!Resources[Unique Key],$G153,[1]!Resources[Summer Rating],"&gt;"&amp;0),2),0)*I91/10^6</f>
        <v>0</v>
      </c>
      <c r="J153" s="6">
        <f>IFERROR(ROUND(AVERAGEIFS([1]!Resources[Fixed O&amp;M Cost],[1]!Resources[COD],"&lt;="&amp;J$139,[1]!Resources[Retirement Date],"&gt;="&amp;J$139,[1]!Resources[Unique Key],$G153,[1]!Resources[Summer Rating],"&gt;"&amp;0),2),0)*J91/10^6</f>
        <v>0</v>
      </c>
      <c r="K153" s="6">
        <f>IFERROR(ROUND(AVERAGEIFS([1]!Resources[Fixed O&amp;M Cost],[1]!Resources[COD],"&lt;="&amp;K$139,[1]!Resources[Retirement Date],"&gt;="&amp;K$139,[1]!Resources[Unique Key],$G153,[1]!Resources[Summer Rating],"&gt;"&amp;0),2),0)*K91/10^6</f>
        <v>0</v>
      </c>
      <c r="L153" s="6">
        <f>IFERROR(ROUND(AVERAGEIFS([1]!Resources[Fixed O&amp;M Cost],[1]!Resources[COD],"&lt;="&amp;L$139,[1]!Resources[Retirement Date],"&gt;="&amp;L$139,[1]!Resources[Unique Key],$G153,[1]!Resources[Summer Rating],"&gt;"&amp;0),2),0)*L91/10^6</f>
        <v>0</v>
      </c>
      <c r="M153" s="6">
        <f>IFERROR(ROUND(AVERAGEIFS([1]!Resources[Fixed O&amp;M Cost],[1]!Resources[COD],"&lt;="&amp;M$139,[1]!Resources[Retirement Date],"&gt;="&amp;M$139,[1]!Resources[Unique Key],$G153,[1]!Resources[Summer Rating],"&gt;"&amp;0),2),0)*M91/10^6</f>
        <v>56.7</v>
      </c>
      <c r="N153" s="6">
        <f>IFERROR(ROUND(AVERAGEIFS([1]!Resources[Fixed O&amp;M Cost],[1]!Resources[COD],"&lt;="&amp;N$139,[1]!Resources[Retirement Date],"&gt;="&amp;N$139,[1]!Resources[Unique Key],$G153,[1]!Resources[Summer Rating],"&gt;"&amp;0),2),0)*N91/10^6</f>
        <v>56.7</v>
      </c>
      <c r="O153" s="6">
        <f>IFERROR(ROUND(AVERAGEIFS([1]!Resources[Fixed O&amp;M Cost],[1]!Resources[COD],"&lt;="&amp;O$139,[1]!Resources[Retirement Date],"&gt;="&amp;O$139,[1]!Resources[Unique Key],$G153,[1]!Resources[Summer Rating],"&gt;"&amp;0),2),0)*O91/10^6</f>
        <v>56.7</v>
      </c>
      <c r="P153" s="6">
        <f>IFERROR(ROUND(AVERAGEIFS([1]!Resources[Fixed O&amp;M Cost],[1]!Resources[COD],"&lt;="&amp;P$139,[1]!Resources[Retirement Date],"&gt;="&amp;P$139,[1]!Resources[Unique Key],$G153,[1]!Resources[Summer Rating],"&gt;"&amp;0),2),0)*P91/10^6</f>
        <v>56.7</v>
      </c>
      <c r="Q153" s="6">
        <f>IFERROR(ROUND(AVERAGEIFS([1]!Resources[Fixed O&amp;M Cost],[1]!Resources[COD],"&lt;="&amp;Q$139,[1]!Resources[Retirement Date],"&gt;="&amp;Q$139,[1]!Resources[Unique Key],$G153,[1]!Resources[Summer Rating],"&gt;"&amp;0),2),0)*Q91/10^6</f>
        <v>56.7</v>
      </c>
      <c r="R153" s="6">
        <f>IFERROR(ROUND(AVERAGEIFS([1]!Resources[Fixed O&amp;M Cost],[1]!Resources[COD],"&lt;="&amp;R$139,[1]!Resources[Retirement Date],"&gt;="&amp;R$139,[1]!Resources[Unique Key],$G153,[1]!Resources[Summer Rating],"&gt;"&amp;0),2),0)*R91/10^6</f>
        <v>56.7</v>
      </c>
      <c r="S153" s="6">
        <f>IFERROR(ROUND(AVERAGEIFS([1]!Resources[Fixed O&amp;M Cost],[1]!Resources[COD],"&lt;="&amp;S$139,[1]!Resources[Retirement Date],"&gt;="&amp;S$139,[1]!Resources[Unique Key],$G153,[1]!Resources[Summer Rating],"&gt;"&amp;0),2),0)*S91/10^6</f>
        <v>56.7</v>
      </c>
      <c r="T153" s="6">
        <f>IFERROR(ROUND(AVERAGEIFS([1]!Resources[Fixed O&amp;M Cost],[1]!Resources[COD],"&lt;="&amp;T$139,[1]!Resources[Retirement Date],"&gt;="&amp;T$139,[1]!Resources[Unique Key],$G153,[1]!Resources[Summer Rating],"&gt;"&amp;0),2),0)*T91/10^6</f>
        <v>56.7</v>
      </c>
      <c r="U153" s="6">
        <f>IFERROR(ROUND(AVERAGEIFS([1]!Resources[Fixed O&amp;M Cost],[1]!Resources[COD],"&lt;="&amp;U$139,[1]!Resources[Retirement Date],"&gt;="&amp;U$139,[1]!Resources[Unique Key],$G153,[1]!Resources[Summer Rating],"&gt;"&amp;0),2),0)*U91/10^6</f>
        <v>56.7</v>
      </c>
      <c r="V153" s="6">
        <f>IFERROR(ROUND(AVERAGEIFS([1]!Resources[Fixed O&amp;M Cost],[1]!Resources[COD],"&lt;="&amp;V$139,[1]!Resources[Retirement Date],"&gt;="&amp;V$139,[1]!Resources[Unique Key],$G153,[1]!Resources[Summer Rating],"&gt;"&amp;0),2),0)*V91/10^6</f>
        <v>56.7</v>
      </c>
      <c r="W153" s="6">
        <f>IFERROR(ROUND(AVERAGEIFS([1]!Resources[Fixed O&amp;M Cost],[1]!Resources[COD],"&lt;="&amp;W$139,[1]!Resources[Retirement Date],"&gt;="&amp;W$139,[1]!Resources[Unique Key],$G153,[1]!Resources[Summer Rating],"&gt;"&amp;0),2),0)*W91/10^6</f>
        <v>56.7</v>
      </c>
      <c r="X153" s="6">
        <f>IFERROR(ROUND(AVERAGEIFS([1]!Resources[Fixed O&amp;M Cost],[1]!Resources[COD],"&lt;="&amp;X$139,[1]!Resources[Retirement Date],"&gt;="&amp;X$139,[1]!Resources[Unique Key],$G153,[1]!Resources[Summer Rating],"&gt;"&amp;0),2),0)*X91/10^6</f>
        <v>56.7</v>
      </c>
      <c r="Y153" s="6">
        <f>IFERROR(ROUND(AVERAGEIFS([1]!Resources[Fixed O&amp;M Cost],[1]!Resources[COD],"&lt;="&amp;Y$139,[1]!Resources[Retirement Date],"&gt;="&amp;Y$139,[1]!Resources[Unique Key],$G153,[1]!Resources[Summer Rating],"&gt;"&amp;0),2),0)*Y91/10^6</f>
        <v>56.7</v>
      </c>
      <c r="Z153" s="6">
        <f>IFERROR(ROUND(AVERAGEIFS([1]!Resources[Fixed O&amp;M Cost],[1]!Resources[COD],"&lt;="&amp;Z$139,[1]!Resources[Retirement Date],"&gt;="&amp;Z$139,[1]!Resources[Unique Key],$G153,[1]!Resources[Summer Rating],"&gt;"&amp;0),2),0)*Z91/10^6</f>
        <v>56.7</v>
      </c>
      <c r="AA153" s="6">
        <f>IFERROR(ROUND(AVERAGEIFS([1]!Resources[Fixed O&amp;M Cost],[1]!Resources[COD],"&lt;="&amp;AA$139,[1]!Resources[Retirement Date],"&gt;="&amp;AA$139,[1]!Resources[Unique Key],$G153,[1]!Resources[Summer Rating],"&gt;"&amp;0),2),0)*AA91/10^6</f>
        <v>56.7</v>
      </c>
      <c r="AB153" s="6">
        <f>IFERROR(ROUND(AVERAGEIFS([1]!Resources[Fixed O&amp;M Cost],[1]!Resources[COD],"&lt;="&amp;AB$139,[1]!Resources[Retirement Date],"&gt;="&amp;AB$139,[1]!Resources[Unique Key],$G153,[1]!Resources[Summer Rating],"&gt;"&amp;0),2),0)*AB91/10^6</f>
        <v>56.7</v>
      </c>
      <c r="AC153" s="6">
        <f>IFERROR(ROUND(AVERAGEIFS([1]!Resources[Fixed O&amp;M Cost],[1]!Resources[COD],"&lt;="&amp;AC$139,[1]!Resources[Retirement Date],"&gt;="&amp;AC$139,[1]!Resources[Unique Key],$G153,[1]!Resources[Summer Rating],"&gt;"&amp;0),2),0)*AC91/10^6</f>
        <v>56.7</v>
      </c>
      <c r="AD153" s="6">
        <f>IFERROR(ROUND(AVERAGEIFS([1]!Resources[Fixed O&amp;M Cost],[1]!Resources[COD],"&lt;="&amp;AD$139,[1]!Resources[Retirement Date],"&gt;="&amp;AD$139,[1]!Resources[Unique Key],$G153,[1]!Resources[Summer Rating],"&gt;"&amp;0),2),0)*AD91/10^6</f>
        <v>56.7</v>
      </c>
      <c r="AE153" s="6">
        <f>IFERROR(ROUND(AVERAGEIFS([1]!Resources[Fixed O&amp;M Cost],[1]!Resources[COD],"&lt;="&amp;AE$139,[1]!Resources[Retirement Date],"&gt;="&amp;AE$139,[1]!Resources[Unique Key],$G153,[1]!Resources[Summer Rating],"&gt;"&amp;0),2),0)*AE91/10^6</f>
        <v>56.7</v>
      </c>
      <c r="AF153" s="6">
        <f>IFERROR(ROUND(AVERAGEIFS([1]!Resources[Fixed O&amp;M Cost],[1]!Resources[COD],"&lt;="&amp;AF$139,[1]!Resources[Retirement Date],"&gt;="&amp;AF$139,[1]!Resources[Unique Key],$G153,[1]!Resources[Summer Rating],"&gt;"&amp;0),2),0)*AF91/10^6</f>
        <v>56.7</v>
      </c>
      <c r="AG153" s="6">
        <f>IFERROR(ROUND(AVERAGEIFS([1]!Resources[Fixed O&amp;M Cost],[1]!Resources[COD],"&lt;="&amp;AG$139,[1]!Resources[Retirement Date],"&gt;="&amp;AG$139,[1]!Resources[Unique Key],$G153,[1]!Resources[Summer Rating],"&gt;"&amp;0),2),0)*AG91/10^6</f>
        <v>56.7</v>
      </c>
      <c r="AI153" s="5" t="s">
        <v>57</v>
      </c>
      <c r="AJ153" s="6" cm="1">
        <f t="array" ref="AJ153">IFERROR(INDEX(AJ$174:AJ$175,MATCH(_xlfn.TEXTAFTER(INDEX($F$78:$F$129,MATCH($AI153,$G$78:$G$129,0))," "),_xlfn.TEXTBEFORE($AI$174:$AI$175," - ")),0),0)</f>
        <v>92503.140684153317</v>
      </c>
      <c r="AK153" s="6" cm="1">
        <f t="array" ref="AK153">IFERROR(INDEX(AK$174:AK$175,MATCH(_xlfn.TEXTAFTER(INDEX($F$78:$F$129,MATCH($AI153,$G$78:$G$129,0))," "),_xlfn.TEXTBEFORE($AI$174:$AI$175," - ")),0),0)</f>
        <v>92503.140684153317</v>
      </c>
      <c r="AL153" s="6" cm="1">
        <f t="array" ref="AL153">IFERROR(INDEX(AL$174:AL$175,MATCH(_xlfn.TEXTAFTER(INDEX($F$78:$F$129,MATCH($AI153,$G$78:$G$129,0))," "),_xlfn.TEXTBEFORE($AI$174:$AI$175," - ")),0),0)</f>
        <v>92503.140684153317</v>
      </c>
      <c r="AM153" s="6" cm="1">
        <f t="array" ref="AM153">IFERROR(INDEX(AM$174:AM$175,MATCH(_xlfn.TEXTAFTER(INDEX($F$78:$F$129,MATCH($AI153,$G$78:$G$129,0))," "),_xlfn.TEXTBEFORE($AI$174:$AI$175," - ")),0),0)</f>
        <v>92503.140684153317</v>
      </c>
      <c r="AN153" s="6" cm="1">
        <f t="array" ref="AN153">IFERROR(INDEX(AN$174:AN$175,MATCH(_xlfn.TEXTAFTER(INDEX($F$78:$F$129,MATCH($AI153,$G$78:$G$129,0))," "),_xlfn.TEXTBEFORE($AI$174:$AI$175," - ")),0),0)</f>
        <v>92503.140684153317</v>
      </c>
      <c r="AO153" s="6" cm="1">
        <f t="array" ref="AO153">IFERROR(INDEX(AO$174:AO$175,MATCH(_xlfn.TEXTAFTER(INDEX($F$78:$F$129,MATCH($AI153,$G$78:$G$129,0))," "),_xlfn.TEXTBEFORE($AI$174:$AI$175," - ")),0),0)</f>
        <v>92503.140684153317</v>
      </c>
      <c r="AP153" s="6" cm="1">
        <f t="array" ref="AP153">IFERROR(INDEX(AP$174:AP$175,MATCH(_xlfn.TEXTAFTER(INDEX($F$78:$F$129,MATCH($AI153,$G$78:$G$129,0))," "),_xlfn.TEXTBEFORE($AI$174:$AI$175," - ")),0),0)</f>
        <v>92503.140684153317</v>
      </c>
      <c r="AQ153" s="6" cm="1">
        <f t="array" ref="AQ153">IFERROR(INDEX(AQ$174:AQ$175,MATCH(_xlfn.TEXTAFTER(INDEX($F$78:$F$129,MATCH($AI153,$G$78:$G$129,0))," "),_xlfn.TEXTBEFORE($AI$174:$AI$175," - ")),0),0)</f>
        <v>92503.140684153317</v>
      </c>
      <c r="AR153" s="6" cm="1">
        <f t="array" ref="AR153">IFERROR(INDEX(AR$174:AR$175,MATCH(_xlfn.TEXTAFTER(INDEX($F$78:$F$129,MATCH($AI153,$G$78:$G$129,0))," "),_xlfn.TEXTBEFORE($AI$174:$AI$175," - ")),0),0)</f>
        <v>92503.140684153317</v>
      </c>
      <c r="AS153" s="6" cm="1">
        <f t="array" ref="AS153">IFERROR(INDEX(AS$174:AS$175,MATCH(_xlfn.TEXTAFTER(INDEX($F$78:$F$129,MATCH($AI153,$G$78:$G$129,0))," "),_xlfn.TEXTBEFORE($AI$174:$AI$175," - ")),0),0)</f>
        <v>92503.140684153317</v>
      </c>
      <c r="AT153" s="6" cm="1">
        <f t="array" ref="AT153">IFERROR(INDEX(AT$174:AT$175,MATCH(_xlfn.TEXTAFTER(INDEX($F$78:$F$129,MATCH($AI153,$G$78:$G$129,0))," "),_xlfn.TEXTBEFORE($AI$174:$AI$175," - ")),0),0)</f>
        <v>92503.140684153317</v>
      </c>
      <c r="AU153" s="6" cm="1">
        <f t="array" ref="AU153">IFERROR(INDEX(AU$174:AU$175,MATCH(_xlfn.TEXTAFTER(INDEX($F$78:$F$129,MATCH($AI153,$G$78:$G$129,0))," "),_xlfn.TEXTBEFORE($AI$174:$AI$175," - ")),0),0)</f>
        <v>92503.140684153317</v>
      </c>
      <c r="AV153" s="6" cm="1">
        <f t="array" ref="AV153">IFERROR(INDEX(AV$174:AV$175,MATCH(_xlfn.TEXTAFTER(INDEX($F$78:$F$129,MATCH($AI153,$G$78:$G$129,0))," "),_xlfn.TEXTBEFORE($AI$174:$AI$175," - ")),0),0)</f>
        <v>92503.140684153317</v>
      </c>
      <c r="AW153" s="6" cm="1">
        <f t="array" ref="AW153">IFERROR(INDEX(AW$174:AW$175,MATCH(_xlfn.TEXTAFTER(INDEX($F$78:$F$129,MATCH($AI153,$G$78:$G$129,0))," "),_xlfn.TEXTBEFORE($AI$174:$AI$175," - ")),0),0)</f>
        <v>92503.140684153317</v>
      </c>
      <c r="AX153" s="6" cm="1">
        <f t="array" ref="AX153">IFERROR(INDEX(AX$174:AX$175,MATCH(_xlfn.TEXTAFTER(INDEX($F$78:$F$129,MATCH($AI153,$G$78:$G$129,0))," "),_xlfn.TEXTBEFORE($AI$174:$AI$175," - ")),0),0)</f>
        <v>92503.140684153317</v>
      </c>
      <c r="AY153" s="6" cm="1">
        <f t="array" ref="AY153">IFERROR(INDEX(AY$174:AY$175,MATCH(_xlfn.TEXTAFTER(INDEX($F$78:$F$129,MATCH($AI153,$G$78:$G$129,0))," "),_xlfn.TEXTBEFORE($AI$174:$AI$175," - ")),0),0)</f>
        <v>92503.140684153317</v>
      </c>
      <c r="AZ153" s="6" cm="1">
        <f t="array" ref="AZ153">IFERROR(INDEX(AZ$174:AZ$175,MATCH(_xlfn.TEXTAFTER(INDEX($F$78:$F$129,MATCH($AI153,$G$78:$G$129,0))," "),_xlfn.TEXTBEFORE($AI$174:$AI$175," - ")),0),0)</f>
        <v>92503.140684153317</v>
      </c>
      <c r="BA153" s="6" cm="1">
        <f t="array" ref="BA153">IFERROR(INDEX(BA$174:BA$175,MATCH(_xlfn.TEXTAFTER(INDEX($F$78:$F$129,MATCH($AI153,$G$78:$G$129,0))," "),_xlfn.TEXTBEFORE($AI$174:$AI$175," - ")),0),0)</f>
        <v>92503.140684153317</v>
      </c>
      <c r="BB153" s="6" cm="1">
        <f t="array" ref="BB153">IFERROR(INDEX(BB$174:BB$175,MATCH(_xlfn.TEXTAFTER(INDEX($F$78:$F$129,MATCH($AI153,$G$78:$G$129,0))," "),_xlfn.TEXTBEFORE($AI$174:$AI$175," - ")),0),0)</f>
        <v>92503.140684153317</v>
      </c>
      <c r="BC153" s="6" cm="1">
        <f t="array" ref="BC153">IFERROR(INDEX(BC$174:BC$175,MATCH(_xlfn.TEXTAFTER(INDEX($F$78:$F$129,MATCH($AI153,$G$78:$G$129,0))," "),_xlfn.TEXTBEFORE($AI$174:$AI$175," - ")),0),0)</f>
        <v>92503.140684153317</v>
      </c>
      <c r="BD153" s="6" cm="1">
        <f t="array" ref="BD153">IFERROR(INDEX(BD$174:BD$175,MATCH(_xlfn.TEXTAFTER(INDEX($F$78:$F$129,MATCH($AI153,$G$78:$G$129,0))," "),_xlfn.TEXTBEFORE($AI$174:$AI$175," - ")),0),0)</f>
        <v>92503.140684153317</v>
      </c>
      <c r="BE153" s="6" cm="1">
        <f t="array" ref="BE153">IFERROR(INDEX(BE$174:BE$175,MATCH(_xlfn.TEXTAFTER(INDEX($F$78:$F$129,MATCH($AI153,$G$78:$G$129,0))," "),_xlfn.TEXTBEFORE($AI$174:$AI$175," - ")),0),0)</f>
        <v>92503.140684153317</v>
      </c>
      <c r="BF153" s="6" cm="1">
        <f t="array" ref="BF153">IFERROR(INDEX(BF$174:BF$175,MATCH(_xlfn.TEXTAFTER(INDEX($F$78:$F$129,MATCH($AI153,$G$78:$G$129,0))," "),_xlfn.TEXTBEFORE($AI$174:$AI$175," - ")),0),0)</f>
        <v>92503.140684153317</v>
      </c>
      <c r="BG153" s="6" cm="1">
        <f t="array" ref="BG153">IFERROR(INDEX(BG$174:BG$175,MATCH(_xlfn.TEXTAFTER(INDEX($F$78:$F$129,MATCH($AI153,$G$78:$G$129,0))," "),_xlfn.TEXTBEFORE($AI$174:$AI$175," - ")),0),0)</f>
        <v>92503.140684153317</v>
      </c>
      <c r="BH153" s="6" cm="1">
        <f t="array" ref="BH153">IFERROR(INDEX(BH$174:BH$175,MATCH(_xlfn.TEXTAFTER(INDEX($F$78:$F$129,MATCH($AI153,$G$78:$G$129,0))," "),_xlfn.TEXTBEFORE($AI$174:$AI$175," - ")),0),0)</f>
        <v>92503.140684153317</v>
      </c>
      <c r="BI153" s="6" cm="1">
        <f t="array" ref="BI153">IFERROR(INDEX(BI$174:BI$175,MATCH(_xlfn.TEXTAFTER(INDEX($F$78:$F$129,MATCH($AI153,$G$78:$G$129,0))," "),_xlfn.TEXTBEFORE($AI$174:$AI$175," - ")),0),0)</f>
        <v>92503.140684153317</v>
      </c>
    </row>
    <row r="154" spans="7:61" ht="16" x14ac:dyDescent="0.2">
      <c r="G154" s="5" t="s">
        <v>58</v>
      </c>
      <c r="H154" s="6">
        <f>IFERROR(ROUND(AVERAGEIFS([1]!Resources[Fixed O&amp;M Cost],[1]!Resources[COD],"&lt;="&amp;H$139,[1]!Resources[Retirement Date],"&gt;="&amp;H$139,[1]!Resources[Unique Key],$G154,[1]!Resources[Summer Rating],"&gt;"&amp;0),2),0)*H92/10^6</f>
        <v>0</v>
      </c>
      <c r="I154" s="6">
        <f>IFERROR(ROUND(AVERAGEIFS([1]!Resources[Fixed O&amp;M Cost],[1]!Resources[COD],"&lt;="&amp;I$139,[1]!Resources[Retirement Date],"&gt;="&amp;I$139,[1]!Resources[Unique Key],$G154,[1]!Resources[Summer Rating],"&gt;"&amp;0),2),0)*I92/10^6</f>
        <v>0</v>
      </c>
      <c r="J154" s="6">
        <f>IFERROR(ROUND(AVERAGEIFS([1]!Resources[Fixed O&amp;M Cost],[1]!Resources[COD],"&lt;="&amp;J$139,[1]!Resources[Retirement Date],"&gt;="&amp;J$139,[1]!Resources[Unique Key],$G154,[1]!Resources[Summer Rating],"&gt;"&amp;0),2),0)*J92/10^6</f>
        <v>0</v>
      </c>
      <c r="K154" s="6">
        <f>IFERROR(ROUND(AVERAGEIFS([1]!Resources[Fixed O&amp;M Cost],[1]!Resources[COD],"&lt;="&amp;K$139,[1]!Resources[Retirement Date],"&gt;="&amp;K$139,[1]!Resources[Unique Key],$G154,[1]!Resources[Summer Rating],"&gt;"&amp;0),2),0)*K92/10^6</f>
        <v>0</v>
      </c>
      <c r="L154" s="6">
        <f>IFERROR(ROUND(AVERAGEIFS([1]!Resources[Fixed O&amp;M Cost],[1]!Resources[COD],"&lt;="&amp;L$139,[1]!Resources[Retirement Date],"&gt;="&amp;L$139,[1]!Resources[Unique Key],$G154,[1]!Resources[Summer Rating],"&gt;"&amp;0),2),0)*L92/10^6</f>
        <v>0</v>
      </c>
      <c r="M154" s="6">
        <f>IFERROR(ROUND(AVERAGEIFS([1]!Resources[Fixed O&amp;M Cost],[1]!Resources[COD],"&lt;="&amp;M$139,[1]!Resources[Retirement Date],"&gt;="&amp;M$139,[1]!Resources[Unique Key],$G154,[1]!Resources[Summer Rating],"&gt;"&amp;0),2),0)*M92/10^6</f>
        <v>18.760000000000002</v>
      </c>
      <c r="N154" s="6">
        <f>IFERROR(ROUND(AVERAGEIFS([1]!Resources[Fixed O&amp;M Cost],[1]!Resources[COD],"&lt;="&amp;N$139,[1]!Resources[Retirement Date],"&gt;="&amp;N$139,[1]!Resources[Unique Key],$G154,[1]!Resources[Summer Rating],"&gt;"&amp;0),2),0)*N92/10^6</f>
        <v>18.760000000000002</v>
      </c>
      <c r="O154" s="6">
        <f>IFERROR(ROUND(AVERAGEIFS([1]!Resources[Fixed O&amp;M Cost],[1]!Resources[COD],"&lt;="&amp;O$139,[1]!Resources[Retirement Date],"&gt;="&amp;O$139,[1]!Resources[Unique Key],$G154,[1]!Resources[Summer Rating],"&gt;"&amp;0),2),0)*O92/10^6</f>
        <v>18.760000000000002</v>
      </c>
      <c r="P154" s="6">
        <f>IFERROR(ROUND(AVERAGEIFS([1]!Resources[Fixed O&amp;M Cost],[1]!Resources[COD],"&lt;="&amp;P$139,[1]!Resources[Retirement Date],"&gt;="&amp;P$139,[1]!Resources[Unique Key],$G154,[1]!Resources[Summer Rating],"&gt;"&amp;0),2),0)*P92/10^6</f>
        <v>18.760000000000002</v>
      </c>
      <c r="Q154" s="6">
        <f>IFERROR(ROUND(AVERAGEIFS([1]!Resources[Fixed O&amp;M Cost],[1]!Resources[COD],"&lt;="&amp;Q$139,[1]!Resources[Retirement Date],"&gt;="&amp;Q$139,[1]!Resources[Unique Key],$G154,[1]!Resources[Summer Rating],"&gt;"&amp;0),2),0)*Q92/10^6</f>
        <v>18.760000000000002</v>
      </c>
      <c r="R154" s="6">
        <f>IFERROR(ROUND(AVERAGEIFS([1]!Resources[Fixed O&amp;M Cost],[1]!Resources[COD],"&lt;="&amp;R$139,[1]!Resources[Retirement Date],"&gt;="&amp;R$139,[1]!Resources[Unique Key],$G154,[1]!Resources[Summer Rating],"&gt;"&amp;0),2),0)*R92/10^6</f>
        <v>18.760000000000002</v>
      </c>
      <c r="S154" s="6">
        <f>IFERROR(ROUND(AVERAGEIFS([1]!Resources[Fixed O&amp;M Cost],[1]!Resources[COD],"&lt;="&amp;S$139,[1]!Resources[Retirement Date],"&gt;="&amp;S$139,[1]!Resources[Unique Key],$G154,[1]!Resources[Summer Rating],"&gt;"&amp;0),2),0)*S92/10^6</f>
        <v>18.760000000000002</v>
      </c>
      <c r="T154" s="6">
        <f>IFERROR(ROUND(AVERAGEIFS([1]!Resources[Fixed O&amp;M Cost],[1]!Resources[COD],"&lt;="&amp;T$139,[1]!Resources[Retirement Date],"&gt;="&amp;T$139,[1]!Resources[Unique Key],$G154,[1]!Resources[Summer Rating],"&gt;"&amp;0),2),0)*T92/10^6</f>
        <v>18.760000000000002</v>
      </c>
      <c r="U154" s="6">
        <f>IFERROR(ROUND(AVERAGEIFS([1]!Resources[Fixed O&amp;M Cost],[1]!Resources[COD],"&lt;="&amp;U$139,[1]!Resources[Retirement Date],"&gt;="&amp;U$139,[1]!Resources[Unique Key],$G154,[1]!Resources[Summer Rating],"&gt;"&amp;0),2),0)*U92/10^6</f>
        <v>18.760000000000002</v>
      </c>
      <c r="V154" s="6">
        <f>IFERROR(ROUND(AVERAGEIFS([1]!Resources[Fixed O&amp;M Cost],[1]!Resources[COD],"&lt;="&amp;V$139,[1]!Resources[Retirement Date],"&gt;="&amp;V$139,[1]!Resources[Unique Key],$G154,[1]!Resources[Summer Rating],"&gt;"&amp;0),2),0)*V92/10^6</f>
        <v>18.760000000000002</v>
      </c>
      <c r="W154" s="6">
        <f>IFERROR(ROUND(AVERAGEIFS([1]!Resources[Fixed O&amp;M Cost],[1]!Resources[COD],"&lt;="&amp;W$139,[1]!Resources[Retirement Date],"&gt;="&amp;W$139,[1]!Resources[Unique Key],$G154,[1]!Resources[Summer Rating],"&gt;"&amp;0),2),0)*W92/10^6</f>
        <v>18.760000000000002</v>
      </c>
      <c r="X154" s="6">
        <f>IFERROR(ROUND(AVERAGEIFS([1]!Resources[Fixed O&amp;M Cost],[1]!Resources[COD],"&lt;="&amp;X$139,[1]!Resources[Retirement Date],"&gt;="&amp;X$139,[1]!Resources[Unique Key],$G154,[1]!Resources[Summer Rating],"&gt;"&amp;0),2),0)*X92/10^6</f>
        <v>18.760000000000002</v>
      </c>
      <c r="Y154" s="6">
        <f>IFERROR(ROUND(AVERAGEIFS([1]!Resources[Fixed O&amp;M Cost],[1]!Resources[COD],"&lt;="&amp;Y$139,[1]!Resources[Retirement Date],"&gt;="&amp;Y$139,[1]!Resources[Unique Key],$G154,[1]!Resources[Summer Rating],"&gt;"&amp;0),2),0)*Y92/10^6</f>
        <v>18.760000000000002</v>
      </c>
      <c r="Z154" s="6">
        <f>IFERROR(ROUND(AVERAGEIFS([1]!Resources[Fixed O&amp;M Cost],[1]!Resources[COD],"&lt;="&amp;Z$139,[1]!Resources[Retirement Date],"&gt;="&amp;Z$139,[1]!Resources[Unique Key],$G154,[1]!Resources[Summer Rating],"&gt;"&amp;0),2),0)*Z92/10^6</f>
        <v>18.760000000000002</v>
      </c>
      <c r="AA154" s="6">
        <f>IFERROR(ROUND(AVERAGEIFS([1]!Resources[Fixed O&amp;M Cost],[1]!Resources[COD],"&lt;="&amp;AA$139,[1]!Resources[Retirement Date],"&gt;="&amp;AA$139,[1]!Resources[Unique Key],$G154,[1]!Resources[Summer Rating],"&gt;"&amp;0),2),0)*AA92/10^6</f>
        <v>18.760000000000002</v>
      </c>
      <c r="AB154" s="6">
        <f>IFERROR(ROUND(AVERAGEIFS([1]!Resources[Fixed O&amp;M Cost],[1]!Resources[COD],"&lt;="&amp;AB$139,[1]!Resources[Retirement Date],"&gt;="&amp;AB$139,[1]!Resources[Unique Key],$G154,[1]!Resources[Summer Rating],"&gt;"&amp;0),2),0)*AB92/10^6</f>
        <v>18.760000000000002</v>
      </c>
      <c r="AC154" s="6">
        <f>IFERROR(ROUND(AVERAGEIFS([1]!Resources[Fixed O&amp;M Cost],[1]!Resources[COD],"&lt;="&amp;AC$139,[1]!Resources[Retirement Date],"&gt;="&amp;AC$139,[1]!Resources[Unique Key],$G154,[1]!Resources[Summer Rating],"&gt;"&amp;0),2),0)*AC92/10^6</f>
        <v>18.760000000000002</v>
      </c>
      <c r="AD154" s="6">
        <f>IFERROR(ROUND(AVERAGEIFS([1]!Resources[Fixed O&amp;M Cost],[1]!Resources[COD],"&lt;="&amp;AD$139,[1]!Resources[Retirement Date],"&gt;="&amp;AD$139,[1]!Resources[Unique Key],$G154,[1]!Resources[Summer Rating],"&gt;"&amp;0),2),0)*AD92/10^6</f>
        <v>18.760000000000002</v>
      </c>
      <c r="AE154" s="6">
        <f>IFERROR(ROUND(AVERAGEIFS([1]!Resources[Fixed O&amp;M Cost],[1]!Resources[COD],"&lt;="&amp;AE$139,[1]!Resources[Retirement Date],"&gt;="&amp;AE$139,[1]!Resources[Unique Key],$G154,[1]!Resources[Summer Rating],"&gt;"&amp;0),2),0)*AE92/10^6</f>
        <v>18.760000000000002</v>
      </c>
      <c r="AF154" s="6">
        <f>IFERROR(ROUND(AVERAGEIFS([1]!Resources[Fixed O&amp;M Cost],[1]!Resources[COD],"&lt;="&amp;AF$139,[1]!Resources[Retirement Date],"&gt;="&amp;AF$139,[1]!Resources[Unique Key],$G154,[1]!Resources[Summer Rating],"&gt;"&amp;0),2),0)*AF92/10^6</f>
        <v>18.760000000000002</v>
      </c>
      <c r="AG154" s="6">
        <f>IFERROR(ROUND(AVERAGEIFS([1]!Resources[Fixed O&amp;M Cost],[1]!Resources[COD],"&lt;="&amp;AG$139,[1]!Resources[Retirement Date],"&gt;="&amp;AG$139,[1]!Resources[Unique Key],$G154,[1]!Resources[Summer Rating],"&gt;"&amp;0),2),0)*AG92/10^6</f>
        <v>18.760000000000002</v>
      </c>
      <c r="AI154" s="5" t="s">
        <v>58</v>
      </c>
      <c r="AJ154" s="6" cm="1">
        <f t="array" ref="AJ154">IFERROR(INDEX(AJ$174:AJ$175,MATCH(_xlfn.TEXTAFTER(INDEX($F$78:$F$129,MATCH($AI154,$G$78:$G$129,0))," "),_xlfn.TEXTBEFORE($AI$174:$AI$175," - ")),0),0)</f>
        <v>92503.140684153317</v>
      </c>
      <c r="AK154" s="6" cm="1">
        <f t="array" ref="AK154">IFERROR(INDEX(AK$174:AK$175,MATCH(_xlfn.TEXTAFTER(INDEX($F$78:$F$129,MATCH($AI154,$G$78:$G$129,0))," "),_xlfn.TEXTBEFORE($AI$174:$AI$175," - ")),0),0)</f>
        <v>92503.140684153317</v>
      </c>
      <c r="AL154" s="6" cm="1">
        <f t="array" ref="AL154">IFERROR(INDEX(AL$174:AL$175,MATCH(_xlfn.TEXTAFTER(INDEX($F$78:$F$129,MATCH($AI154,$G$78:$G$129,0))," "),_xlfn.TEXTBEFORE($AI$174:$AI$175," - ")),0),0)</f>
        <v>92503.140684153317</v>
      </c>
      <c r="AM154" s="6" cm="1">
        <f t="array" ref="AM154">IFERROR(INDEX(AM$174:AM$175,MATCH(_xlfn.TEXTAFTER(INDEX($F$78:$F$129,MATCH($AI154,$G$78:$G$129,0))," "),_xlfn.TEXTBEFORE($AI$174:$AI$175," - ")),0),0)</f>
        <v>92503.140684153317</v>
      </c>
      <c r="AN154" s="6" cm="1">
        <f t="array" ref="AN154">IFERROR(INDEX(AN$174:AN$175,MATCH(_xlfn.TEXTAFTER(INDEX($F$78:$F$129,MATCH($AI154,$G$78:$G$129,0))," "),_xlfn.TEXTBEFORE($AI$174:$AI$175," - ")),0),0)</f>
        <v>92503.140684153317</v>
      </c>
      <c r="AO154" s="6" cm="1">
        <f t="array" ref="AO154">IFERROR(INDEX(AO$174:AO$175,MATCH(_xlfn.TEXTAFTER(INDEX($F$78:$F$129,MATCH($AI154,$G$78:$G$129,0))," "),_xlfn.TEXTBEFORE($AI$174:$AI$175," - ")),0),0)</f>
        <v>92503.140684153317</v>
      </c>
      <c r="AP154" s="6" cm="1">
        <f t="array" ref="AP154">IFERROR(INDEX(AP$174:AP$175,MATCH(_xlfn.TEXTAFTER(INDEX($F$78:$F$129,MATCH($AI154,$G$78:$G$129,0))," "),_xlfn.TEXTBEFORE($AI$174:$AI$175," - ")),0),0)</f>
        <v>92503.140684153317</v>
      </c>
      <c r="AQ154" s="6" cm="1">
        <f t="array" ref="AQ154">IFERROR(INDEX(AQ$174:AQ$175,MATCH(_xlfn.TEXTAFTER(INDEX($F$78:$F$129,MATCH($AI154,$G$78:$G$129,0))," "),_xlfn.TEXTBEFORE($AI$174:$AI$175," - ")),0),0)</f>
        <v>92503.140684153317</v>
      </c>
      <c r="AR154" s="6" cm="1">
        <f t="array" ref="AR154">IFERROR(INDEX(AR$174:AR$175,MATCH(_xlfn.TEXTAFTER(INDEX($F$78:$F$129,MATCH($AI154,$G$78:$G$129,0))," "),_xlfn.TEXTBEFORE($AI$174:$AI$175," - ")),0),0)</f>
        <v>92503.140684153317</v>
      </c>
      <c r="AS154" s="6" cm="1">
        <f t="array" ref="AS154">IFERROR(INDEX(AS$174:AS$175,MATCH(_xlfn.TEXTAFTER(INDEX($F$78:$F$129,MATCH($AI154,$G$78:$G$129,0))," "),_xlfn.TEXTBEFORE($AI$174:$AI$175," - ")),0),0)</f>
        <v>92503.140684153317</v>
      </c>
      <c r="AT154" s="6" cm="1">
        <f t="array" ref="AT154">IFERROR(INDEX(AT$174:AT$175,MATCH(_xlfn.TEXTAFTER(INDEX($F$78:$F$129,MATCH($AI154,$G$78:$G$129,0))," "),_xlfn.TEXTBEFORE($AI$174:$AI$175," - ")),0),0)</f>
        <v>92503.140684153317</v>
      </c>
      <c r="AU154" s="6" cm="1">
        <f t="array" ref="AU154">IFERROR(INDEX(AU$174:AU$175,MATCH(_xlfn.TEXTAFTER(INDEX($F$78:$F$129,MATCH($AI154,$G$78:$G$129,0))," "),_xlfn.TEXTBEFORE($AI$174:$AI$175," - ")),0),0)</f>
        <v>92503.140684153317</v>
      </c>
      <c r="AV154" s="6" cm="1">
        <f t="array" ref="AV154">IFERROR(INDEX(AV$174:AV$175,MATCH(_xlfn.TEXTAFTER(INDEX($F$78:$F$129,MATCH($AI154,$G$78:$G$129,0))," "),_xlfn.TEXTBEFORE($AI$174:$AI$175," - ")),0),0)</f>
        <v>92503.140684153317</v>
      </c>
      <c r="AW154" s="6" cm="1">
        <f t="array" ref="AW154">IFERROR(INDEX(AW$174:AW$175,MATCH(_xlfn.TEXTAFTER(INDEX($F$78:$F$129,MATCH($AI154,$G$78:$G$129,0))," "),_xlfn.TEXTBEFORE($AI$174:$AI$175," - ")),0),0)</f>
        <v>92503.140684153317</v>
      </c>
      <c r="AX154" s="6" cm="1">
        <f t="array" ref="AX154">IFERROR(INDEX(AX$174:AX$175,MATCH(_xlfn.TEXTAFTER(INDEX($F$78:$F$129,MATCH($AI154,$G$78:$G$129,0))," "),_xlfn.TEXTBEFORE($AI$174:$AI$175," - ")),0),0)</f>
        <v>92503.140684153317</v>
      </c>
      <c r="AY154" s="6" cm="1">
        <f t="array" ref="AY154">IFERROR(INDEX(AY$174:AY$175,MATCH(_xlfn.TEXTAFTER(INDEX($F$78:$F$129,MATCH($AI154,$G$78:$G$129,0))," "),_xlfn.TEXTBEFORE($AI$174:$AI$175," - ")),0),0)</f>
        <v>92503.140684153317</v>
      </c>
      <c r="AZ154" s="6" cm="1">
        <f t="array" ref="AZ154">IFERROR(INDEX(AZ$174:AZ$175,MATCH(_xlfn.TEXTAFTER(INDEX($F$78:$F$129,MATCH($AI154,$G$78:$G$129,0))," "),_xlfn.TEXTBEFORE($AI$174:$AI$175," - ")),0),0)</f>
        <v>92503.140684153317</v>
      </c>
      <c r="BA154" s="6" cm="1">
        <f t="array" ref="BA154">IFERROR(INDEX(BA$174:BA$175,MATCH(_xlfn.TEXTAFTER(INDEX($F$78:$F$129,MATCH($AI154,$G$78:$G$129,0))," "),_xlfn.TEXTBEFORE($AI$174:$AI$175," - ")),0),0)</f>
        <v>92503.140684153317</v>
      </c>
      <c r="BB154" s="6" cm="1">
        <f t="array" ref="BB154">IFERROR(INDEX(BB$174:BB$175,MATCH(_xlfn.TEXTAFTER(INDEX($F$78:$F$129,MATCH($AI154,$G$78:$G$129,0))," "),_xlfn.TEXTBEFORE($AI$174:$AI$175," - ")),0),0)</f>
        <v>92503.140684153317</v>
      </c>
      <c r="BC154" s="6" cm="1">
        <f t="array" ref="BC154">IFERROR(INDEX(BC$174:BC$175,MATCH(_xlfn.TEXTAFTER(INDEX($F$78:$F$129,MATCH($AI154,$G$78:$G$129,0))," "),_xlfn.TEXTBEFORE($AI$174:$AI$175," - ")),0),0)</f>
        <v>92503.140684153317</v>
      </c>
      <c r="BD154" s="6" cm="1">
        <f t="array" ref="BD154">IFERROR(INDEX(BD$174:BD$175,MATCH(_xlfn.TEXTAFTER(INDEX($F$78:$F$129,MATCH($AI154,$G$78:$G$129,0))," "),_xlfn.TEXTBEFORE($AI$174:$AI$175," - ")),0),0)</f>
        <v>92503.140684153317</v>
      </c>
      <c r="BE154" s="6" cm="1">
        <f t="array" ref="BE154">IFERROR(INDEX(BE$174:BE$175,MATCH(_xlfn.TEXTAFTER(INDEX($F$78:$F$129,MATCH($AI154,$G$78:$G$129,0))," "),_xlfn.TEXTBEFORE($AI$174:$AI$175," - ")),0),0)</f>
        <v>92503.140684153317</v>
      </c>
      <c r="BF154" s="6" cm="1">
        <f t="array" ref="BF154">IFERROR(INDEX(BF$174:BF$175,MATCH(_xlfn.TEXTAFTER(INDEX($F$78:$F$129,MATCH($AI154,$G$78:$G$129,0))," "),_xlfn.TEXTBEFORE($AI$174:$AI$175," - ")),0),0)</f>
        <v>92503.140684153317</v>
      </c>
      <c r="BG154" s="6" cm="1">
        <f t="array" ref="BG154">IFERROR(INDEX(BG$174:BG$175,MATCH(_xlfn.TEXTAFTER(INDEX($F$78:$F$129,MATCH($AI154,$G$78:$G$129,0))," "),_xlfn.TEXTBEFORE($AI$174:$AI$175," - ")),0),0)</f>
        <v>92503.140684153317</v>
      </c>
      <c r="BH154" s="6" cm="1">
        <f t="array" ref="BH154">IFERROR(INDEX(BH$174:BH$175,MATCH(_xlfn.TEXTAFTER(INDEX($F$78:$F$129,MATCH($AI154,$G$78:$G$129,0))," "),_xlfn.TEXTBEFORE($AI$174:$AI$175," - ")),0),0)</f>
        <v>92503.140684153317</v>
      </c>
      <c r="BI154" s="6" cm="1">
        <f t="array" ref="BI154">IFERROR(INDEX(BI$174:BI$175,MATCH(_xlfn.TEXTAFTER(INDEX($F$78:$F$129,MATCH($AI154,$G$78:$G$129,0))," "),_xlfn.TEXTBEFORE($AI$174:$AI$175," - ")),0),0)</f>
        <v>92503.140684153317</v>
      </c>
    </row>
    <row r="155" spans="7:61" ht="16" x14ac:dyDescent="0.2">
      <c r="G155" s="5" t="s">
        <v>59</v>
      </c>
      <c r="H155" s="6">
        <f>IFERROR(ROUND(AVERAGEIFS([1]!Resources[Fixed O&amp;M Cost],[1]!Resources[COD],"&lt;="&amp;H$139,[1]!Resources[Retirement Date],"&gt;="&amp;H$139,[1]!Resources[Unique Key],$G155,[1]!Resources[Summer Rating],"&gt;"&amp;0),2),0)*H93/10^6</f>
        <v>56.7</v>
      </c>
      <c r="I155" s="6">
        <f>IFERROR(ROUND(AVERAGEIFS([1]!Resources[Fixed O&amp;M Cost],[1]!Resources[COD],"&lt;="&amp;I$139,[1]!Resources[Retirement Date],"&gt;="&amp;I$139,[1]!Resources[Unique Key],$G155,[1]!Resources[Summer Rating],"&gt;"&amp;0),2),0)*I93/10^6</f>
        <v>56.7</v>
      </c>
      <c r="J155" s="6">
        <f>IFERROR(ROUND(AVERAGEIFS([1]!Resources[Fixed O&amp;M Cost],[1]!Resources[COD],"&lt;="&amp;J$139,[1]!Resources[Retirement Date],"&gt;="&amp;J$139,[1]!Resources[Unique Key],$G155,[1]!Resources[Summer Rating],"&gt;"&amp;0),2),0)*J93/10^6</f>
        <v>56.7</v>
      </c>
      <c r="K155" s="6">
        <f>IFERROR(ROUND(AVERAGEIFS([1]!Resources[Fixed O&amp;M Cost],[1]!Resources[COD],"&lt;="&amp;K$139,[1]!Resources[Retirement Date],"&gt;="&amp;K$139,[1]!Resources[Unique Key],$G155,[1]!Resources[Summer Rating],"&gt;"&amp;0),2),0)*K93/10^6</f>
        <v>56.7</v>
      </c>
      <c r="L155" s="6">
        <f>IFERROR(ROUND(AVERAGEIFS([1]!Resources[Fixed O&amp;M Cost],[1]!Resources[COD],"&lt;="&amp;L$139,[1]!Resources[Retirement Date],"&gt;="&amp;L$139,[1]!Resources[Unique Key],$G155,[1]!Resources[Summer Rating],"&gt;"&amp;0),2),0)*L93/10^6</f>
        <v>56.7</v>
      </c>
      <c r="M155" s="6">
        <f>IFERROR(ROUND(AVERAGEIFS([1]!Resources[Fixed O&amp;M Cost],[1]!Resources[COD],"&lt;="&amp;M$139,[1]!Resources[Retirement Date],"&gt;="&amp;M$139,[1]!Resources[Unique Key],$G155,[1]!Resources[Summer Rating],"&gt;"&amp;0),2),0)*M93/10^6</f>
        <v>0</v>
      </c>
      <c r="N155" s="6">
        <f>IFERROR(ROUND(AVERAGEIFS([1]!Resources[Fixed O&amp;M Cost],[1]!Resources[COD],"&lt;="&amp;N$139,[1]!Resources[Retirement Date],"&gt;="&amp;N$139,[1]!Resources[Unique Key],$G155,[1]!Resources[Summer Rating],"&gt;"&amp;0),2),0)*N93/10^6</f>
        <v>0</v>
      </c>
      <c r="O155" s="6">
        <f>IFERROR(ROUND(AVERAGEIFS([1]!Resources[Fixed O&amp;M Cost],[1]!Resources[COD],"&lt;="&amp;O$139,[1]!Resources[Retirement Date],"&gt;="&amp;O$139,[1]!Resources[Unique Key],$G155,[1]!Resources[Summer Rating],"&gt;"&amp;0),2),0)*O93/10^6</f>
        <v>0</v>
      </c>
      <c r="P155" s="6">
        <f>IFERROR(ROUND(AVERAGEIFS([1]!Resources[Fixed O&amp;M Cost],[1]!Resources[COD],"&lt;="&amp;P$139,[1]!Resources[Retirement Date],"&gt;="&amp;P$139,[1]!Resources[Unique Key],$G155,[1]!Resources[Summer Rating],"&gt;"&amp;0),2),0)*P93/10^6</f>
        <v>0</v>
      </c>
      <c r="Q155" s="6">
        <f>IFERROR(ROUND(AVERAGEIFS([1]!Resources[Fixed O&amp;M Cost],[1]!Resources[COD],"&lt;="&amp;Q$139,[1]!Resources[Retirement Date],"&gt;="&amp;Q$139,[1]!Resources[Unique Key],$G155,[1]!Resources[Summer Rating],"&gt;"&amp;0),2),0)*Q93/10^6</f>
        <v>0</v>
      </c>
      <c r="R155" s="6">
        <f>IFERROR(ROUND(AVERAGEIFS([1]!Resources[Fixed O&amp;M Cost],[1]!Resources[COD],"&lt;="&amp;R$139,[1]!Resources[Retirement Date],"&gt;="&amp;R$139,[1]!Resources[Unique Key],$G155,[1]!Resources[Summer Rating],"&gt;"&amp;0),2),0)*R93/10^6</f>
        <v>0</v>
      </c>
      <c r="S155" s="6">
        <f>IFERROR(ROUND(AVERAGEIFS([1]!Resources[Fixed O&amp;M Cost],[1]!Resources[COD],"&lt;="&amp;S$139,[1]!Resources[Retirement Date],"&gt;="&amp;S$139,[1]!Resources[Unique Key],$G155,[1]!Resources[Summer Rating],"&gt;"&amp;0),2),0)*S93/10^6</f>
        <v>0</v>
      </c>
      <c r="T155" s="6">
        <f>IFERROR(ROUND(AVERAGEIFS([1]!Resources[Fixed O&amp;M Cost],[1]!Resources[COD],"&lt;="&amp;T$139,[1]!Resources[Retirement Date],"&gt;="&amp;T$139,[1]!Resources[Unique Key],$G155,[1]!Resources[Summer Rating],"&gt;"&amp;0),2),0)*T93/10^6</f>
        <v>0</v>
      </c>
      <c r="U155" s="6">
        <f>IFERROR(ROUND(AVERAGEIFS([1]!Resources[Fixed O&amp;M Cost],[1]!Resources[COD],"&lt;="&amp;U$139,[1]!Resources[Retirement Date],"&gt;="&amp;U$139,[1]!Resources[Unique Key],$G155,[1]!Resources[Summer Rating],"&gt;"&amp;0),2),0)*U93/10^6</f>
        <v>0</v>
      </c>
      <c r="V155" s="6">
        <f>IFERROR(ROUND(AVERAGEIFS([1]!Resources[Fixed O&amp;M Cost],[1]!Resources[COD],"&lt;="&amp;V$139,[1]!Resources[Retirement Date],"&gt;="&amp;V$139,[1]!Resources[Unique Key],$G155,[1]!Resources[Summer Rating],"&gt;"&amp;0),2),0)*V93/10^6</f>
        <v>0</v>
      </c>
      <c r="W155" s="6">
        <f>IFERROR(ROUND(AVERAGEIFS([1]!Resources[Fixed O&amp;M Cost],[1]!Resources[COD],"&lt;="&amp;W$139,[1]!Resources[Retirement Date],"&gt;="&amp;W$139,[1]!Resources[Unique Key],$G155,[1]!Resources[Summer Rating],"&gt;"&amp;0),2),0)*W93/10^6</f>
        <v>0</v>
      </c>
      <c r="X155" s="6">
        <f>IFERROR(ROUND(AVERAGEIFS([1]!Resources[Fixed O&amp;M Cost],[1]!Resources[COD],"&lt;="&amp;X$139,[1]!Resources[Retirement Date],"&gt;="&amp;X$139,[1]!Resources[Unique Key],$G155,[1]!Resources[Summer Rating],"&gt;"&amp;0),2),0)*X93/10^6</f>
        <v>0</v>
      </c>
      <c r="Y155" s="6">
        <f>IFERROR(ROUND(AVERAGEIFS([1]!Resources[Fixed O&amp;M Cost],[1]!Resources[COD],"&lt;="&amp;Y$139,[1]!Resources[Retirement Date],"&gt;="&amp;Y$139,[1]!Resources[Unique Key],$G155,[1]!Resources[Summer Rating],"&gt;"&amp;0),2),0)*Y93/10^6</f>
        <v>0</v>
      </c>
      <c r="Z155" s="6">
        <f>IFERROR(ROUND(AVERAGEIFS([1]!Resources[Fixed O&amp;M Cost],[1]!Resources[COD],"&lt;="&amp;Z$139,[1]!Resources[Retirement Date],"&gt;="&amp;Z$139,[1]!Resources[Unique Key],$G155,[1]!Resources[Summer Rating],"&gt;"&amp;0),2),0)*Z93/10^6</f>
        <v>0</v>
      </c>
      <c r="AA155" s="6">
        <f>IFERROR(ROUND(AVERAGEIFS([1]!Resources[Fixed O&amp;M Cost],[1]!Resources[COD],"&lt;="&amp;AA$139,[1]!Resources[Retirement Date],"&gt;="&amp;AA$139,[1]!Resources[Unique Key],$G155,[1]!Resources[Summer Rating],"&gt;"&amp;0),2),0)*AA93/10^6</f>
        <v>0</v>
      </c>
      <c r="AB155" s="6">
        <f>IFERROR(ROUND(AVERAGEIFS([1]!Resources[Fixed O&amp;M Cost],[1]!Resources[COD],"&lt;="&amp;AB$139,[1]!Resources[Retirement Date],"&gt;="&amp;AB$139,[1]!Resources[Unique Key],$G155,[1]!Resources[Summer Rating],"&gt;"&amp;0),2),0)*AB93/10^6</f>
        <v>0</v>
      </c>
      <c r="AC155" s="6">
        <f>IFERROR(ROUND(AVERAGEIFS([1]!Resources[Fixed O&amp;M Cost],[1]!Resources[COD],"&lt;="&amp;AC$139,[1]!Resources[Retirement Date],"&gt;="&amp;AC$139,[1]!Resources[Unique Key],$G155,[1]!Resources[Summer Rating],"&gt;"&amp;0),2),0)*AC93/10^6</f>
        <v>0</v>
      </c>
      <c r="AD155" s="6">
        <f>IFERROR(ROUND(AVERAGEIFS([1]!Resources[Fixed O&amp;M Cost],[1]!Resources[COD],"&lt;="&amp;AD$139,[1]!Resources[Retirement Date],"&gt;="&amp;AD$139,[1]!Resources[Unique Key],$G155,[1]!Resources[Summer Rating],"&gt;"&amp;0),2),0)*AD93/10^6</f>
        <v>0</v>
      </c>
      <c r="AE155" s="6">
        <f>IFERROR(ROUND(AVERAGEIFS([1]!Resources[Fixed O&amp;M Cost],[1]!Resources[COD],"&lt;="&amp;AE$139,[1]!Resources[Retirement Date],"&gt;="&amp;AE$139,[1]!Resources[Unique Key],$G155,[1]!Resources[Summer Rating],"&gt;"&amp;0),2),0)*AE93/10^6</f>
        <v>0</v>
      </c>
      <c r="AF155" s="6">
        <f>IFERROR(ROUND(AVERAGEIFS([1]!Resources[Fixed O&amp;M Cost],[1]!Resources[COD],"&lt;="&amp;AF$139,[1]!Resources[Retirement Date],"&gt;="&amp;AF$139,[1]!Resources[Unique Key],$G155,[1]!Resources[Summer Rating],"&gt;"&amp;0),2),0)*AF93/10^6</f>
        <v>0</v>
      </c>
      <c r="AG155" s="6">
        <f>IFERROR(ROUND(AVERAGEIFS([1]!Resources[Fixed O&amp;M Cost],[1]!Resources[COD],"&lt;="&amp;AG$139,[1]!Resources[Retirement Date],"&gt;="&amp;AG$139,[1]!Resources[Unique Key],$G155,[1]!Resources[Summer Rating],"&gt;"&amp;0),2),0)*AG93/10^6</f>
        <v>0</v>
      </c>
      <c r="AI155" s="5" t="s">
        <v>59</v>
      </c>
      <c r="AJ155" s="6" cm="1">
        <f t="array" ref="AJ155">IFERROR(INDEX(AJ$174:AJ$175,MATCH(_xlfn.TEXTAFTER(INDEX($F$78:$F$129,MATCH($AI155,$G$78:$G$129,0))," "),_xlfn.TEXTBEFORE($AI$174:$AI$175," - ")),0),0)</f>
        <v>0</v>
      </c>
      <c r="AK155" s="6" cm="1">
        <f t="array" ref="AK155">IFERROR(INDEX(AK$174:AK$175,MATCH(_xlfn.TEXTAFTER(INDEX($F$78:$F$129,MATCH($AI155,$G$78:$G$129,0))," "),_xlfn.TEXTBEFORE($AI$174:$AI$175," - ")),0),0)</f>
        <v>0</v>
      </c>
      <c r="AL155" s="6" cm="1">
        <f t="array" ref="AL155">IFERROR(INDEX(AL$174:AL$175,MATCH(_xlfn.TEXTAFTER(INDEX($F$78:$F$129,MATCH($AI155,$G$78:$G$129,0))," "),_xlfn.TEXTBEFORE($AI$174:$AI$175," - ")),0),0)</f>
        <v>0</v>
      </c>
      <c r="AM155" s="6" cm="1">
        <f t="array" ref="AM155">IFERROR(INDEX(AM$174:AM$175,MATCH(_xlfn.TEXTAFTER(INDEX($F$78:$F$129,MATCH($AI155,$G$78:$G$129,0))," "),_xlfn.TEXTBEFORE($AI$174:$AI$175," - ")),0),0)</f>
        <v>0</v>
      </c>
      <c r="AN155" s="6" cm="1">
        <f t="array" ref="AN155">IFERROR(INDEX(AN$174:AN$175,MATCH(_xlfn.TEXTAFTER(INDEX($F$78:$F$129,MATCH($AI155,$G$78:$G$129,0))," "),_xlfn.TEXTBEFORE($AI$174:$AI$175," - ")),0),0)</f>
        <v>0</v>
      </c>
      <c r="AO155" s="6" cm="1">
        <f t="array" ref="AO155">IFERROR(INDEX(AO$174:AO$175,MATCH(_xlfn.TEXTAFTER(INDEX($F$78:$F$129,MATCH($AI155,$G$78:$G$129,0))," "),_xlfn.TEXTBEFORE($AI$174:$AI$175," - ")),0),0)</f>
        <v>0</v>
      </c>
      <c r="AP155" s="6" cm="1">
        <f t="array" ref="AP155">IFERROR(INDEX(AP$174:AP$175,MATCH(_xlfn.TEXTAFTER(INDEX($F$78:$F$129,MATCH($AI155,$G$78:$G$129,0))," "),_xlfn.TEXTBEFORE($AI$174:$AI$175," - ")),0),0)</f>
        <v>0</v>
      </c>
      <c r="AQ155" s="6" cm="1">
        <f t="array" ref="AQ155">IFERROR(INDEX(AQ$174:AQ$175,MATCH(_xlfn.TEXTAFTER(INDEX($F$78:$F$129,MATCH($AI155,$G$78:$G$129,0))," "),_xlfn.TEXTBEFORE($AI$174:$AI$175," - ")),0),0)</f>
        <v>0</v>
      </c>
      <c r="AR155" s="6" cm="1">
        <f t="array" ref="AR155">IFERROR(INDEX(AR$174:AR$175,MATCH(_xlfn.TEXTAFTER(INDEX($F$78:$F$129,MATCH($AI155,$G$78:$G$129,0))," "),_xlfn.TEXTBEFORE($AI$174:$AI$175," - ")),0),0)</f>
        <v>0</v>
      </c>
      <c r="AS155" s="6" cm="1">
        <f t="array" ref="AS155">IFERROR(INDEX(AS$174:AS$175,MATCH(_xlfn.TEXTAFTER(INDEX($F$78:$F$129,MATCH($AI155,$G$78:$G$129,0))," "),_xlfn.TEXTBEFORE($AI$174:$AI$175," - ")),0),0)</f>
        <v>0</v>
      </c>
      <c r="AT155" s="6" cm="1">
        <f t="array" ref="AT155">IFERROR(INDEX(AT$174:AT$175,MATCH(_xlfn.TEXTAFTER(INDEX($F$78:$F$129,MATCH($AI155,$G$78:$G$129,0))," "),_xlfn.TEXTBEFORE($AI$174:$AI$175," - ")),0),0)</f>
        <v>0</v>
      </c>
      <c r="AU155" s="6" cm="1">
        <f t="array" ref="AU155">IFERROR(INDEX(AU$174:AU$175,MATCH(_xlfn.TEXTAFTER(INDEX($F$78:$F$129,MATCH($AI155,$G$78:$G$129,0))," "),_xlfn.TEXTBEFORE($AI$174:$AI$175," - ")),0),0)</f>
        <v>0</v>
      </c>
      <c r="AV155" s="6" cm="1">
        <f t="array" ref="AV155">IFERROR(INDEX(AV$174:AV$175,MATCH(_xlfn.TEXTAFTER(INDEX($F$78:$F$129,MATCH($AI155,$G$78:$G$129,0))," "),_xlfn.TEXTBEFORE($AI$174:$AI$175," - ")),0),0)</f>
        <v>0</v>
      </c>
      <c r="AW155" s="6" cm="1">
        <f t="array" ref="AW155">IFERROR(INDEX(AW$174:AW$175,MATCH(_xlfn.TEXTAFTER(INDEX($F$78:$F$129,MATCH($AI155,$G$78:$G$129,0))," "),_xlfn.TEXTBEFORE($AI$174:$AI$175," - ")),0),0)</f>
        <v>0</v>
      </c>
      <c r="AX155" s="6" cm="1">
        <f t="array" ref="AX155">IFERROR(INDEX(AX$174:AX$175,MATCH(_xlfn.TEXTAFTER(INDEX($F$78:$F$129,MATCH($AI155,$G$78:$G$129,0))," "),_xlfn.TEXTBEFORE($AI$174:$AI$175," - ")),0),0)</f>
        <v>0</v>
      </c>
      <c r="AY155" s="6" cm="1">
        <f t="array" ref="AY155">IFERROR(INDEX(AY$174:AY$175,MATCH(_xlfn.TEXTAFTER(INDEX($F$78:$F$129,MATCH($AI155,$G$78:$G$129,0))," "),_xlfn.TEXTBEFORE($AI$174:$AI$175," - ")),0),0)</f>
        <v>0</v>
      </c>
      <c r="AZ155" s="6" cm="1">
        <f t="array" ref="AZ155">IFERROR(INDEX(AZ$174:AZ$175,MATCH(_xlfn.TEXTAFTER(INDEX($F$78:$F$129,MATCH($AI155,$G$78:$G$129,0))," "),_xlfn.TEXTBEFORE($AI$174:$AI$175," - ")),0),0)</f>
        <v>0</v>
      </c>
      <c r="BA155" s="6" cm="1">
        <f t="array" ref="BA155">IFERROR(INDEX(BA$174:BA$175,MATCH(_xlfn.TEXTAFTER(INDEX($F$78:$F$129,MATCH($AI155,$G$78:$G$129,0))," "),_xlfn.TEXTBEFORE($AI$174:$AI$175," - ")),0),0)</f>
        <v>0</v>
      </c>
      <c r="BB155" s="6" cm="1">
        <f t="array" ref="BB155">IFERROR(INDEX(BB$174:BB$175,MATCH(_xlfn.TEXTAFTER(INDEX($F$78:$F$129,MATCH($AI155,$G$78:$G$129,0))," "),_xlfn.TEXTBEFORE($AI$174:$AI$175," - ")),0),0)</f>
        <v>0</v>
      </c>
      <c r="BC155" s="6" cm="1">
        <f t="array" ref="BC155">IFERROR(INDEX(BC$174:BC$175,MATCH(_xlfn.TEXTAFTER(INDEX($F$78:$F$129,MATCH($AI155,$G$78:$G$129,0))," "),_xlfn.TEXTBEFORE($AI$174:$AI$175," - ")),0),0)</f>
        <v>0</v>
      </c>
      <c r="BD155" s="6" cm="1">
        <f t="array" ref="BD155">IFERROR(INDEX(BD$174:BD$175,MATCH(_xlfn.TEXTAFTER(INDEX($F$78:$F$129,MATCH($AI155,$G$78:$G$129,0))," "),_xlfn.TEXTBEFORE($AI$174:$AI$175," - ")),0),0)</f>
        <v>0</v>
      </c>
      <c r="BE155" s="6" cm="1">
        <f t="array" ref="BE155">IFERROR(INDEX(BE$174:BE$175,MATCH(_xlfn.TEXTAFTER(INDEX($F$78:$F$129,MATCH($AI155,$G$78:$G$129,0))," "),_xlfn.TEXTBEFORE($AI$174:$AI$175," - ")),0),0)</f>
        <v>0</v>
      </c>
      <c r="BF155" s="6" cm="1">
        <f t="array" ref="BF155">IFERROR(INDEX(BF$174:BF$175,MATCH(_xlfn.TEXTAFTER(INDEX($F$78:$F$129,MATCH($AI155,$G$78:$G$129,0))," "),_xlfn.TEXTBEFORE($AI$174:$AI$175," - ")),0),0)</f>
        <v>0</v>
      </c>
      <c r="BG155" s="6" cm="1">
        <f t="array" ref="BG155">IFERROR(INDEX(BG$174:BG$175,MATCH(_xlfn.TEXTAFTER(INDEX($F$78:$F$129,MATCH($AI155,$G$78:$G$129,0))," "),_xlfn.TEXTBEFORE($AI$174:$AI$175," - ")),0),0)</f>
        <v>0</v>
      </c>
      <c r="BH155" s="6" cm="1">
        <f t="array" ref="BH155">IFERROR(INDEX(BH$174:BH$175,MATCH(_xlfn.TEXTAFTER(INDEX($F$78:$F$129,MATCH($AI155,$G$78:$G$129,0))," "),_xlfn.TEXTBEFORE($AI$174:$AI$175," - ")),0),0)</f>
        <v>0</v>
      </c>
      <c r="BI155" s="6" cm="1">
        <f t="array" ref="BI155">IFERROR(INDEX(BI$174:BI$175,MATCH(_xlfn.TEXTAFTER(INDEX($F$78:$F$129,MATCH($AI155,$G$78:$G$129,0))," "),_xlfn.TEXTBEFORE($AI$174:$AI$175," - ")),0),0)</f>
        <v>0</v>
      </c>
    </row>
    <row r="156" spans="7:61" ht="16" x14ac:dyDescent="0.2">
      <c r="G156" s="5" t="s">
        <v>60</v>
      </c>
      <c r="H156" s="6">
        <f>IFERROR(ROUND(AVERAGEIFS([1]!Resources[Fixed O&amp;M Cost],[1]!Resources[COD],"&lt;="&amp;H$139,[1]!Resources[Retirement Date],"&gt;="&amp;H$139,[1]!Resources[Unique Key],$G156,[1]!Resources[Summer Rating],"&gt;"&amp;0),2),0)*H94/10^6</f>
        <v>18.760000000000002</v>
      </c>
      <c r="I156" s="6">
        <f>IFERROR(ROUND(AVERAGEIFS([1]!Resources[Fixed O&amp;M Cost],[1]!Resources[COD],"&lt;="&amp;I$139,[1]!Resources[Retirement Date],"&gt;="&amp;I$139,[1]!Resources[Unique Key],$G156,[1]!Resources[Summer Rating],"&gt;"&amp;0),2),0)*I94/10^6</f>
        <v>18.760000000000002</v>
      </c>
      <c r="J156" s="6">
        <f>IFERROR(ROUND(AVERAGEIFS([1]!Resources[Fixed O&amp;M Cost],[1]!Resources[COD],"&lt;="&amp;J$139,[1]!Resources[Retirement Date],"&gt;="&amp;J$139,[1]!Resources[Unique Key],$G156,[1]!Resources[Summer Rating],"&gt;"&amp;0),2),0)*J94/10^6</f>
        <v>18.760000000000002</v>
      </c>
      <c r="K156" s="6">
        <f>IFERROR(ROUND(AVERAGEIFS([1]!Resources[Fixed O&amp;M Cost],[1]!Resources[COD],"&lt;="&amp;K$139,[1]!Resources[Retirement Date],"&gt;="&amp;K$139,[1]!Resources[Unique Key],$G156,[1]!Resources[Summer Rating],"&gt;"&amp;0),2),0)*K94/10^6</f>
        <v>18.760000000000002</v>
      </c>
      <c r="L156" s="6">
        <f>IFERROR(ROUND(AVERAGEIFS([1]!Resources[Fixed O&amp;M Cost],[1]!Resources[COD],"&lt;="&amp;L$139,[1]!Resources[Retirement Date],"&gt;="&amp;L$139,[1]!Resources[Unique Key],$G156,[1]!Resources[Summer Rating],"&gt;"&amp;0),2),0)*L94/10^6</f>
        <v>18.760000000000002</v>
      </c>
      <c r="M156" s="6">
        <f>IFERROR(ROUND(AVERAGEIFS([1]!Resources[Fixed O&amp;M Cost],[1]!Resources[COD],"&lt;="&amp;M$139,[1]!Resources[Retirement Date],"&gt;="&amp;M$139,[1]!Resources[Unique Key],$G156,[1]!Resources[Summer Rating],"&gt;"&amp;0),2),0)*M94/10^6</f>
        <v>0</v>
      </c>
      <c r="N156" s="6">
        <f>IFERROR(ROUND(AVERAGEIFS([1]!Resources[Fixed O&amp;M Cost],[1]!Resources[COD],"&lt;="&amp;N$139,[1]!Resources[Retirement Date],"&gt;="&amp;N$139,[1]!Resources[Unique Key],$G156,[1]!Resources[Summer Rating],"&gt;"&amp;0),2),0)*N94/10^6</f>
        <v>0</v>
      </c>
      <c r="O156" s="6">
        <f>IFERROR(ROUND(AVERAGEIFS([1]!Resources[Fixed O&amp;M Cost],[1]!Resources[COD],"&lt;="&amp;O$139,[1]!Resources[Retirement Date],"&gt;="&amp;O$139,[1]!Resources[Unique Key],$G156,[1]!Resources[Summer Rating],"&gt;"&amp;0),2),0)*O94/10^6</f>
        <v>0</v>
      </c>
      <c r="P156" s="6">
        <f>IFERROR(ROUND(AVERAGEIFS([1]!Resources[Fixed O&amp;M Cost],[1]!Resources[COD],"&lt;="&amp;P$139,[1]!Resources[Retirement Date],"&gt;="&amp;P$139,[1]!Resources[Unique Key],$G156,[1]!Resources[Summer Rating],"&gt;"&amp;0),2),0)*P94/10^6</f>
        <v>0</v>
      </c>
      <c r="Q156" s="6">
        <f>IFERROR(ROUND(AVERAGEIFS([1]!Resources[Fixed O&amp;M Cost],[1]!Resources[COD],"&lt;="&amp;Q$139,[1]!Resources[Retirement Date],"&gt;="&amp;Q$139,[1]!Resources[Unique Key],$G156,[1]!Resources[Summer Rating],"&gt;"&amp;0),2),0)*Q94/10^6</f>
        <v>0</v>
      </c>
      <c r="R156" s="6">
        <f>IFERROR(ROUND(AVERAGEIFS([1]!Resources[Fixed O&amp;M Cost],[1]!Resources[COD],"&lt;="&amp;R$139,[1]!Resources[Retirement Date],"&gt;="&amp;R$139,[1]!Resources[Unique Key],$G156,[1]!Resources[Summer Rating],"&gt;"&amp;0),2),0)*R94/10^6</f>
        <v>0</v>
      </c>
      <c r="S156" s="6">
        <f>IFERROR(ROUND(AVERAGEIFS([1]!Resources[Fixed O&amp;M Cost],[1]!Resources[COD],"&lt;="&amp;S$139,[1]!Resources[Retirement Date],"&gt;="&amp;S$139,[1]!Resources[Unique Key],$G156,[1]!Resources[Summer Rating],"&gt;"&amp;0),2),0)*S94/10^6</f>
        <v>0</v>
      </c>
      <c r="T156" s="6">
        <f>IFERROR(ROUND(AVERAGEIFS([1]!Resources[Fixed O&amp;M Cost],[1]!Resources[COD],"&lt;="&amp;T$139,[1]!Resources[Retirement Date],"&gt;="&amp;T$139,[1]!Resources[Unique Key],$G156,[1]!Resources[Summer Rating],"&gt;"&amp;0),2),0)*T94/10^6</f>
        <v>0</v>
      </c>
      <c r="U156" s="6">
        <f>IFERROR(ROUND(AVERAGEIFS([1]!Resources[Fixed O&amp;M Cost],[1]!Resources[COD],"&lt;="&amp;U$139,[1]!Resources[Retirement Date],"&gt;="&amp;U$139,[1]!Resources[Unique Key],$G156,[1]!Resources[Summer Rating],"&gt;"&amp;0),2),0)*U94/10^6</f>
        <v>0</v>
      </c>
      <c r="V156" s="6">
        <f>IFERROR(ROUND(AVERAGEIFS([1]!Resources[Fixed O&amp;M Cost],[1]!Resources[COD],"&lt;="&amp;V$139,[1]!Resources[Retirement Date],"&gt;="&amp;V$139,[1]!Resources[Unique Key],$G156,[1]!Resources[Summer Rating],"&gt;"&amp;0),2),0)*V94/10^6</f>
        <v>0</v>
      </c>
      <c r="W156" s="6">
        <f>IFERROR(ROUND(AVERAGEIFS([1]!Resources[Fixed O&amp;M Cost],[1]!Resources[COD],"&lt;="&amp;W$139,[1]!Resources[Retirement Date],"&gt;="&amp;W$139,[1]!Resources[Unique Key],$G156,[1]!Resources[Summer Rating],"&gt;"&amp;0),2),0)*W94/10^6</f>
        <v>0</v>
      </c>
      <c r="X156" s="6">
        <f>IFERROR(ROUND(AVERAGEIFS([1]!Resources[Fixed O&amp;M Cost],[1]!Resources[COD],"&lt;="&amp;X$139,[1]!Resources[Retirement Date],"&gt;="&amp;X$139,[1]!Resources[Unique Key],$G156,[1]!Resources[Summer Rating],"&gt;"&amp;0),2),0)*X94/10^6</f>
        <v>0</v>
      </c>
      <c r="Y156" s="6">
        <f>IFERROR(ROUND(AVERAGEIFS([1]!Resources[Fixed O&amp;M Cost],[1]!Resources[COD],"&lt;="&amp;Y$139,[1]!Resources[Retirement Date],"&gt;="&amp;Y$139,[1]!Resources[Unique Key],$G156,[1]!Resources[Summer Rating],"&gt;"&amp;0),2),0)*Y94/10^6</f>
        <v>0</v>
      </c>
      <c r="Z156" s="6">
        <f>IFERROR(ROUND(AVERAGEIFS([1]!Resources[Fixed O&amp;M Cost],[1]!Resources[COD],"&lt;="&amp;Z$139,[1]!Resources[Retirement Date],"&gt;="&amp;Z$139,[1]!Resources[Unique Key],$G156,[1]!Resources[Summer Rating],"&gt;"&amp;0),2),0)*Z94/10^6</f>
        <v>0</v>
      </c>
      <c r="AA156" s="6">
        <f>IFERROR(ROUND(AVERAGEIFS([1]!Resources[Fixed O&amp;M Cost],[1]!Resources[COD],"&lt;="&amp;AA$139,[1]!Resources[Retirement Date],"&gt;="&amp;AA$139,[1]!Resources[Unique Key],$G156,[1]!Resources[Summer Rating],"&gt;"&amp;0),2),0)*AA94/10^6</f>
        <v>0</v>
      </c>
      <c r="AB156" s="6">
        <f>IFERROR(ROUND(AVERAGEIFS([1]!Resources[Fixed O&amp;M Cost],[1]!Resources[COD],"&lt;="&amp;AB$139,[1]!Resources[Retirement Date],"&gt;="&amp;AB$139,[1]!Resources[Unique Key],$G156,[1]!Resources[Summer Rating],"&gt;"&amp;0),2),0)*AB94/10^6</f>
        <v>0</v>
      </c>
      <c r="AC156" s="6">
        <f>IFERROR(ROUND(AVERAGEIFS([1]!Resources[Fixed O&amp;M Cost],[1]!Resources[COD],"&lt;="&amp;AC$139,[1]!Resources[Retirement Date],"&gt;="&amp;AC$139,[1]!Resources[Unique Key],$G156,[1]!Resources[Summer Rating],"&gt;"&amp;0),2),0)*AC94/10^6</f>
        <v>0</v>
      </c>
      <c r="AD156" s="6">
        <f>IFERROR(ROUND(AVERAGEIFS([1]!Resources[Fixed O&amp;M Cost],[1]!Resources[COD],"&lt;="&amp;AD$139,[1]!Resources[Retirement Date],"&gt;="&amp;AD$139,[1]!Resources[Unique Key],$G156,[1]!Resources[Summer Rating],"&gt;"&amp;0),2),0)*AD94/10^6</f>
        <v>0</v>
      </c>
      <c r="AE156" s="6">
        <f>IFERROR(ROUND(AVERAGEIFS([1]!Resources[Fixed O&amp;M Cost],[1]!Resources[COD],"&lt;="&amp;AE$139,[1]!Resources[Retirement Date],"&gt;="&amp;AE$139,[1]!Resources[Unique Key],$G156,[1]!Resources[Summer Rating],"&gt;"&amp;0),2),0)*AE94/10^6</f>
        <v>0</v>
      </c>
      <c r="AF156" s="6">
        <f>IFERROR(ROUND(AVERAGEIFS([1]!Resources[Fixed O&amp;M Cost],[1]!Resources[COD],"&lt;="&amp;AF$139,[1]!Resources[Retirement Date],"&gt;="&amp;AF$139,[1]!Resources[Unique Key],$G156,[1]!Resources[Summer Rating],"&gt;"&amp;0),2),0)*AF94/10^6</f>
        <v>0</v>
      </c>
      <c r="AG156" s="6">
        <f>IFERROR(ROUND(AVERAGEIFS([1]!Resources[Fixed O&amp;M Cost],[1]!Resources[COD],"&lt;="&amp;AG$139,[1]!Resources[Retirement Date],"&gt;="&amp;AG$139,[1]!Resources[Unique Key],$G156,[1]!Resources[Summer Rating],"&gt;"&amp;0),2),0)*AG94/10^6</f>
        <v>0</v>
      </c>
      <c r="AI156" s="5" t="s">
        <v>60</v>
      </c>
      <c r="AJ156" s="6" cm="1">
        <f t="array" ref="AJ156">IFERROR(INDEX(AJ$174:AJ$175,MATCH(_xlfn.TEXTAFTER(INDEX($F$78:$F$129,MATCH($AI156,$G$78:$G$129,0))," "),_xlfn.TEXTBEFORE($AI$174:$AI$175," - ")),0),0)</f>
        <v>0</v>
      </c>
      <c r="AK156" s="6" cm="1">
        <f t="array" ref="AK156">IFERROR(INDEX(AK$174:AK$175,MATCH(_xlfn.TEXTAFTER(INDEX($F$78:$F$129,MATCH($AI156,$G$78:$G$129,0))," "),_xlfn.TEXTBEFORE($AI$174:$AI$175," - ")),0),0)</f>
        <v>0</v>
      </c>
      <c r="AL156" s="6" cm="1">
        <f t="array" ref="AL156">IFERROR(INDEX(AL$174:AL$175,MATCH(_xlfn.TEXTAFTER(INDEX($F$78:$F$129,MATCH($AI156,$G$78:$G$129,0))," "),_xlfn.TEXTBEFORE($AI$174:$AI$175," - ")),0),0)</f>
        <v>0</v>
      </c>
      <c r="AM156" s="6" cm="1">
        <f t="array" ref="AM156">IFERROR(INDEX(AM$174:AM$175,MATCH(_xlfn.TEXTAFTER(INDEX($F$78:$F$129,MATCH($AI156,$G$78:$G$129,0))," "),_xlfn.TEXTBEFORE($AI$174:$AI$175," - ")),0),0)</f>
        <v>0</v>
      </c>
      <c r="AN156" s="6" cm="1">
        <f t="array" ref="AN156">IFERROR(INDEX(AN$174:AN$175,MATCH(_xlfn.TEXTAFTER(INDEX($F$78:$F$129,MATCH($AI156,$G$78:$G$129,0))," "),_xlfn.TEXTBEFORE($AI$174:$AI$175," - ")),0),0)</f>
        <v>0</v>
      </c>
      <c r="AO156" s="6" cm="1">
        <f t="array" ref="AO156">IFERROR(INDEX(AO$174:AO$175,MATCH(_xlfn.TEXTAFTER(INDEX($F$78:$F$129,MATCH($AI156,$G$78:$G$129,0))," "),_xlfn.TEXTBEFORE($AI$174:$AI$175," - ")),0),0)</f>
        <v>0</v>
      </c>
      <c r="AP156" s="6" cm="1">
        <f t="array" ref="AP156">IFERROR(INDEX(AP$174:AP$175,MATCH(_xlfn.TEXTAFTER(INDEX($F$78:$F$129,MATCH($AI156,$G$78:$G$129,0))," "),_xlfn.TEXTBEFORE($AI$174:$AI$175," - ")),0),0)</f>
        <v>0</v>
      </c>
      <c r="AQ156" s="6" cm="1">
        <f t="array" ref="AQ156">IFERROR(INDEX(AQ$174:AQ$175,MATCH(_xlfn.TEXTAFTER(INDEX($F$78:$F$129,MATCH($AI156,$G$78:$G$129,0))," "),_xlfn.TEXTBEFORE($AI$174:$AI$175," - ")),0),0)</f>
        <v>0</v>
      </c>
      <c r="AR156" s="6" cm="1">
        <f t="array" ref="AR156">IFERROR(INDEX(AR$174:AR$175,MATCH(_xlfn.TEXTAFTER(INDEX($F$78:$F$129,MATCH($AI156,$G$78:$G$129,0))," "),_xlfn.TEXTBEFORE($AI$174:$AI$175," - ")),0),0)</f>
        <v>0</v>
      </c>
      <c r="AS156" s="6" cm="1">
        <f t="array" ref="AS156">IFERROR(INDEX(AS$174:AS$175,MATCH(_xlfn.TEXTAFTER(INDEX($F$78:$F$129,MATCH($AI156,$G$78:$G$129,0))," "),_xlfn.TEXTBEFORE($AI$174:$AI$175," - ")),0),0)</f>
        <v>0</v>
      </c>
      <c r="AT156" s="6" cm="1">
        <f t="array" ref="AT156">IFERROR(INDEX(AT$174:AT$175,MATCH(_xlfn.TEXTAFTER(INDEX($F$78:$F$129,MATCH($AI156,$G$78:$G$129,0))," "),_xlfn.TEXTBEFORE($AI$174:$AI$175," - ")),0),0)</f>
        <v>0</v>
      </c>
      <c r="AU156" s="6" cm="1">
        <f t="array" ref="AU156">IFERROR(INDEX(AU$174:AU$175,MATCH(_xlfn.TEXTAFTER(INDEX($F$78:$F$129,MATCH($AI156,$G$78:$G$129,0))," "),_xlfn.TEXTBEFORE($AI$174:$AI$175," - ")),0),0)</f>
        <v>0</v>
      </c>
      <c r="AV156" s="6" cm="1">
        <f t="array" ref="AV156">IFERROR(INDEX(AV$174:AV$175,MATCH(_xlfn.TEXTAFTER(INDEX($F$78:$F$129,MATCH($AI156,$G$78:$G$129,0))," "),_xlfn.TEXTBEFORE($AI$174:$AI$175," - ")),0),0)</f>
        <v>0</v>
      </c>
      <c r="AW156" s="6" cm="1">
        <f t="array" ref="AW156">IFERROR(INDEX(AW$174:AW$175,MATCH(_xlfn.TEXTAFTER(INDEX($F$78:$F$129,MATCH($AI156,$G$78:$G$129,0))," "),_xlfn.TEXTBEFORE($AI$174:$AI$175," - ")),0),0)</f>
        <v>0</v>
      </c>
      <c r="AX156" s="6" cm="1">
        <f t="array" ref="AX156">IFERROR(INDEX(AX$174:AX$175,MATCH(_xlfn.TEXTAFTER(INDEX($F$78:$F$129,MATCH($AI156,$G$78:$G$129,0))," "),_xlfn.TEXTBEFORE($AI$174:$AI$175," - ")),0),0)</f>
        <v>0</v>
      </c>
      <c r="AY156" s="6" cm="1">
        <f t="array" ref="AY156">IFERROR(INDEX(AY$174:AY$175,MATCH(_xlfn.TEXTAFTER(INDEX($F$78:$F$129,MATCH($AI156,$G$78:$G$129,0))," "),_xlfn.TEXTBEFORE($AI$174:$AI$175," - ")),0),0)</f>
        <v>0</v>
      </c>
      <c r="AZ156" s="6" cm="1">
        <f t="array" ref="AZ156">IFERROR(INDEX(AZ$174:AZ$175,MATCH(_xlfn.TEXTAFTER(INDEX($F$78:$F$129,MATCH($AI156,$G$78:$G$129,0))," "),_xlfn.TEXTBEFORE($AI$174:$AI$175," - ")),0),0)</f>
        <v>0</v>
      </c>
      <c r="BA156" s="6" cm="1">
        <f t="array" ref="BA156">IFERROR(INDEX(BA$174:BA$175,MATCH(_xlfn.TEXTAFTER(INDEX($F$78:$F$129,MATCH($AI156,$G$78:$G$129,0))," "),_xlfn.TEXTBEFORE($AI$174:$AI$175," - ")),0),0)</f>
        <v>0</v>
      </c>
      <c r="BB156" s="6" cm="1">
        <f t="array" ref="BB156">IFERROR(INDEX(BB$174:BB$175,MATCH(_xlfn.TEXTAFTER(INDEX($F$78:$F$129,MATCH($AI156,$G$78:$G$129,0))," "),_xlfn.TEXTBEFORE($AI$174:$AI$175," - ")),0),0)</f>
        <v>0</v>
      </c>
      <c r="BC156" s="6" cm="1">
        <f t="array" ref="BC156">IFERROR(INDEX(BC$174:BC$175,MATCH(_xlfn.TEXTAFTER(INDEX($F$78:$F$129,MATCH($AI156,$G$78:$G$129,0))," "),_xlfn.TEXTBEFORE($AI$174:$AI$175," - ")),0),0)</f>
        <v>0</v>
      </c>
      <c r="BD156" s="6" cm="1">
        <f t="array" ref="BD156">IFERROR(INDEX(BD$174:BD$175,MATCH(_xlfn.TEXTAFTER(INDEX($F$78:$F$129,MATCH($AI156,$G$78:$G$129,0))," "),_xlfn.TEXTBEFORE($AI$174:$AI$175," - ")),0),0)</f>
        <v>0</v>
      </c>
      <c r="BE156" s="6" cm="1">
        <f t="array" ref="BE156">IFERROR(INDEX(BE$174:BE$175,MATCH(_xlfn.TEXTAFTER(INDEX($F$78:$F$129,MATCH($AI156,$G$78:$G$129,0))," "),_xlfn.TEXTBEFORE($AI$174:$AI$175," - ")),0),0)</f>
        <v>0</v>
      </c>
      <c r="BF156" s="6" cm="1">
        <f t="array" ref="BF156">IFERROR(INDEX(BF$174:BF$175,MATCH(_xlfn.TEXTAFTER(INDEX($F$78:$F$129,MATCH($AI156,$G$78:$G$129,0))," "),_xlfn.TEXTBEFORE($AI$174:$AI$175," - ")),0),0)</f>
        <v>0</v>
      </c>
      <c r="BG156" s="6" cm="1">
        <f t="array" ref="BG156">IFERROR(INDEX(BG$174:BG$175,MATCH(_xlfn.TEXTAFTER(INDEX($F$78:$F$129,MATCH($AI156,$G$78:$G$129,0))," "),_xlfn.TEXTBEFORE($AI$174:$AI$175," - ")),0),0)</f>
        <v>0</v>
      </c>
      <c r="BH156" s="6" cm="1">
        <f t="array" ref="BH156">IFERROR(INDEX(BH$174:BH$175,MATCH(_xlfn.TEXTAFTER(INDEX($F$78:$F$129,MATCH($AI156,$G$78:$G$129,0))," "),_xlfn.TEXTBEFORE($AI$174:$AI$175," - ")),0),0)</f>
        <v>0</v>
      </c>
      <c r="BI156" s="6" cm="1">
        <f t="array" ref="BI156">IFERROR(INDEX(BI$174:BI$175,MATCH(_xlfn.TEXTAFTER(INDEX($F$78:$F$129,MATCH($AI156,$G$78:$G$129,0))," "),_xlfn.TEXTBEFORE($AI$174:$AI$175," - ")),0),0)</f>
        <v>0</v>
      </c>
    </row>
    <row r="157" spans="7:61" ht="16" x14ac:dyDescent="0.2">
      <c r="G157" s="5" t="s">
        <v>61</v>
      </c>
      <c r="H157" s="6">
        <f>IFERROR(ROUND(AVERAGEIFS([1]!Resources[Fixed O&amp;M Cost],[1]!Resources[COD],"&lt;="&amp;H$139,[1]!Resources[Retirement Date],"&gt;="&amp;H$139,[1]!Resources[Unique Key],$G157,[1]!Resources[Summer Rating],"&gt;"&amp;0),2),0)*H95/10^6</f>
        <v>18.760000000000002</v>
      </c>
      <c r="I157" s="6">
        <f>IFERROR(ROUND(AVERAGEIFS([1]!Resources[Fixed O&amp;M Cost],[1]!Resources[COD],"&lt;="&amp;I$139,[1]!Resources[Retirement Date],"&gt;="&amp;I$139,[1]!Resources[Unique Key],$G157,[1]!Resources[Summer Rating],"&gt;"&amp;0),2),0)*I95/10^6</f>
        <v>18.760000000000002</v>
      </c>
      <c r="J157" s="6">
        <f>IFERROR(ROUND(AVERAGEIFS([1]!Resources[Fixed O&amp;M Cost],[1]!Resources[COD],"&lt;="&amp;J$139,[1]!Resources[Retirement Date],"&gt;="&amp;J$139,[1]!Resources[Unique Key],$G157,[1]!Resources[Summer Rating],"&gt;"&amp;0),2),0)*J95/10^6</f>
        <v>18.760000000000002</v>
      </c>
      <c r="K157" s="6">
        <f>IFERROR(ROUND(AVERAGEIFS([1]!Resources[Fixed O&amp;M Cost],[1]!Resources[COD],"&lt;="&amp;K$139,[1]!Resources[Retirement Date],"&gt;="&amp;K$139,[1]!Resources[Unique Key],$G157,[1]!Resources[Summer Rating],"&gt;"&amp;0),2),0)*K95/10^6</f>
        <v>18.760000000000002</v>
      </c>
      <c r="L157" s="6">
        <f>IFERROR(ROUND(AVERAGEIFS([1]!Resources[Fixed O&amp;M Cost],[1]!Resources[COD],"&lt;="&amp;L$139,[1]!Resources[Retirement Date],"&gt;="&amp;L$139,[1]!Resources[Unique Key],$G157,[1]!Resources[Summer Rating],"&gt;"&amp;0),2),0)*L95/10^6</f>
        <v>18.760000000000002</v>
      </c>
      <c r="M157" s="6">
        <f>IFERROR(ROUND(AVERAGEIFS([1]!Resources[Fixed O&amp;M Cost],[1]!Resources[COD],"&lt;="&amp;M$139,[1]!Resources[Retirement Date],"&gt;="&amp;M$139,[1]!Resources[Unique Key],$G157,[1]!Resources[Summer Rating],"&gt;"&amp;0),2),0)*M95/10^6</f>
        <v>18.760000000000002</v>
      </c>
      <c r="N157" s="6">
        <f>IFERROR(ROUND(AVERAGEIFS([1]!Resources[Fixed O&amp;M Cost],[1]!Resources[COD],"&lt;="&amp;N$139,[1]!Resources[Retirement Date],"&gt;="&amp;N$139,[1]!Resources[Unique Key],$G157,[1]!Resources[Summer Rating],"&gt;"&amp;0),2),0)*N95/10^6</f>
        <v>18.760000000000002</v>
      </c>
      <c r="O157" s="6">
        <f>IFERROR(ROUND(AVERAGEIFS([1]!Resources[Fixed O&amp;M Cost],[1]!Resources[COD],"&lt;="&amp;O$139,[1]!Resources[Retirement Date],"&gt;="&amp;O$139,[1]!Resources[Unique Key],$G157,[1]!Resources[Summer Rating],"&gt;"&amp;0),2),0)*O95/10^6</f>
        <v>18.760000000000002</v>
      </c>
      <c r="P157" s="6">
        <f>IFERROR(ROUND(AVERAGEIFS([1]!Resources[Fixed O&amp;M Cost],[1]!Resources[COD],"&lt;="&amp;P$139,[1]!Resources[Retirement Date],"&gt;="&amp;P$139,[1]!Resources[Unique Key],$G157,[1]!Resources[Summer Rating],"&gt;"&amp;0),2),0)*P95/10^6</f>
        <v>18.760000000000002</v>
      </c>
      <c r="Q157" s="6">
        <f>IFERROR(ROUND(AVERAGEIFS([1]!Resources[Fixed O&amp;M Cost],[1]!Resources[COD],"&lt;="&amp;Q$139,[1]!Resources[Retirement Date],"&gt;="&amp;Q$139,[1]!Resources[Unique Key],$G157,[1]!Resources[Summer Rating],"&gt;"&amp;0),2),0)*Q95/10^6</f>
        <v>18.760000000000002</v>
      </c>
      <c r="R157" s="6">
        <f>IFERROR(ROUND(AVERAGEIFS([1]!Resources[Fixed O&amp;M Cost],[1]!Resources[COD],"&lt;="&amp;R$139,[1]!Resources[Retirement Date],"&gt;="&amp;R$139,[1]!Resources[Unique Key],$G157,[1]!Resources[Summer Rating],"&gt;"&amp;0),2),0)*R95/10^6</f>
        <v>18.760000000000002</v>
      </c>
      <c r="S157" s="6">
        <f>IFERROR(ROUND(AVERAGEIFS([1]!Resources[Fixed O&amp;M Cost],[1]!Resources[COD],"&lt;="&amp;S$139,[1]!Resources[Retirement Date],"&gt;="&amp;S$139,[1]!Resources[Unique Key],$G157,[1]!Resources[Summer Rating],"&gt;"&amp;0),2),0)*S95/10^6</f>
        <v>18.760000000000002</v>
      </c>
      <c r="T157" s="6">
        <f>IFERROR(ROUND(AVERAGEIFS([1]!Resources[Fixed O&amp;M Cost],[1]!Resources[COD],"&lt;="&amp;T$139,[1]!Resources[Retirement Date],"&gt;="&amp;T$139,[1]!Resources[Unique Key],$G157,[1]!Resources[Summer Rating],"&gt;"&amp;0),2),0)*T95/10^6</f>
        <v>18.760000000000002</v>
      </c>
      <c r="U157" s="6">
        <f>IFERROR(ROUND(AVERAGEIFS([1]!Resources[Fixed O&amp;M Cost],[1]!Resources[COD],"&lt;="&amp;U$139,[1]!Resources[Retirement Date],"&gt;="&amp;U$139,[1]!Resources[Unique Key],$G157,[1]!Resources[Summer Rating],"&gt;"&amp;0),2),0)*U95/10^6</f>
        <v>18.760000000000002</v>
      </c>
      <c r="V157" s="6">
        <f>IFERROR(ROUND(AVERAGEIFS([1]!Resources[Fixed O&amp;M Cost],[1]!Resources[COD],"&lt;="&amp;V$139,[1]!Resources[Retirement Date],"&gt;="&amp;V$139,[1]!Resources[Unique Key],$G157,[1]!Resources[Summer Rating],"&gt;"&amp;0),2),0)*V95/10^6</f>
        <v>18.760000000000002</v>
      </c>
      <c r="W157" s="6">
        <f>IFERROR(ROUND(AVERAGEIFS([1]!Resources[Fixed O&amp;M Cost],[1]!Resources[COD],"&lt;="&amp;W$139,[1]!Resources[Retirement Date],"&gt;="&amp;W$139,[1]!Resources[Unique Key],$G157,[1]!Resources[Summer Rating],"&gt;"&amp;0),2),0)*W95/10^6</f>
        <v>18.760000000000002</v>
      </c>
      <c r="X157" s="6">
        <f>IFERROR(ROUND(AVERAGEIFS([1]!Resources[Fixed O&amp;M Cost],[1]!Resources[COD],"&lt;="&amp;X$139,[1]!Resources[Retirement Date],"&gt;="&amp;X$139,[1]!Resources[Unique Key],$G157,[1]!Resources[Summer Rating],"&gt;"&amp;0),2),0)*X95/10^6</f>
        <v>18.760000000000002</v>
      </c>
      <c r="Y157" s="6">
        <f>IFERROR(ROUND(AVERAGEIFS([1]!Resources[Fixed O&amp;M Cost],[1]!Resources[COD],"&lt;="&amp;Y$139,[1]!Resources[Retirement Date],"&gt;="&amp;Y$139,[1]!Resources[Unique Key],$G157,[1]!Resources[Summer Rating],"&gt;"&amp;0),2),0)*Y95/10^6</f>
        <v>18.760000000000002</v>
      </c>
      <c r="Z157" s="6">
        <f>IFERROR(ROUND(AVERAGEIFS([1]!Resources[Fixed O&amp;M Cost],[1]!Resources[COD],"&lt;="&amp;Z$139,[1]!Resources[Retirement Date],"&gt;="&amp;Z$139,[1]!Resources[Unique Key],$G157,[1]!Resources[Summer Rating],"&gt;"&amp;0),2),0)*Z95/10^6</f>
        <v>18.760000000000002</v>
      </c>
      <c r="AA157" s="6">
        <f>IFERROR(ROUND(AVERAGEIFS([1]!Resources[Fixed O&amp;M Cost],[1]!Resources[COD],"&lt;="&amp;AA$139,[1]!Resources[Retirement Date],"&gt;="&amp;AA$139,[1]!Resources[Unique Key],$G157,[1]!Resources[Summer Rating],"&gt;"&amp;0),2),0)*AA95/10^6</f>
        <v>18.760000000000002</v>
      </c>
      <c r="AB157" s="6">
        <f>IFERROR(ROUND(AVERAGEIFS([1]!Resources[Fixed O&amp;M Cost],[1]!Resources[COD],"&lt;="&amp;AB$139,[1]!Resources[Retirement Date],"&gt;="&amp;AB$139,[1]!Resources[Unique Key],$G157,[1]!Resources[Summer Rating],"&gt;"&amp;0),2),0)*AB95/10^6</f>
        <v>18.760000000000002</v>
      </c>
      <c r="AC157" s="6">
        <f>IFERROR(ROUND(AVERAGEIFS([1]!Resources[Fixed O&amp;M Cost],[1]!Resources[COD],"&lt;="&amp;AC$139,[1]!Resources[Retirement Date],"&gt;="&amp;AC$139,[1]!Resources[Unique Key],$G157,[1]!Resources[Summer Rating],"&gt;"&amp;0),2),0)*AC95/10^6</f>
        <v>18.760000000000002</v>
      </c>
      <c r="AD157" s="6">
        <f>IFERROR(ROUND(AVERAGEIFS([1]!Resources[Fixed O&amp;M Cost],[1]!Resources[COD],"&lt;="&amp;AD$139,[1]!Resources[Retirement Date],"&gt;="&amp;AD$139,[1]!Resources[Unique Key],$G157,[1]!Resources[Summer Rating],"&gt;"&amp;0),2),0)*AD95/10^6</f>
        <v>18.760000000000002</v>
      </c>
      <c r="AE157" s="6">
        <f>IFERROR(ROUND(AVERAGEIFS([1]!Resources[Fixed O&amp;M Cost],[1]!Resources[COD],"&lt;="&amp;AE$139,[1]!Resources[Retirement Date],"&gt;="&amp;AE$139,[1]!Resources[Unique Key],$G157,[1]!Resources[Summer Rating],"&gt;"&amp;0),2),0)*AE95/10^6</f>
        <v>18.760000000000002</v>
      </c>
      <c r="AF157" s="6">
        <f>IFERROR(ROUND(AVERAGEIFS([1]!Resources[Fixed O&amp;M Cost],[1]!Resources[COD],"&lt;="&amp;AF$139,[1]!Resources[Retirement Date],"&gt;="&amp;AF$139,[1]!Resources[Unique Key],$G157,[1]!Resources[Summer Rating],"&gt;"&amp;0),2),0)*AF95/10^6</f>
        <v>18.760000000000002</v>
      </c>
      <c r="AG157" s="6">
        <f>IFERROR(ROUND(AVERAGEIFS([1]!Resources[Fixed O&amp;M Cost],[1]!Resources[COD],"&lt;="&amp;AG$139,[1]!Resources[Retirement Date],"&gt;="&amp;AG$139,[1]!Resources[Unique Key],$G157,[1]!Resources[Summer Rating],"&gt;"&amp;0),2),0)*AG95/10^6</f>
        <v>18.760000000000002</v>
      </c>
      <c r="AI157" s="5" t="s">
        <v>61</v>
      </c>
      <c r="AJ157" s="6" cm="1">
        <f t="array" ref="AJ157">IFERROR(INDEX(AJ$174:AJ$175,MATCH(_xlfn.TEXTAFTER(INDEX($F$78:$F$129,MATCH($AI157,$G$78:$G$129,0))," "),_xlfn.TEXTBEFORE($AI$174:$AI$175," - ")),0),0)</f>
        <v>0</v>
      </c>
      <c r="AK157" s="6" cm="1">
        <f t="array" ref="AK157">IFERROR(INDEX(AK$174:AK$175,MATCH(_xlfn.TEXTAFTER(INDEX($F$78:$F$129,MATCH($AI157,$G$78:$G$129,0))," "),_xlfn.TEXTBEFORE($AI$174:$AI$175," - ")),0),0)</f>
        <v>0</v>
      </c>
      <c r="AL157" s="6" cm="1">
        <f t="array" ref="AL157">IFERROR(INDEX(AL$174:AL$175,MATCH(_xlfn.TEXTAFTER(INDEX($F$78:$F$129,MATCH($AI157,$G$78:$G$129,0))," "),_xlfn.TEXTBEFORE($AI$174:$AI$175," - ")),0),0)</f>
        <v>0</v>
      </c>
      <c r="AM157" s="6" cm="1">
        <f t="array" ref="AM157">IFERROR(INDEX(AM$174:AM$175,MATCH(_xlfn.TEXTAFTER(INDEX($F$78:$F$129,MATCH($AI157,$G$78:$G$129,0))," "),_xlfn.TEXTBEFORE($AI$174:$AI$175," - ")),0),0)</f>
        <v>0</v>
      </c>
      <c r="AN157" s="6" cm="1">
        <f t="array" ref="AN157">IFERROR(INDEX(AN$174:AN$175,MATCH(_xlfn.TEXTAFTER(INDEX($F$78:$F$129,MATCH($AI157,$G$78:$G$129,0))," "),_xlfn.TEXTBEFORE($AI$174:$AI$175," - ")),0),0)</f>
        <v>0</v>
      </c>
      <c r="AO157" s="6" cm="1">
        <f t="array" ref="AO157">IFERROR(INDEX(AO$174:AO$175,MATCH(_xlfn.TEXTAFTER(INDEX($F$78:$F$129,MATCH($AI157,$G$78:$G$129,0))," "),_xlfn.TEXTBEFORE($AI$174:$AI$175," - ")),0),0)</f>
        <v>0</v>
      </c>
      <c r="AP157" s="6" cm="1">
        <f t="array" ref="AP157">IFERROR(INDEX(AP$174:AP$175,MATCH(_xlfn.TEXTAFTER(INDEX($F$78:$F$129,MATCH($AI157,$G$78:$G$129,0))," "),_xlfn.TEXTBEFORE($AI$174:$AI$175," - ")),0),0)</f>
        <v>0</v>
      </c>
      <c r="AQ157" s="6" cm="1">
        <f t="array" ref="AQ157">IFERROR(INDEX(AQ$174:AQ$175,MATCH(_xlfn.TEXTAFTER(INDEX($F$78:$F$129,MATCH($AI157,$G$78:$G$129,0))," "),_xlfn.TEXTBEFORE($AI$174:$AI$175," - ")),0),0)</f>
        <v>0</v>
      </c>
      <c r="AR157" s="6" cm="1">
        <f t="array" ref="AR157">IFERROR(INDEX(AR$174:AR$175,MATCH(_xlfn.TEXTAFTER(INDEX($F$78:$F$129,MATCH($AI157,$G$78:$G$129,0))," "),_xlfn.TEXTBEFORE($AI$174:$AI$175," - ")),0),0)</f>
        <v>0</v>
      </c>
      <c r="AS157" s="6" cm="1">
        <f t="array" ref="AS157">IFERROR(INDEX(AS$174:AS$175,MATCH(_xlfn.TEXTAFTER(INDEX($F$78:$F$129,MATCH($AI157,$G$78:$G$129,0))," "),_xlfn.TEXTBEFORE($AI$174:$AI$175," - ")),0),0)</f>
        <v>0</v>
      </c>
      <c r="AT157" s="6" cm="1">
        <f t="array" ref="AT157">IFERROR(INDEX(AT$174:AT$175,MATCH(_xlfn.TEXTAFTER(INDEX($F$78:$F$129,MATCH($AI157,$G$78:$G$129,0))," "),_xlfn.TEXTBEFORE($AI$174:$AI$175," - ")),0),0)</f>
        <v>0</v>
      </c>
      <c r="AU157" s="6" cm="1">
        <f t="array" ref="AU157">IFERROR(INDEX(AU$174:AU$175,MATCH(_xlfn.TEXTAFTER(INDEX($F$78:$F$129,MATCH($AI157,$G$78:$G$129,0))," "),_xlfn.TEXTBEFORE($AI$174:$AI$175," - ")),0),0)</f>
        <v>0</v>
      </c>
      <c r="AV157" s="6" cm="1">
        <f t="array" ref="AV157">IFERROR(INDEX(AV$174:AV$175,MATCH(_xlfn.TEXTAFTER(INDEX($F$78:$F$129,MATCH($AI157,$G$78:$G$129,0))," "),_xlfn.TEXTBEFORE($AI$174:$AI$175," - ")),0),0)</f>
        <v>0</v>
      </c>
      <c r="AW157" s="6" cm="1">
        <f t="array" ref="AW157">IFERROR(INDEX(AW$174:AW$175,MATCH(_xlfn.TEXTAFTER(INDEX($F$78:$F$129,MATCH($AI157,$G$78:$G$129,0))," "),_xlfn.TEXTBEFORE($AI$174:$AI$175," - ")),0),0)</f>
        <v>0</v>
      </c>
      <c r="AX157" s="6" cm="1">
        <f t="array" ref="AX157">IFERROR(INDEX(AX$174:AX$175,MATCH(_xlfn.TEXTAFTER(INDEX($F$78:$F$129,MATCH($AI157,$G$78:$G$129,0))," "),_xlfn.TEXTBEFORE($AI$174:$AI$175," - ")),0),0)</f>
        <v>0</v>
      </c>
      <c r="AY157" s="6" cm="1">
        <f t="array" ref="AY157">IFERROR(INDEX(AY$174:AY$175,MATCH(_xlfn.TEXTAFTER(INDEX($F$78:$F$129,MATCH($AI157,$G$78:$G$129,0))," "),_xlfn.TEXTBEFORE($AI$174:$AI$175," - ")),0),0)</f>
        <v>0</v>
      </c>
      <c r="AZ157" s="6" cm="1">
        <f t="array" ref="AZ157">IFERROR(INDEX(AZ$174:AZ$175,MATCH(_xlfn.TEXTAFTER(INDEX($F$78:$F$129,MATCH($AI157,$G$78:$G$129,0))," "),_xlfn.TEXTBEFORE($AI$174:$AI$175," - ")),0),0)</f>
        <v>0</v>
      </c>
      <c r="BA157" s="6" cm="1">
        <f t="array" ref="BA157">IFERROR(INDEX(BA$174:BA$175,MATCH(_xlfn.TEXTAFTER(INDEX($F$78:$F$129,MATCH($AI157,$G$78:$G$129,0))," "),_xlfn.TEXTBEFORE($AI$174:$AI$175," - ")),0),0)</f>
        <v>0</v>
      </c>
      <c r="BB157" s="6" cm="1">
        <f t="array" ref="BB157">IFERROR(INDEX(BB$174:BB$175,MATCH(_xlfn.TEXTAFTER(INDEX($F$78:$F$129,MATCH($AI157,$G$78:$G$129,0))," "),_xlfn.TEXTBEFORE($AI$174:$AI$175," - ")),0),0)</f>
        <v>0</v>
      </c>
      <c r="BC157" s="6" cm="1">
        <f t="array" ref="BC157">IFERROR(INDEX(BC$174:BC$175,MATCH(_xlfn.TEXTAFTER(INDEX($F$78:$F$129,MATCH($AI157,$G$78:$G$129,0))," "),_xlfn.TEXTBEFORE($AI$174:$AI$175," - ")),0),0)</f>
        <v>0</v>
      </c>
      <c r="BD157" s="6" cm="1">
        <f t="array" ref="BD157">IFERROR(INDEX(BD$174:BD$175,MATCH(_xlfn.TEXTAFTER(INDEX($F$78:$F$129,MATCH($AI157,$G$78:$G$129,0))," "),_xlfn.TEXTBEFORE($AI$174:$AI$175," - ")),0),0)</f>
        <v>0</v>
      </c>
      <c r="BE157" s="6" cm="1">
        <f t="array" ref="BE157">IFERROR(INDEX(BE$174:BE$175,MATCH(_xlfn.TEXTAFTER(INDEX($F$78:$F$129,MATCH($AI157,$G$78:$G$129,0))," "),_xlfn.TEXTBEFORE($AI$174:$AI$175," - ")),0),0)</f>
        <v>0</v>
      </c>
      <c r="BF157" s="6" cm="1">
        <f t="array" ref="BF157">IFERROR(INDEX(BF$174:BF$175,MATCH(_xlfn.TEXTAFTER(INDEX($F$78:$F$129,MATCH($AI157,$G$78:$G$129,0))," "),_xlfn.TEXTBEFORE($AI$174:$AI$175," - ")),0),0)</f>
        <v>0</v>
      </c>
      <c r="BG157" s="6" cm="1">
        <f t="array" ref="BG157">IFERROR(INDEX(BG$174:BG$175,MATCH(_xlfn.TEXTAFTER(INDEX($F$78:$F$129,MATCH($AI157,$G$78:$G$129,0))," "),_xlfn.TEXTBEFORE($AI$174:$AI$175," - ")),0),0)</f>
        <v>0</v>
      </c>
      <c r="BH157" s="6" cm="1">
        <f t="array" ref="BH157">IFERROR(INDEX(BH$174:BH$175,MATCH(_xlfn.TEXTAFTER(INDEX($F$78:$F$129,MATCH($AI157,$G$78:$G$129,0))," "),_xlfn.TEXTBEFORE($AI$174:$AI$175," - ")),0),0)</f>
        <v>0</v>
      </c>
      <c r="BI157" s="6" cm="1">
        <f t="array" ref="BI157">IFERROR(INDEX(BI$174:BI$175,MATCH(_xlfn.TEXTAFTER(INDEX($F$78:$F$129,MATCH($AI157,$G$78:$G$129,0))," "),_xlfn.TEXTBEFORE($AI$174:$AI$175," - ")),0),0)</f>
        <v>0</v>
      </c>
    </row>
    <row r="158" spans="7:61" ht="16" x14ac:dyDescent="0.2">
      <c r="G158" s="5" t="s">
        <v>62</v>
      </c>
      <c r="H158" s="6">
        <f>IFERROR(ROUND(AVERAGEIFS([1]!Resources[Fixed O&amp;M Cost],[1]!Resources[COD],"&lt;="&amp;H$139,[1]!Resources[Retirement Date],"&gt;="&amp;H$139,[1]!Resources[Unique Key],$G158,[1]!Resources[Summer Rating],"&gt;"&amp;0),2),0)*H96/10^6</f>
        <v>20.252400000000002</v>
      </c>
      <c r="I158" s="6">
        <f>IFERROR(ROUND(AVERAGEIFS([1]!Resources[Fixed O&amp;M Cost],[1]!Resources[COD],"&lt;="&amp;I$139,[1]!Resources[Retirement Date],"&gt;="&amp;I$139,[1]!Resources[Unique Key],$G158,[1]!Resources[Summer Rating],"&gt;"&amp;0),2),0)*I96/10^6</f>
        <v>20.252400000000002</v>
      </c>
      <c r="J158" s="6">
        <f>IFERROR(ROUND(AVERAGEIFS([1]!Resources[Fixed O&amp;M Cost],[1]!Resources[COD],"&lt;="&amp;J$139,[1]!Resources[Retirement Date],"&gt;="&amp;J$139,[1]!Resources[Unique Key],$G158,[1]!Resources[Summer Rating],"&gt;"&amp;0),2),0)*J96/10^6</f>
        <v>20.252400000000002</v>
      </c>
      <c r="K158" s="6">
        <f>IFERROR(ROUND(AVERAGEIFS([1]!Resources[Fixed O&amp;M Cost],[1]!Resources[COD],"&lt;="&amp;K$139,[1]!Resources[Retirement Date],"&gt;="&amp;K$139,[1]!Resources[Unique Key],$G158,[1]!Resources[Summer Rating],"&gt;"&amp;0),2),0)*K96/10^6</f>
        <v>20.252400000000002</v>
      </c>
      <c r="L158" s="6">
        <f>IFERROR(ROUND(AVERAGEIFS([1]!Resources[Fixed O&amp;M Cost],[1]!Resources[COD],"&lt;="&amp;L$139,[1]!Resources[Retirement Date],"&gt;="&amp;L$139,[1]!Resources[Unique Key],$G158,[1]!Resources[Summer Rating],"&gt;"&amp;0),2),0)*L96/10^6</f>
        <v>20.252400000000002</v>
      </c>
      <c r="M158" s="6">
        <f>IFERROR(ROUND(AVERAGEIFS([1]!Resources[Fixed O&amp;M Cost],[1]!Resources[COD],"&lt;="&amp;M$139,[1]!Resources[Retirement Date],"&gt;="&amp;M$139,[1]!Resources[Unique Key],$G158,[1]!Resources[Summer Rating],"&gt;"&amp;0),2),0)*M96/10^6</f>
        <v>20.252400000000002</v>
      </c>
      <c r="N158" s="6">
        <f>IFERROR(ROUND(AVERAGEIFS([1]!Resources[Fixed O&amp;M Cost],[1]!Resources[COD],"&lt;="&amp;N$139,[1]!Resources[Retirement Date],"&gt;="&amp;N$139,[1]!Resources[Unique Key],$G158,[1]!Resources[Summer Rating],"&gt;"&amp;0),2),0)*N96/10^6</f>
        <v>20.252400000000002</v>
      </c>
      <c r="O158" s="6">
        <f>IFERROR(ROUND(AVERAGEIFS([1]!Resources[Fixed O&amp;M Cost],[1]!Resources[COD],"&lt;="&amp;O$139,[1]!Resources[Retirement Date],"&gt;="&amp;O$139,[1]!Resources[Unique Key],$G158,[1]!Resources[Summer Rating],"&gt;"&amp;0),2),0)*O96/10^6</f>
        <v>20.252400000000002</v>
      </c>
      <c r="P158" s="6">
        <f>IFERROR(ROUND(AVERAGEIFS([1]!Resources[Fixed O&amp;M Cost],[1]!Resources[COD],"&lt;="&amp;P$139,[1]!Resources[Retirement Date],"&gt;="&amp;P$139,[1]!Resources[Unique Key],$G158,[1]!Resources[Summer Rating],"&gt;"&amp;0),2),0)*P96/10^6</f>
        <v>20.252400000000002</v>
      </c>
      <c r="Q158" s="6">
        <f>IFERROR(ROUND(AVERAGEIFS([1]!Resources[Fixed O&amp;M Cost],[1]!Resources[COD],"&lt;="&amp;Q$139,[1]!Resources[Retirement Date],"&gt;="&amp;Q$139,[1]!Resources[Unique Key],$G158,[1]!Resources[Summer Rating],"&gt;"&amp;0),2),0)*Q96/10^6</f>
        <v>20.252400000000002</v>
      </c>
      <c r="R158" s="6">
        <f>IFERROR(ROUND(AVERAGEIFS([1]!Resources[Fixed O&amp;M Cost],[1]!Resources[COD],"&lt;="&amp;R$139,[1]!Resources[Retirement Date],"&gt;="&amp;R$139,[1]!Resources[Unique Key],$G158,[1]!Resources[Summer Rating],"&gt;"&amp;0),2),0)*R96/10^6</f>
        <v>20.252400000000002</v>
      </c>
      <c r="S158" s="6">
        <f>IFERROR(ROUND(AVERAGEIFS([1]!Resources[Fixed O&amp;M Cost],[1]!Resources[COD],"&lt;="&amp;S$139,[1]!Resources[Retirement Date],"&gt;="&amp;S$139,[1]!Resources[Unique Key],$G158,[1]!Resources[Summer Rating],"&gt;"&amp;0),2),0)*S96/10^6</f>
        <v>20.252400000000002</v>
      </c>
      <c r="T158" s="6">
        <f>IFERROR(ROUND(AVERAGEIFS([1]!Resources[Fixed O&amp;M Cost],[1]!Resources[COD],"&lt;="&amp;T$139,[1]!Resources[Retirement Date],"&gt;="&amp;T$139,[1]!Resources[Unique Key],$G158,[1]!Resources[Summer Rating],"&gt;"&amp;0),2),0)*T96/10^6</f>
        <v>20.252400000000002</v>
      </c>
      <c r="U158" s="6">
        <f>IFERROR(ROUND(AVERAGEIFS([1]!Resources[Fixed O&amp;M Cost],[1]!Resources[COD],"&lt;="&amp;U$139,[1]!Resources[Retirement Date],"&gt;="&amp;U$139,[1]!Resources[Unique Key],$G158,[1]!Resources[Summer Rating],"&gt;"&amp;0),2),0)*U96/10^6</f>
        <v>20.252400000000002</v>
      </c>
      <c r="V158" s="6">
        <f>IFERROR(ROUND(AVERAGEIFS([1]!Resources[Fixed O&amp;M Cost],[1]!Resources[COD],"&lt;="&amp;V$139,[1]!Resources[Retirement Date],"&gt;="&amp;V$139,[1]!Resources[Unique Key],$G158,[1]!Resources[Summer Rating],"&gt;"&amp;0),2),0)*V96/10^6</f>
        <v>20.252400000000002</v>
      </c>
      <c r="W158" s="6">
        <f>IFERROR(ROUND(AVERAGEIFS([1]!Resources[Fixed O&amp;M Cost],[1]!Resources[COD],"&lt;="&amp;W$139,[1]!Resources[Retirement Date],"&gt;="&amp;W$139,[1]!Resources[Unique Key],$G158,[1]!Resources[Summer Rating],"&gt;"&amp;0),2),0)*W96/10^6</f>
        <v>20.252400000000002</v>
      </c>
      <c r="X158" s="6">
        <f>IFERROR(ROUND(AVERAGEIFS([1]!Resources[Fixed O&amp;M Cost],[1]!Resources[COD],"&lt;="&amp;X$139,[1]!Resources[Retirement Date],"&gt;="&amp;X$139,[1]!Resources[Unique Key],$G158,[1]!Resources[Summer Rating],"&gt;"&amp;0),2),0)*X96/10^6</f>
        <v>20.252400000000002</v>
      </c>
      <c r="Y158" s="6">
        <f>IFERROR(ROUND(AVERAGEIFS([1]!Resources[Fixed O&amp;M Cost],[1]!Resources[COD],"&lt;="&amp;Y$139,[1]!Resources[Retirement Date],"&gt;="&amp;Y$139,[1]!Resources[Unique Key],$G158,[1]!Resources[Summer Rating],"&gt;"&amp;0),2),0)*Y96/10^6</f>
        <v>20.252400000000002</v>
      </c>
      <c r="Z158" s="6">
        <f>IFERROR(ROUND(AVERAGEIFS([1]!Resources[Fixed O&amp;M Cost],[1]!Resources[COD],"&lt;="&amp;Z$139,[1]!Resources[Retirement Date],"&gt;="&amp;Z$139,[1]!Resources[Unique Key],$G158,[1]!Resources[Summer Rating],"&gt;"&amp;0),2),0)*Z96/10^6</f>
        <v>20.252400000000002</v>
      </c>
      <c r="AA158" s="6">
        <f>IFERROR(ROUND(AVERAGEIFS([1]!Resources[Fixed O&amp;M Cost],[1]!Resources[COD],"&lt;="&amp;AA$139,[1]!Resources[Retirement Date],"&gt;="&amp;AA$139,[1]!Resources[Unique Key],$G158,[1]!Resources[Summer Rating],"&gt;"&amp;0),2),0)*AA96/10^6</f>
        <v>20.252400000000002</v>
      </c>
      <c r="AB158" s="6">
        <f>IFERROR(ROUND(AVERAGEIFS([1]!Resources[Fixed O&amp;M Cost],[1]!Resources[COD],"&lt;="&amp;AB$139,[1]!Resources[Retirement Date],"&gt;="&amp;AB$139,[1]!Resources[Unique Key],$G158,[1]!Resources[Summer Rating],"&gt;"&amp;0),2),0)*AB96/10^6</f>
        <v>20.252400000000002</v>
      </c>
      <c r="AC158" s="6">
        <f>IFERROR(ROUND(AVERAGEIFS([1]!Resources[Fixed O&amp;M Cost],[1]!Resources[COD],"&lt;="&amp;AC$139,[1]!Resources[Retirement Date],"&gt;="&amp;AC$139,[1]!Resources[Unique Key],$G158,[1]!Resources[Summer Rating],"&gt;"&amp;0),2),0)*AC96/10^6</f>
        <v>20.252400000000002</v>
      </c>
      <c r="AD158" s="6">
        <f>IFERROR(ROUND(AVERAGEIFS([1]!Resources[Fixed O&amp;M Cost],[1]!Resources[COD],"&lt;="&amp;AD$139,[1]!Resources[Retirement Date],"&gt;="&amp;AD$139,[1]!Resources[Unique Key],$G158,[1]!Resources[Summer Rating],"&gt;"&amp;0),2),0)*AD96/10^6</f>
        <v>20.252400000000002</v>
      </c>
      <c r="AE158" s="6">
        <f>IFERROR(ROUND(AVERAGEIFS([1]!Resources[Fixed O&amp;M Cost],[1]!Resources[COD],"&lt;="&amp;AE$139,[1]!Resources[Retirement Date],"&gt;="&amp;AE$139,[1]!Resources[Unique Key],$G158,[1]!Resources[Summer Rating],"&gt;"&amp;0),2),0)*AE96/10^6</f>
        <v>20.252400000000002</v>
      </c>
      <c r="AF158" s="6">
        <f>IFERROR(ROUND(AVERAGEIFS([1]!Resources[Fixed O&amp;M Cost],[1]!Resources[COD],"&lt;="&amp;AF$139,[1]!Resources[Retirement Date],"&gt;="&amp;AF$139,[1]!Resources[Unique Key],$G158,[1]!Resources[Summer Rating],"&gt;"&amp;0),2),0)*AF96/10^6</f>
        <v>20.252400000000002</v>
      </c>
      <c r="AG158" s="6">
        <f>IFERROR(ROUND(AVERAGEIFS([1]!Resources[Fixed O&amp;M Cost],[1]!Resources[COD],"&lt;="&amp;AG$139,[1]!Resources[Retirement Date],"&gt;="&amp;AG$139,[1]!Resources[Unique Key],$G158,[1]!Resources[Summer Rating],"&gt;"&amp;0),2),0)*AG96/10^6</f>
        <v>20.252400000000002</v>
      </c>
      <c r="AI158" s="5" t="s">
        <v>62</v>
      </c>
      <c r="AJ158" s="6" cm="1">
        <f t="array" ref="AJ158">IFERROR(INDEX(AJ$174:AJ$175,MATCH(_xlfn.TEXTAFTER(INDEX($F$78:$F$129,MATCH($AI158,$G$78:$G$129,0))," "),_xlfn.TEXTBEFORE($AI$174:$AI$175," - ")),0),0)</f>
        <v>0</v>
      </c>
      <c r="AK158" s="6" cm="1">
        <f t="array" ref="AK158">IFERROR(INDEX(AK$174:AK$175,MATCH(_xlfn.TEXTAFTER(INDEX($F$78:$F$129,MATCH($AI158,$G$78:$G$129,0))," "),_xlfn.TEXTBEFORE($AI$174:$AI$175," - ")),0),0)</f>
        <v>0</v>
      </c>
      <c r="AL158" s="6" cm="1">
        <f t="array" ref="AL158">IFERROR(INDEX(AL$174:AL$175,MATCH(_xlfn.TEXTAFTER(INDEX($F$78:$F$129,MATCH($AI158,$G$78:$G$129,0))," "),_xlfn.TEXTBEFORE($AI$174:$AI$175," - ")),0),0)</f>
        <v>0</v>
      </c>
      <c r="AM158" s="6" cm="1">
        <f t="array" ref="AM158">IFERROR(INDEX(AM$174:AM$175,MATCH(_xlfn.TEXTAFTER(INDEX($F$78:$F$129,MATCH($AI158,$G$78:$G$129,0))," "),_xlfn.TEXTBEFORE($AI$174:$AI$175," - ")),0),0)</f>
        <v>0</v>
      </c>
      <c r="AN158" s="6" cm="1">
        <f t="array" ref="AN158">IFERROR(INDEX(AN$174:AN$175,MATCH(_xlfn.TEXTAFTER(INDEX($F$78:$F$129,MATCH($AI158,$G$78:$G$129,0))," "),_xlfn.TEXTBEFORE($AI$174:$AI$175," - ")),0),0)</f>
        <v>0</v>
      </c>
      <c r="AO158" s="6" cm="1">
        <f t="array" ref="AO158">IFERROR(INDEX(AO$174:AO$175,MATCH(_xlfn.TEXTAFTER(INDEX($F$78:$F$129,MATCH($AI158,$G$78:$G$129,0))," "),_xlfn.TEXTBEFORE($AI$174:$AI$175," - ")),0),0)</f>
        <v>0</v>
      </c>
      <c r="AP158" s="6" cm="1">
        <f t="array" ref="AP158">IFERROR(INDEX(AP$174:AP$175,MATCH(_xlfn.TEXTAFTER(INDEX($F$78:$F$129,MATCH($AI158,$G$78:$G$129,0))," "),_xlfn.TEXTBEFORE($AI$174:$AI$175," - ")),0),0)</f>
        <v>0</v>
      </c>
      <c r="AQ158" s="6" cm="1">
        <f t="array" ref="AQ158">IFERROR(INDEX(AQ$174:AQ$175,MATCH(_xlfn.TEXTAFTER(INDEX($F$78:$F$129,MATCH($AI158,$G$78:$G$129,0))," "),_xlfn.TEXTBEFORE($AI$174:$AI$175," - ")),0),0)</f>
        <v>0</v>
      </c>
      <c r="AR158" s="6" cm="1">
        <f t="array" ref="AR158">IFERROR(INDEX(AR$174:AR$175,MATCH(_xlfn.TEXTAFTER(INDEX($F$78:$F$129,MATCH($AI158,$G$78:$G$129,0))," "),_xlfn.TEXTBEFORE($AI$174:$AI$175," - ")),0),0)</f>
        <v>0</v>
      </c>
      <c r="AS158" s="6" cm="1">
        <f t="array" ref="AS158">IFERROR(INDEX(AS$174:AS$175,MATCH(_xlfn.TEXTAFTER(INDEX($F$78:$F$129,MATCH($AI158,$G$78:$G$129,0))," "),_xlfn.TEXTBEFORE($AI$174:$AI$175," - ")),0),0)</f>
        <v>0</v>
      </c>
      <c r="AT158" s="6" cm="1">
        <f t="array" ref="AT158">IFERROR(INDEX(AT$174:AT$175,MATCH(_xlfn.TEXTAFTER(INDEX($F$78:$F$129,MATCH($AI158,$G$78:$G$129,0))," "),_xlfn.TEXTBEFORE($AI$174:$AI$175," - ")),0),0)</f>
        <v>0</v>
      </c>
      <c r="AU158" s="6" cm="1">
        <f t="array" ref="AU158">IFERROR(INDEX(AU$174:AU$175,MATCH(_xlfn.TEXTAFTER(INDEX($F$78:$F$129,MATCH($AI158,$G$78:$G$129,0))," "),_xlfn.TEXTBEFORE($AI$174:$AI$175," - ")),0),0)</f>
        <v>0</v>
      </c>
      <c r="AV158" s="6" cm="1">
        <f t="array" ref="AV158">IFERROR(INDEX(AV$174:AV$175,MATCH(_xlfn.TEXTAFTER(INDEX($F$78:$F$129,MATCH($AI158,$G$78:$G$129,0))," "),_xlfn.TEXTBEFORE($AI$174:$AI$175," - ")),0),0)</f>
        <v>0</v>
      </c>
      <c r="AW158" s="6" cm="1">
        <f t="array" ref="AW158">IFERROR(INDEX(AW$174:AW$175,MATCH(_xlfn.TEXTAFTER(INDEX($F$78:$F$129,MATCH($AI158,$G$78:$G$129,0))," "),_xlfn.TEXTBEFORE($AI$174:$AI$175," - ")),0),0)</f>
        <v>0</v>
      </c>
      <c r="AX158" s="6" cm="1">
        <f t="array" ref="AX158">IFERROR(INDEX(AX$174:AX$175,MATCH(_xlfn.TEXTAFTER(INDEX($F$78:$F$129,MATCH($AI158,$G$78:$G$129,0))," "),_xlfn.TEXTBEFORE($AI$174:$AI$175," - ")),0),0)</f>
        <v>0</v>
      </c>
      <c r="AY158" s="6" cm="1">
        <f t="array" ref="AY158">IFERROR(INDEX(AY$174:AY$175,MATCH(_xlfn.TEXTAFTER(INDEX($F$78:$F$129,MATCH($AI158,$G$78:$G$129,0))," "),_xlfn.TEXTBEFORE($AI$174:$AI$175," - ")),0),0)</f>
        <v>0</v>
      </c>
      <c r="AZ158" s="6" cm="1">
        <f t="array" ref="AZ158">IFERROR(INDEX(AZ$174:AZ$175,MATCH(_xlfn.TEXTAFTER(INDEX($F$78:$F$129,MATCH($AI158,$G$78:$G$129,0))," "),_xlfn.TEXTBEFORE($AI$174:$AI$175," - ")),0),0)</f>
        <v>0</v>
      </c>
      <c r="BA158" s="6" cm="1">
        <f t="array" ref="BA158">IFERROR(INDEX(BA$174:BA$175,MATCH(_xlfn.TEXTAFTER(INDEX($F$78:$F$129,MATCH($AI158,$G$78:$G$129,0))," "),_xlfn.TEXTBEFORE($AI$174:$AI$175," - ")),0),0)</f>
        <v>0</v>
      </c>
      <c r="BB158" s="6" cm="1">
        <f t="array" ref="BB158">IFERROR(INDEX(BB$174:BB$175,MATCH(_xlfn.TEXTAFTER(INDEX($F$78:$F$129,MATCH($AI158,$G$78:$G$129,0))," "),_xlfn.TEXTBEFORE($AI$174:$AI$175," - ")),0),0)</f>
        <v>0</v>
      </c>
      <c r="BC158" s="6" cm="1">
        <f t="array" ref="BC158">IFERROR(INDEX(BC$174:BC$175,MATCH(_xlfn.TEXTAFTER(INDEX($F$78:$F$129,MATCH($AI158,$G$78:$G$129,0))," "),_xlfn.TEXTBEFORE($AI$174:$AI$175," - ")),0),0)</f>
        <v>0</v>
      </c>
      <c r="BD158" s="6" cm="1">
        <f t="array" ref="BD158">IFERROR(INDEX(BD$174:BD$175,MATCH(_xlfn.TEXTAFTER(INDEX($F$78:$F$129,MATCH($AI158,$G$78:$G$129,0))," "),_xlfn.TEXTBEFORE($AI$174:$AI$175," - ")),0),0)</f>
        <v>0</v>
      </c>
      <c r="BE158" s="6" cm="1">
        <f t="array" ref="BE158">IFERROR(INDEX(BE$174:BE$175,MATCH(_xlfn.TEXTAFTER(INDEX($F$78:$F$129,MATCH($AI158,$G$78:$G$129,0))," "),_xlfn.TEXTBEFORE($AI$174:$AI$175," - ")),0),0)</f>
        <v>0</v>
      </c>
      <c r="BF158" s="6" cm="1">
        <f t="array" ref="BF158">IFERROR(INDEX(BF$174:BF$175,MATCH(_xlfn.TEXTAFTER(INDEX($F$78:$F$129,MATCH($AI158,$G$78:$G$129,0))," "),_xlfn.TEXTBEFORE($AI$174:$AI$175," - ")),0),0)</f>
        <v>0</v>
      </c>
      <c r="BG158" s="6" cm="1">
        <f t="array" ref="BG158">IFERROR(INDEX(BG$174:BG$175,MATCH(_xlfn.TEXTAFTER(INDEX($F$78:$F$129,MATCH($AI158,$G$78:$G$129,0))," "),_xlfn.TEXTBEFORE($AI$174:$AI$175," - ")),0),0)</f>
        <v>0</v>
      </c>
      <c r="BH158" s="6" cm="1">
        <f t="array" ref="BH158">IFERROR(INDEX(BH$174:BH$175,MATCH(_xlfn.TEXTAFTER(INDEX($F$78:$F$129,MATCH($AI158,$G$78:$G$129,0))," "),_xlfn.TEXTBEFORE($AI$174:$AI$175," - ")),0),0)</f>
        <v>0</v>
      </c>
      <c r="BI158" s="6" cm="1">
        <f t="array" ref="BI158">IFERROR(INDEX(BI$174:BI$175,MATCH(_xlfn.TEXTAFTER(INDEX($F$78:$F$129,MATCH($AI158,$G$78:$G$129,0))," "),_xlfn.TEXTBEFORE($AI$174:$AI$175," - ")),0),0)</f>
        <v>0</v>
      </c>
    </row>
    <row r="159" spans="7:61" ht="16" x14ac:dyDescent="0.2">
      <c r="G159" s="5" t="s">
        <v>63</v>
      </c>
      <c r="H159" s="6">
        <f>IFERROR(ROUND(AVERAGEIFS([1]!Resources[Fixed O&amp;M Cost],[1]!Resources[COD],"&lt;="&amp;H$139,[1]!Resources[Retirement Date],"&gt;="&amp;H$139,[1]!Resources[Unique Key],$G159,[1]!Resources[Summer Rating],"&gt;"&amp;0),2),0)*H97/10^6</f>
        <v>20.65</v>
      </c>
      <c r="I159" s="6">
        <f>IFERROR(ROUND(AVERAGEIFS([1]!Resources[Fixed O&amp;M Cost],[1]!Resources[COD],"&lt;="&amp;I$139,[1]!Resources[Retirement Date],"&gt;="&amp;I$139,[1]!Resources[Unique Key],$G159,[1]!Resources[Summer Rating],"&gt;"&amp;0),2),0)*I97/10^6</f>
        <v>20.65</v>
      </c>
      <c r="J159" s="6">
        <f>IFERROR(ROUND(AVERAGEIFS([1]!Resources[Fixed O&amp;M Cost],[1]!Resources[COD],"&lt;="&amp;J$139,[1]!Resources[Retirement Date],"&gt;="&amp;J$139,[1]!Resources[Unique Key],$G159,[1]!Resources[Summer Rating],"&gt;"&amp;0),2),0)*J97/10^6</f>
        <v>20.65</v>
      </c>
      <c r="K159" s="6">
        <f>IFERROR(ROUND(AVERAGEIFS([1]!Resources[Fixed O&amp;M Cost],[1]!Resources[COD],"&lt;="&amp;K$139,[1]!Resources[Retirement Date],"&gt;="&amp;K$139,[1]!Resources[Unique Key],$G159,[1]!Resources[Summer Rating],"&gt;"&amp;0),2),0)*K97/10^6</f>
        <v>20.65</v>
      </c>
      <c r="L159" s="6">
        <f>IFERROR(ROUND(AVERAGEIFS([1]!Resources[Fixed O&amp;M Cost],[1]!Resources[COD],"&lt;="&amp;L$139,[1]!Resources[Retirement Date],"&gt;="&amp;L$139,[1]!Resources[Unique Key],$G159,[1]!Resources[Summer Rating],"&gt;"&amp;0),2),0)*L97/10^6</f>
        <v>20.65</v>
      </c>
      <c r="M159" s="6">
        <f>IFERROR(ROUND(AVERAGEIFS([1]!Resources[Fixed O&amp;M Cost],[1]!Resources[COD],"&lt;="&amp;M$139,[1]!Resources[Retirement Date],"&gt;="&amp;M$139,[1]!Resources[Unique Key],$G159,[1]!Resources[Summer Rating],"&gt;"&amp;0),2),0)*M97/10^6</f>
        <v>20.65</v>
      </c>
      <c r="N159" s="6">
        <f>IFERROR(ROUND(AVERAGEIFS([1]!Resources[Fixed O&amp;M Cost],[1]!Resources[COD],"&lt;="&amp;N$139,[1]!Resources[Retirement Date],"&gt;="&amp;N$139,[1]!Resources[Unique Key],$G159,[1]!Resources[Summer Rating],"&gt;"&amp;0),2),0)*N97/10^6</f>
        <v>20.65</v>
      </c>
      <c r="O159" s="6">
        <f>IFERROR(ROUND(AVERAGEIFS([1]!Resources[Fixed O&amp;M Cost],[1]!Resources[COD],"&lt;="&amp;O$139,[1]!Resources[Retirement Date],"&gt;="&amp;O$139,[1]!Resources[Unique Key],$G159,[1]!Resources[Summer Rating],"&gt;"&amp;0),2),0)*O97/10^6</f>
        <v>20.65</v>
      </c>
      <c r="P159" s="6">
        <f>IFERROR(ROUND(AVERAGEIFS([1]!Resources[Fixed O&amp;M Cost],[1]!Resources[COD],"&lt;="&amp;P$139,[1]!Resources[Retirement Date],"&gt;="&amp;P$139,[1]!Resources[Unique Key],$G159,[1]!Resources[Summer Rating],"&gt;"&amp;0),2),0)*P97/10^6</f>
        <v>20.65</v>
      </c>
      <c r="Q159" s="6">
        <f>IFERROR(ROUND(AVERAGEIFS([1]!Resources[Fixed O&amp;M Cost],[1]!Resources[COD],"&lt;="&amp;Q$139,[1]!Resources[Retirement Date],"&gt;="&amp;Q$139,[1]!Resources[Unique Key],$G159,[1]!Resources[Summer Rating],"&gt;"&amp;0),2),0)*Q97/10^6</f>
        <v>20.65</v>
      </c>
      <c r="R159" s="6">
        <f>IFERROR(ROUND(AVERAGEIFS([1]!Resources[Fixed O&amp;M Cost],[1]!Resources[COD],"&lt;="&amp;R$139,[1]!Resources[Retirement Date],"&gt;="&amp;R$139,[1]!Resources[Unique Key],$G159,[1]!Resources[Summer Rating],"&gt;"&amp;0),2),0)*R97/10^6</f>
        <v>20.65</v>
      </c>
      <c r="S159" s="6">
        <f>IFERROR(ROUND(AVERAGEIFS([1]!Resources[Fixed O&amp;M Cost],[1]!Resources[COD],"&lt;="&amp;S$139,[1]!Resources[Retirement Date],"&gt;="&amp;S$139,[1]!Resources[Unique Key],$G159,[1]!Resources[Summer Rating],"&gt;"&amp;0),2),0)*S97/10^6</f>
        <v>20.65</v>
      </c>
      <c r="T159" s="6">
        <f>IFERROR(ROUND(AVERAGEIFS([1]!Resources[Fixed O&amp;M Cost],[1]!Resources[COD],"&lt;="&amp;T$139,[1]!Resources[Retirement Date],"&gt;="&amp;T$139,[1]!Resources[Unique Key],$G159,[1]!Resources[Summer Rating],"&gt;"&amp;0),2),0)*T97/10^6</f>
        <v>20.65</v>
      </c>
      <c r="U159" s="6">
        <f>IFERROR(ROUND(AVERAGEIFS([1]!Resources[Fixed O&amp;M Cost],[1]!Resources[COD],"&lt;="&amp;U$139,[1]!Resources[Retirement Date],"&gt;="&amp;U$139,[1]!Resources[Unique Key],$G159,[1]!Resources[Summer Rating],"&gt;"&amp;0),2),0)*U97/10^6</f>
        <v>20.65</v>
      </c>
      <c r="V159" s="6">
        <f>IFERROR(ROUND(AVERAGEIFS([1]!Resources[Fixed O&amp;M Cost],[1]!Resources[COD],"&lt;="&amp;V$139,[1]!Resources[Retirement Date],"&gt;="&amp;V$139,[1]!Resources[Unique Key],$G159,[1]!Resources[Summer Rating],"&gt;"&amp;0),2),0)*V97/10^6</f>
        <v>20.65</v>
      </c>
      <c r="W159" s="6">
        <f>IFERROR(ROUND(AVERAGEIFS([1]!Resources[Fixed O&amp;M Cost],[1]!Resources[COD],"&lt;="&amp;W$139,[1]!Resources[Retirement Date],"&gt;="&amp;W$139,[1]!Resources[Unique Key],$G159,[1]!Resources[Summer Rating],"&gt;"&amp;0),2),0)*W97/10^6</f>
        <v>20.65</v>
      </c>
      <c r="X159" s="6">
        <f>IFERROR(ROUND(AVERAGEIFS([1]!Resources[Fixed O&amp;M Cost],[1]!Resources[COD],"&lt;="&amp;X$139,[1]!Resources[Retirement Date],"&gt;="&amp;X$139,[1]!Resources[Unique Key],$G159,[1]!Resources[Summer Rating],"&gt;"&amp;0),2),0)*X97/10^6</f>
        <v>20.65</v>
      </c>
      <c r="Y159" s="6">
        <f>IFERROR(ROUND(AVERAGEIFS([1]!Resources[Fixed O&amp;M Cost],[1]!Resources[COD],"&lt;="&amp;Y$139,[1]!Resources[Retirement Date],"&gt;="&amp;Y$139,[1]!Resources[Unique Key],$G159,[1]!Resources[Summer Rating],"&gt;"&amp;0),2),0)*Y97/10^6</f>
        <v>0</v>
      </c>
      <c r="Z159" s="6">
        <f>IFERROR(ROUND(AVERAGEIFS([1]!Resources[Fixed O&amp;M Cost],[1]!Resources[COD],"&lt;="&amp;Z$139,[1]!Resources[Retirement Date],"&gt;="&amp;Z$139,[1]!Resources[Unique Key],$G159,[1]!Resources[Summer Rating],"&gt;"&amp;0),2),0)*Z97/10^6</f>
        <v>0</v>
      </c>
      <c r="AA159" s="6">
        <f>IFERROR(ROUND(AVERAGEIFS([1]!Resources[Fixed O&amp;M Cost],[1]!Resources[COD],"&lt;="&amp;AA$139,[1]!Resources[Retirement Date],"&gt;="&amp;AA$139,[1]!Resources[Unique Key],$G159,[1]!Resources[Summer Rating],"&gt;"&amp;0),2),0)*AA97/10^6</f>
        <v>0</v>
      </c>
      <c r="AB159" s="6">
        <f>IFERROR(ROUND(AVERAGEIFS([1]!Resources[Fixed O&amp;M Cost],[1]!Resources[COD],"&lt;="&amp;AB$139,[1]!Resources[Retirement Date],"&gt;="&amp;AB$139,[1]!Resources[Unique Key],$G159,[1]!Resources[Summer Rating],"&gt;"&amp;0),2),0)*AB97/10^6</f>
        <v>0</v>
      </c>
      <c r="AC159" s="6">
        <f>IFERROR(ROUND(AVERAGEIFS([1]!Resources[Fixed O&amp;M Cost],[1]!Resources[COD],"&lt;="&amp;AC$139,[1]!Resources[Retirement Date],"&gt;="&amp;AC$139,[1]!Resources[Unique Key],$G159,[1]!Resources[Summer Rating],"&gt;"&amp;0),2),0)*AC97/10^6</f>
        <v>0</v>
      </c>
      <c r="AD159" s="6">
        <f>IFERROR(ROUND(AVERAGEIFS([1]!Resources[Fixed O&amp;M Cost],[1]!Resources[COD],"&lt;="&amp;AD$139,[1]!Resources[Retirement Date],"&gt;="&amp;AD$139,[1]!Resources[Unique Key],$G159,[1]!Resources[Summer Rating],"&gt;"&amp;0),2),0)*AD97/10^6</f>
        <v>0</v>
      </c>
      <c r="AE159" s="6">
        <f>IFERROR(ROUND(AVERAGEIFS([1]!Resources[Fixed O&amp;M Cost],[1]!Resources[COD],"&lt;="&amp;AE$139,[1]!Resources[Retirement Date],"&gt;="&amp;AE$139,[1]!Resources[Unique Key],$G159,[1]!Resources[Summer Rating],"&gt;"&amp;0),2),0)*AE97/10^6</f>
        <v>0</v>
      </c>
      <c r="AF159" s="6">
        <f>IFERROR(ROUND(AVERAGEIFS([1]!Resources[Fixed O&amp;M Cost],[1]!Resources[COD],"&lt;="&amp;AF$139,[1]!Resources[Retirement Date],"&gt;="&amp;AF$139,[1]!Resources[Unique Key],$G159,[1]!Resources[Summer Rating],"&gt;"&amp;0),2),0)*AF97/10^6</f>
        <v>0</v>
      </c>
      <c r="AG159" s="6">
        <f>IFERROR(ROUND(AVERAGEIFS([1]!Resources[Fixed O&amp;M Cost],[1]!Resources[COD],"&lt;="&amp;AG$139,[1]!Resources[Retirement Date],"&gt;="&amp;AG$139,[1]!Resources[Unique Key],$G159,[1]!Resources[Summer Rating],"&gt;"&amp;0),2),0)*AG97/10^6</f>
        <v>0</v>
      </c>
      <c r="AI159" s="5" t="s">
        <v>63</v>
      </c>
      <c r="AJ159" s="6" cm="1">
        <f t="array" ref="AJ159">IFERROR(INDEX(AJ$174:AJ$175,MATCH(_xlfn.TEXTAFTER(INDEX($F$78:$F$129,MATCH($AI159,$G$78:$G$129,0))," "),_xlfn.TEXTBEFORE($AI$174:$AI$175," - ")),0),0)</f>
        <v>92503.140684153317</v>
      </c>
      <c r="AK159" s="6" cm="1">
        <f t="array" ref="AK159">IFERROR(INDEX(AK$174:AK$175,MATCH(_xlfn.TEXTAFTER(INDEX($F$78:$F$129,MATCH($AI159,$G$78:$G$129,0))," "),_xlfn.TEXTBEFORE($AI$174:$AI$175," - ")),0),0)</f>
        <v>92503.140684153317</v>
      </c>
      <c r="AL159" s="6" cm="1">
        <f t="array" ref="AL159">IFERROR(INDEX(AL$174:AL$175,MATCH(_xlfn.TEXTAFTER(INDEX($F$78:$F$129,MATCH($AI159,$G$78:$G$129,0))," "),_xlfn.TEXTBEFORE($AI$174:$AI$175," - ")),0),0)</f>
        <v>92503.140684153317</v>
      </c>
      <c r="AM159" s="6" cm="1">
        <f t="array" ref="AM159">IFERROR(INDEX(AM$174:AM$175,MATCH(_xlfn.TEXTAFTER(INDEX($F$78:$F$129,MATCH($AI159,$G$78:$G$129,0))," "),_xlfn.TEXTBEFORE($AI$174:$AI$175," - ")),0),0)</f>
        <v>92503.140684153317</v>
      </c>
      <c r="AN159" s="6" cm="1">
        <f t="array" ref="AN159">IFERROR(INDEX(AN$174:AN$175,MATCH(_xlfn.TEXTAFTER(INDEX($F$78:$F$129,MATCH($AI159,$G$78:$G$129,0))," "),_xlfn.TEXTBEFORE($AI$174:$AI$175," - ")),0),0)</f>
        <v>92503.140684153317</v>
      </c>
      <c r="AO159" s="6" cm="1">
        <f t="array" ref="AO159">IFERROR(INDEX(AO$174:AO$175,MATCH(_xlfn.TEXTAFTER(INDEX($F$78:$F$129,MATCH($AI159,$G$78:$G$129,0))," "),_xlfn.TEXTBEFORE($AI$174:$AI$175," - ")),0),0)</f>
        <v>92503.140684153317</v>
      </c>
      <c r="AP159" s="6" cm="1">
        <f t="array" ref="AP159">IFERROR(INDEX(AP$174:AP$175,MATCH(_xlfn.TEXTAFTER(INDEX($F$78:$F$129,MATCH($AI159,$G$78:$G$129,0))," "),_xlfn.TEXTBEFORE($AI$174:$AI$175," - ")),0),0)</f>
        <v>92503.140684153317</v>
      </c>
      <c r="AQ159" s="6" cm="1">
        <f t="array" ref="AQ159">IFERROR(INDEX(AQ$174:AQ$175,MATCH(_xlfn.TEXTAFTER(INDEX($F$78:$F$129,MATCH($AI159,$G$78:$G$129,0))," "),_xlfn.TEXTBEFORE($AI$174:$AI$175," - ")),0),0)</f>
        <v>92503.140684153317</v>
      </c>
      <c r="AR159" s="6" cm="1">
        <f t="array" ref="AR159">IFERROR(INDEX(AR$174:AR$175,MATCH(_xlfn.TEXTAFTER(INDEX($F$78:$F$129,MATCH($AI159,$G$78:$G$129,0))," "),_xlfn.TEXTBEFORE($AI$174:$AI$175," - ")),0),0)</f>
        <v>92503.140684153317</v>
      </c>
      <c r="AS159" s="6" cm="1">
        <f t="array" ref="AS159">IFERROR(INDEX(AS$174:AS$175,MATCH(_xlfn.TEXTAFTER(INDEX($F$78:$F$129,MATCH($AI159,$G$78:$G$129,0))," "),_xlfn.TEXTBEFORE($AI$174:$AI$175," - ")),0),0)</f>
        <v>92503.140684153317</v>
      </c>
      <c r="AT159" s="6" cm="1">
        <f t="array" ref="AT159">IFERROR(INDEX(AT$174:AT$175,MATCH(_xlfn.TEXTAFTER(INDEX($F$78:$F$129,MATCH($AI159,$G$78:$G$129,0))," "),_xlfn.TEXTBEFORE($AI$174:$AI$175," - ")),0),0)</f>
        <v>92503.140684153317</v>
      </c>
      <c r="AU159" s="6" cm="1">
        <f t="array" ref="AU159">IFERROR(INDEX(AU$174:AU$175,MATCH(_xlfn.TEXTAFTER(INDEX($F$78:$F$129,MATCH($AI159,$G$78:$G$129,0))," "),_xlfn.TEXTBEFORE($AI$174:$AI$175," - ")),0),0)</f>
        <v>92503.140684153317</v>
      </c>
      <c r="AV159" s="6" cm="1">
        <f t="array" ref="AV159">IFERROR(INDEX(AV$174:AV$175,MATCH(_xlfn.TEXTAFTER(INDEX($F$78:$F$129,MATCH($AI159,$G$78:$G$129,0))," "),_xlfn.TEXTBEFORE($AI$174:$AI$175," - ")),0),0)</f>
        <v>92503.140684153317</v>
      </c>
      <c r="AW159" s="6" cm="1">
        <f t="array" ref="AW159">IFERROR(INDEX(AW$174:AW$175,MATCH(_xlfn.TEXTAFTER(INDEX($F$78:$F$129,MATCH($AI159,$G$78:$G$129,0))," "),_xlfn.TEXTBEFORE($AI$174:$AI$175," - ")),0),0)</f>
        <v>92503.140684153317</v>
      </c>
      <c r="AX159" s="6" cm="1">
        <f t="array" ref="AX159">IFERROR(INDEX(AX$174:AX$175,MATCH(_xlfn.TEXTAFTER(INDEX($F$78:$F$129,MATCH($AI159,$G$78:$G$129,0))," "),_xlfn.TEXTBEFORE($AI$174:$AI$175," - ")),0),0)</f>
        <v>92503.140684153317</v>
      </c>
      <c r="AY159" s="6" cm="1">
        <f t="array" ref="AY159">IFERROR(INDEX(AY$174:AY$175,MATCH(_xlfn.TEXTAFTER(INDEX($F$78:$F$129,MATCH($AI159,$G$78:$G$129,0))," "),_xlfn.TEXTBEFORE($AI$174:$AI$175," - ")),0),0)</f>
        <v>92503.140684153317</v>
      </c>
      <c r="AZ159" s="6" cm="1">
        <f t="array" ref="AZ159">IFERROR(INDEX(AZ$174:AZ$175,MATCH(_xlfn.TEXTAFTER(INDEX($F$78:$F$129,MATCH($AI159,$G$78:$G$129,0))," "),_xlfn.TEXTBEFORE($AI$174:$AI$175," - ")),0),0)</f>
        <v>92503.140684153317</v>
      </c>
      <c r="BA159" s="6" cm="1">
        <f t="array" ref="BA159">IFERROR(INDEX(BA$174:BA$175,MATCH(_xlfn.TEXTAFTER(INDEX($F$78:$F$129,MATCH($AI159,$G$78:$G$129,0))," "),_xlfn.TEXTBEFORE($AI$174:$AI$175," - ")),0),0)</f>
        <v>92503.140684153317</v>
      </c>
      <c r="BB159" s="6" cm="1">
        <f t="array" ref="BB159">IFERROR(INDEX(BB$174:BB$175,MATCH(_xlfn.TEXTAFTER(INDEX($F$78:$F$129,MATCH($AI159,$G$78:$G$129,0))," "),_xlfn.TEXTBEFORE($AI$174:$AI$175," - ")),0),0)</f>
        <v>92503.140684153317</v>
      </c>
      <c r="BC159" s="6" cm="1">
        <f t="array" ref="BC159">IFERROR(INDEX(BC$174:BC$175,MATCH(_xlfn.TEXTAFTER(INDEX($F$78:$F$129,MATCH($AI159,$G$78:$G$129,0))," "),_xlfn.TEXTBEFORE($AI$174:$AI$175," - ")),0),0)</f>
        <v>92503.140684153317</v>
      </c>
      <c r="BD159" s="6" cm="1">
        <f t="array" ref="BD159">IFERROR(INDEX(BD$174:BD$175,MATCH(_xlfn.TEXTAFTER(INDEX($F$78:$F$129,MATCH($AI159,$G$78:$G$129,0))," "),_xlfn.TEXTBEFORE($AI$174:$AI$175," - ")),0),0)</f>
        <v>92503.140684153317</v>
      </c>
      <c r="BE159" s="6" cm="1">
        <f t="array" ref="BE159">IFERROR(INDEX(BE$174:BE$175,MATCH(_xlfn.TEXTAFTER(INDEX($F$78:$F$129,MATCH($AI159,$G$78:$G$129,0))," "),_xlfn.TEXTBEFORE($AI$174:$AI$175," - ")),0),0)</f>
        <v>92503.140684153317</v>
      </c>
      <c r="BF159" s="6" cm="1">
        <f t="array" ref="BF159">IFERROR(INDEX(BF$174:BF$175,MATCH(_xlfn.TEXTAFTER(INDEX($F$78:$F$129,MATCH($AI159,$G$78:$G$129,0))," "),_xlfn.TEXTBEFORE($AI$174:$AI$175," - ")),0),0)</f>
        <v>92503.140684153317</v>
      </c>
      <c r="BG159" s="6" cm="1">
        <f t="array" ref="BG159">IFERROR(INDEX(BG$174:BG$175,MATCH(_xlfn.TEXTAFTER(INDEX($F$78:$F$129,MATCH($AI159,$G$78:$G$129,0))," "),_xlfn.TEXTBEFORE($AI$174:$AI$175," - ")),0),0)</f>
        <v>92503.140684153317</v>
      </c>
      <c r="BH159" s="6" cm="1">
        <f t="array" ref="BH159">IFERROR(INDEX(BH$174:BH$175,MATCH(_xlfn.TEXTAFTER(INDEX($F$78:$F$129,MATCH($AI159,$G$78:$G$129,0))," "),_xlfn.TEXTBEFORE($AI$174:$AI$175," - ")),0),0)</f>
        <v>92503.140684153317</v>
      </c>
      <c r="BI159" s="6" cm="1">
        <f t="array" ref="BI159">IFERROR(INDEX(BI$174:BI$175,MATCH(_xlfn.TEXTAFTER(INDEX($F$78:$F$129,MATCH($AI159,$G$78:$G$129,0))," "),_xlfn.TEXTBEFORE($AI$174:$AI$175," - ")),0),0)</f>
        <v>92503.140684153317</v>
      </c>
    </row>
    <row r="160" spans="7:61" ht="16" x14ac:dyDescent="0.2">
      <c r="G160" s="5" t="s">
        <v>64</v>
      </c>
      <c r="H160" s="6">
        <f>IFERROR(ROUND(AVERAGEIFS([1]!Resources[Fixed O&amp;M Cost],[1]!Resources[COD],"&lt;="&amp;H$139,[1]!Resources[Retirement Date],"&gt;="&amp;H$139,[1]!Resources[Unique Key],$G160,[1]!Resources[Summer Rating],"&gt;"&amp;0),2),0)*H98/10^6</f>
        <v>54.6</v>
      </c>
      <c r="I160" s="6">
        <f>IFERROR(ROUND(AVERAGEIFS([1]!Resources[Fixed O&amp;M Cost],[1]!Resources[COD],"&lt;="&amp;I$139,[1]!Resources[Retirement Date],"&gt;="&amp;I$139,[1]!Resources[Unique Key],$G160,[1]!Resources[Summer Rating],"&gt;"&amp;0),2),0)*I98/10^6</f>
        <v>54.6</v>
      </c>
      <c r="J160" s="6">
        <f>IFERROR(ROUND(AVERAGEIFS([1]!Resources[Fixed O&amp;M Cost],[1]!Resources[COD],"&lt;="&amp;J$139,[1]!Resources[Retirement Date],"&gt;="&amp;J$139,[1]!Resources[Unique Key],$G160,[1]!Resources[Summer Rating],"&gt;"&amp;0),2),0)*J98/10^6</f>
        <v>54.6</v>
      </c>
      <c r="K160" s="6">
        <f>IFERROR(ROUND(AVERAGEIFS([1]!Resources[Fixed O&amp;M Cost],[1]!Resources[COD],"&lt;="&amp;K$139,[1]!Resources[Retirement Date],"&gt;="&amp;K$139,[1]!Resources[Unique Key],$G160,[1]!Resources[Summer Rating],"&gt;"&amp;0),2),0)*K98/10^6</f>
        <v>54.6</v>
      </c>
      <c r="L160" s="6">
        <f>IFERROR(ROUND(AVERAGEIFS([1]!Resources[Fixed O&amp;M Cost],[1]!Resources[COD],"&lt;="&amp;L$139,[1]!Resources[Retirement Date],"&gt;="&amp;L$139,[1]!Resources[Unique Key],$G160,[1]!Resources[Summer Rating],"&gt;"&amp;0),2),0)*L98/10^6</f>
        <v>0</v>
      </c>
      <c r="M160" s="6">
        <f>IFERROR(ROUND(AVERAGEIFS([1]!Resources[Fixed O&amp;M Cost],[1]!Resources[COD],"&lt;="&amp;M$139,[1]!Resources[Retirement Date],"&gt;="&amp;M$139,[1]!Resources[Unique Key],$G160,[1]!Resources[Summer Rating],"&gt;"&amp;0),2),0)*M98/10^6</f>
        <v>0</v>
      </c>
      <c r="N160" s="6">
        <f>IFERROR(ROUND(AVERAGEIFS([1]!Resources[Fixed O&amp;M Cost],[1]!Resources[COD],"&lt;="&amp;N$139,[1]!Resources[Retirement Date],"&gt;="&amp;N$139,[1]!Resources[Unique Key],$G160,[1]!Resources[Summer Rating],"&gt;"&amp;0),2),0)*N98/10^6</f>
        <v>0</v>
      </c>
      <c r="O160" s="6">
        <f>IFERROR(ROUND(AVERAGEIFS([1]!Resources[Fixed O&amp;M Cost],[1]!Resources[COD],"&lt;="&amp;O$139,[1]!Resources[Retirement Date],"&gt;="&amp;O$139,[1]!Resources[Unique Key],$G160,[1]!Resources[Summer Rating],"&gt;"&amp;0),2),0)*O98/10^6</f>
        <v>0</v>
      </c>
      <c r="P160" s="6">
        <f>IFERROR(ROUND(AVERAGEIFS([1]!Resources[Fixed O&amp;M Cost],[1]!Resources[COD],"&lt;="&amp;P$139,[1]!Resources[Retirement Date],"&gt;="&amp;P$139,[1]!Resources[Unique Key],$G160,[1]!Resources[Summer Rating],"&gt;"&amp;0),2),0)*P98/10^6</f>
        <v>0</v>
      </c>
      <c r="Q160" s="6">
        <f>IFERROR(ROUND(AVERAGEIFS([1]!Resources[Fixed O&amp;M Cost],[1]!Resources[COD],"&lt;="&amp;Q$139,[1]!Resources[Retirement Date],"&gt;="&amp;Q$139,[1]!Resources[Unique Key],$G160,[1]!Resources[Summer Rating],"&gt;"&amp;0),2),0)*Q98/10^6</f>
        <v>0</v>
      </c>
      <c r="R160" s="6">
        <f>IFERROR(ROUND(AVERAGEIFS([1]!Resources[Fixed O&amp;M Cost],[1]!Resources[COD],"&lt;="&amp;R$139,[1]!Resources[Retirement Date],"&gt;="&amp;R$139,[1]!Resources[Unique Key],$G160,[1]!Resources[Summer Rating],"&gt;"&amp;0),2),0)*R98/10^6</f>
        <v>0</v>
      </c>
      <c r="S160" s="6">
        <f>IFERROR(ROUND(AVERAGEIFS([1]!Resources[Fixed O&amp;M Cost],[1]!Resources[COD],"&lt;="&amp;S$139,[1]!Resources[Retirement Date],"&gt;="&amp;S$139,[1]!Resources[Unique Key],$G160,[1]!Resources[Summer Rating],"&gt;"&amp;0),2),0)*S98/10^6</f>
        <v>0</v>
      </c>
      <c r="T160" s="6">
        <f>IFERROR(ROUND(AVERAGEIFS([1]!Resources[Fixed O&amp;M Cost],[1]!Resources[COD],"&lt;="&amp;T$139,[1]!Resources[Retirement Date],"&gt;="&amp;T$139,[1]!Resources[Unique Key],$G160,[1]!Resources[Summer Rating],"&gt;"&amp;0),2),0)*T98/10^6</f>
        <v>0</v>
      </c>
      <c r="U160" s="6">
        <f>IFERROR(ROUND(AVERAGEIFS([1]!Resources[Fixed O&amp;M Cost],[1]!Resources[COD],"&lt;="&amp;U$139,[1]!Resources[Retirement Date],"&gt;="&amp;U$139,[1]!Resources[Unique Key],$G160,[1]!Resources[Summer Rating],"&gt;"&amp;0),2),0)*U98/10^6</f>
        <v>0</v>
      </c>
      <c r="V160" s="6">
        <f>IFERROR(ROUND(AVERAGEIFS([1]!Resources[Fixed O&amp;M Cost],[1]!Resources[COD],"&lt;="&amp;V$139,[1]!Resources[Retirement Date],"&gt;="&amp;V$139,[1]!Resources[Unique Key],$G160,[1]!Resources[Summer Rating],"&gt;"&amp;0),2),0)*V98/10^6</f>
        <v>0</v>
      </c>
      <c r="W160" s="6">
        <f>IFERROR(ROUND(AVERAGEIFS([1]!Resources[Fixed O&amp;M Cost],[1]!Resources[COD],"&lt;="&amp;W$139,[1]!Resources[Retirement Date],"&gt;="&amp;W$139,[1]!Resources[Unique Key],$G160,[1]!Resources[Summer Rating],"&gt;"&amp;0),2),0)*W98/10^6</f>
        <v>0</v>
      </c>
      <c r="X160" s="6">
        <f>IFERROR(ROUND(AVERAGEIFS([1]!Resources[Fixed O&amp;M Cost],[1]!Resources[COD],"&lt;="&amp;X$139,[1]!Resources[Retirement Date],"&gt;="&amp;X$139,[1]!Resources[Unique Key],$G160,[1]!Resources[Summer Rating],"&gt;"&amp;0),2),0)*X98/10^6</f>
        <v>0</v>
      </c>
      <c r="Y160" s="6">
        <f>IFERROR(ROUND(AVERAGEIFS([1]!Resources[Fixed O&amp;M Cost],[1]!Resources[COD],"&lt;="&amp;Y$139,[1]!Resources[Retirement Date],"&gt;="&amp;Y$139,[1]!Resources[Unique Key],$G160,[1]!Resources[Summer Rating],"&gt;"&amp;0),2),0)*Y98/10^6</f>
        <v>0</v>
      </c>
      <c r="Z160" s="6">
        <f>IFERROR(ROUND(AVERAGEIFS([1]!Resources[Fixed O&amp;M Cost],[1]!Resources[COD],"&lt;="&amp;Z$139,[1]!Resources[Retirement Date],"&gt;="&amp;Z$139,[1]!Resources[Unique Key],$G160,[1]!Resources[Summer Rating],"&gt;"&amp;0),2),0)*Z98/10^6</f>
        <v>0</v>
      </c>
      <c r="AA160" s="6">
        <f>IFERROR(ROUND(AVERAGEIFS([1]!Resources[Fixed O&amp;M Cost],[1]!Resources[COD],"&lt;="&amp;AA$139,[1]!Resources[Retirement Date],"&gt;="&amp;AA$139,[1]!Resources[Unique Key],$G160,[1]!Resources[Summer Rating],"&gt;"&amp;0),2),0)*AA98/10^6</f>
        <v>0</v>
      </c>
      <c r="AB160" s="6">
        <f>IFERROR(ROUND(AVERAGEIFS([1]!Resources[Fixed O&amp;M Cost],[1]!Resources[COD],"&lt;="&amp;AB$139,[1]!Resources[Retirement Date],"&gt;="&amp;AB$139,[1]!Resources[Unique Key],$G160,[1]!Resources[Summer Rating],"&gt;"&amp;0),2),0)*AB98/10^6</f>
        <v>0</v>
      </c>
      <c r="AC160" s="6">
        <f>IFERROR(ROUND(AVERAGEIFS([1]!Resources[Fixed O&amp;M Cost],[1]!Resources[COD],"&lt;="&amp;AC$139,[1]!Resources[Retirement Date],"&gt;="&amp;AC$139,[1]!Resources[Unique Key],$G160,[1]!Resources[Summer Rating],"&gt;"&amp;0),2),0)*AC98/10^6</f>
        <v>0</v>
      </c>
      <c r="AD160" s="6">
        <f>IFERROR(ROUND(AVERAGEIFS([1]!Resources[Fixed O&amp;M Cost],[1]!Resources[COD],"&lt;="&amp;AD$139,[1]!Resources[Retirement Date],"&gt;="&amp;AD$139,[1]!Resources[Unique Key],$G160,[1]!Resources[Summer Rating],"&gt;"&amp;0),2),0)*AD98/10^6</f>
        <v>0</v>
      </c>
      <c r="AE160" s="6">
        <f>IFERROR(ROUND(AVERAGEIFS([1]!Resources[Fixed O&amp;M Cost],[1]!Resources[COD],"&lt;="&amp;AE$139,[1]!Resources[Retirement Date],"&gt;="&amp;AE$139,[1]!Resources[Unique Key],$G160,[1]!Resources[Summer Rating],"&gt;"&amp;0),2),0)*AE98/10^6</f>
        <v>0</v>
      </c>
      <c r="AF160" s="6">
        <f>IFERROR(ROUND(AVERAGEIFS([1]!Resources[Fixed O&amp;M Cost],[1]!Resources[COD],"&lt;="&amp;AF$139,[1]!Resources[Retirement Date],"&gt;="&amp;AF$139,[1]!Resources[Unique Key],$G160,[1]!Resources[Summer Rating],"&gt;"&amp;0),2),0)*AF98/10^6</f>
        <v>0</v>
      </c>
      <c r="AG160" s="6">
        <f>IFERROR(ROUND(AVERAGEIFS([1]!Resources[Fixed O&amp;M Cost],[1]!Resources[COD],"&lt;="&amp;AG$139,[1]!Resources[Retirement Date],"&gt;="&amp;AG$139,[1]!Resources[Unique Key],$G160,[1]!Resources[Summer Rating],"&gt;"&amp;0),2),0)*AG98/10^6</f>
        <v>0</v>
      </c>
      <c r="AI160" s="5" t="s">
        <v>64</v>
      </c>
      <c r="AJ160" s="6" cm="1">
        <f t="array" ref="AJ160">IFERROR(INDEX(AJ$174:AJ$175,MATCH(_xlfn.TEXTAFTER(INDEX($F$78:$F$129,MATCH($AI160,$G$78:$G$129,0))," "),_xlfn.TEXTBEFORE($AI$174:$AI$175," - ")),0),0)</f>
        <v>0</v>
      </c>
      <c r="AK160" s="6" cm="1">
        <f t="array" ref="AK160">IFERROR(INDEX(AK$174:AK$175,MATCH(_xlfn.TEXTAFTER(INDEX($F$78:$F$129,MATCH($AI160,$G$78:$G$129,0))," "),_xlfn.TEXTBEFORE($AI$174:$AI$175," - ")),0),0)</f>
        <v>0</v>
      </c>
      <c r="AL160" s="6" cm="1">
        <f t="array" ref="AL160">IFERROR(INDEX(AL$174:AL$175,MATCH(_xlfn.TEXTAFTER(INDEX($F$78:$F$129,MATCH($AI160,$G$78:$G$129,0))," "),_xlfn.TEXTBEFORE($AI$174:$AI$175," - ")),0),0)</f>
        <v>0</v>
      </c>
      <c r="AM160" s="6" cm="1">
        <f t="array" ref="AM160">IFERROR(INDEX(AM$174:AM$175,MATCH(_xlfn.TEXTAFTER(INDEX($F$78:$F$129,MATCH($AI160,$G$78:$G$129,0))," "),_xlfn.TEXTBEFORE($AI$174:$AI$175," - ")),0),0)</f>
        <v>0</v>
      </c>
      <c r="AN160" s="6" cm="1">
        <f t="array" ref="AN160">IFERROR(INDEX(AN$174:AN$175,MATCH(_xlfn.TEXTAFTER(INDEX($F$78:$F$129,MATCH($AI160,$G$78:$G$129,0))," "),_xlfn.TEXTBEFORE($AI$174:$AI$175," - ")),0),0)</f>
        <v>0</v>
      </c>
      <c r="AO160" s="6" cm="1">
        <f t="array" ref="AO160">IFERROR(INDEX(AO$174:AO$175,MATCH(_xlfn.TEXTAFTER(INDEX($F$78:$F$129,MATCH($AI160,$G$78:$G$129,0))," "),_xlfn.TEXTBEFORE($AI$174:$AI$175," - ")),0),0)</f>
        <v>0</v>
      </c>
      <c r="AP160" s="6" cm="1">
        <f t="array" ref="AP160">IFERROR(INDEX(AP$174:AP$175,MATCH(_xlfn.TEXTAFTER(INDEX($F$78:$F$129,MATCH($AI160,$G$78:$G$129,0))," "),_xlfn.TEXTBEFORE($AI$174:$AI$175," - ")),0),0)</f>
        <v>0</v>
      </c>
      <c r="AQ160" s="6" cm="1">
        <f t="array" ref="AQ160">IFERROR(INDEX(AQ$174:AQ$175,MATCH(_xlfn.TEXTAFTER(INDEX($F$78:$F$129,MATCH($AI160,$G$78:$G$129,0))," "),_xlfn.TEXTBEFORE($AI$174:$AI$175," - ")),0),0)</f>
        <v>0</v>
      </c>
      <c r="AR160" s="6" cm="1">
        <f t="array" ref="AR160">IFERROR(INDEX(AR$174:AR$175,MATCH(_xlfn.TEXTAFTER(INDEX($F$78:$F$129,MATCH($AI160,$G$78:$G$129,0))," "),_xlfn.TEXTBEFORE($AI$174:$AI$175," - ")),0),0)</f>
        <v>0</v>
      </c>
      <c r="AS160" s="6" cm="1">
        <f t="array" ref="AS160">IFERROR(INDEX(AS$174:AS$175,MATCH(_xlfn.TEXTAFTER(INDEX($F$78:$F$129,MATCH($AI160,$G$78:$G$129,0))," "),_xlfn.TEXTBEFORE($AI$174:$AI$175," - ")),0),0)</f>
        <v>0</v>
      </c>
      <c r="AT160" s="6" cm="1">
        <f t="array" ref="AT160">IFERROR(INDEX(AT$174:AT$175,MATCH(_xlfn.TEXTAFTER(INDEX($F$78:$F$129,MATCH($AI160,$G$78:$G$129,0))," "),_xlfn.TEXTBEFORE($AI$174:$AI$175," - ")),0),0)</f>
        <v>0</v>
      </c>
      <c r="AU160" s="6" cm="1">
        <f t="array" ref="AU160">IFERROR(INDEX(AU$174:AU$175,MATCH(_xlfn.TEXTAFTER(INDEX($F$78:$F$129,MATCH($AI160,$G$78:$G$129,0))," "),_xlfn.TEXTBEFORE($AI$174:$AI$175," - ")),0),0)</f>
        <v>0</v>
      </c>
      <c r="AV160" s="6" cm="1">
        <f t="array" ref="AV160">IFERROR(INDEX(AV$174:AV$175,MATCH(_xlfn.TEXTAFTER(INDEX($F$78:$F$129,MATCH($AI160,$G$78:$G$129,0))," "),_xlfn.TEXTBEFORE($AI$174:$AI$175," - ")),0),0)</f>
        <v>0</v>
      </c>
      <c r="AW160" s="6" cm="1">
        <f t="array" ref="AW160">IFERROR(INDEX(AW$174:AW$175,MATCH(_xlfn.TEXTAFTER(INDEX($F$78:$F$129,MATCH($AI160,$G$78:$G$129,0))," "),_xlfn.TEXTBEFORE($AI$174:$AI$175," - ")),0),0)</f>
        <v>0</v>
      </c>
      <c r="AX160" s="6" cm="1">
        <f t="array" ref="AX160">IFERROR(INDEX(AX$174:AX$175,MATCH(_xlfn.TEXTAFTER(INDEX($F$78:$F$129,MATCH($AI160,$G$78:$G$129,0))," "),_xlfn.TEXTBEFORE($AI$174:$AI$175," - ")),0),0)</f>
        <v>0</v>
      </c>
      <c r="AY160" s="6" cm="1">
        <f t="array" ref="AY160">IFERROR(INDEX(AY$174:AY$175,MATCH(_xlfn.TEXTAFTER(INDEX($F$78:$F$129,MATCH($AI160,$G$78:$G$129,0))," "),_xlfn.TEXTBEFORE($AI$174:$AI$175," - ")),0),0)</f>
        <v>0</v>
      </c>
      <c r="AZ160" s="6" cm="1">
        <f t="array" ref="AZ160">IFERROR(INDEX(AZ$174:AZ$175,MATCH(_xlfn.TEXTAFTER(INDEX($F$78:$F$129,MATCH($AI160,$G$78:$G$129,0))," "),_xlfn.TEXTBEFORE($AI$174:$AI$175," - ")),0),0)</f>
        <v>0</v>
      </c>
      <c r="BA160" s="6" cm="1">
        <f t="array" ref="BA160">IFERROR(INDEX(BA$174:BA$175,MATCH(_xlfn.TEXTAFTER(INDEX($F$78:$F$129,MATCH($AI160,$G$78:$G$129,0))," "),_xlfn.TEXTBEFORE($AI$174:$AI$175," - ")),0),0)</f>
        <v>0</v>
      </c>
      <c r="BB160" s="6" cm="1">
        <f t="array" ref="BB160">IFERROR(INDEX(BB$174:BB$175,MATCH(_xlfn.TEXTAFTER(INDEX($F$78:$F$129,MATCH($AI160,$G$78:$G$129,0))," "),_xlfn.TEXTBEFORE($AI$174:$AI$175," - ")),0),0)</f>
        <v>0</v>
      </c>
      <c r="BC160" s="6" cm="1">
        <f t="array" ref="BC160">IFERROR(INDEX(BC$174:BC$175,MATCH(_xlfn.TEXTAFTER(INDEX($F$78:$F$129,MATCH($AI160,$G$78:$G$129,0))," "),_xlfn.TEXTBEFORE($AI$174:$AI$175," - ")),0),0)</f>
        <v>0</v>
      </c>
      <c r="BD160" s="6" cm="1">
        <f t="array" ref="BD160">IFERROR(INDEX(BD$174:BD$175,MATCH(_xlfn.TEXTAFTER(INDEX($F$78:$F$129,MATCH($AI160,$G$78:$G$129,0))," "),_xlfn.TEXTBEFORE($AI$174:$AI$175," - ")),0),0)</f>
        <v>0</v>
      </c>
      <c r="BE160" s="6" cm="1">
        <f t="array" ref="BE160">IFERROR(INDEX(BE$174:BE$175,MATCH(_xlfn.TEXTAFTER(INDEX($F$78:$F$129,MATCH($AI160,$G$78:$G$129,0))," "),_xlfn.TEXTBEFORE($AI$174:$AI$175," - ")),0),0)</f>
        <v>0</v>
      </c>
      <c r="BF160" s="6" cm="1">
        <f t="array" ref="BF160">IFERROR(INDEX(BF$174:BF$175,MATCH(_xlfn.TEXTAFTER(INDEX($F$78:$F$129,MATCH($AI160,$G$78:$G$129,0))," "),_xlfn.TEXTBEFORE($AI$174:$AI$175," - ")),0),0)</f>
        <v>0</v>
      </c>
      <c r="BG160" s="6" cm="1">
        <f t="array" ref="BG160">IFERROR(INDEX(BG$174:BG$175,MATCH(_xlfn.TEXTAFTER(INDEX($F$78:$F$129,MATCH($AI160,$G$78:$G$129,0))," "),_xlfn.TEXTBEFORE($AI$174:$AI$175," - ")),0),0)</f>
        <v>0</v>
      </c>
      <c r="BH160" s="6" cm="1">
        <f t="array" ref="BH160">IFERROR(INDEX(BH$174:BH$175,MATCH(_xlfn.TEXTAFTER(INDEX($F$78:$F$129,MATCH($AI160,$G$78:$G$129,0))," "),_xlfn.TEXTBEFORE($AI$174:$AI$175," - ")),0),0)</f>
        <v>0</v>
      </c>
      <c r="BI160" s="6" cm="1">
        <f t="array" ref="BI160">IFERROR(INDEX(BI$174:BI$175,MATCH(_xlfn.TEXTAFTER(INDEX($F$78:$F$129,MATCH($AI160,$G$78:$G$129,0))," "),_xlfn.TEXTBEFORE($AI$174:$AI$175," - ")),0),0)</f>
        <v>0</v>
      </c>
    </row>
    <row r="161" spans="7:61" ht="16" x14ac:dyDescent="0.2">
      <c r="G161" s="5" t="s">
        <v>65</v>
      </c>
      <c r="H161" s="6">
        <f>IFERROR(ROUND(AVERAGEIFS([1]!Resources[Fixed O&amp;M Cost],[1]!Resources[COD],"&lt;="&amp;H$139,[1]!Resources[Retirement Date],"&gt;="&amp;H$139,[1]!Resources[Unique Key],$G161,[1]!Resources[Summer Rating],"&gt;"&amp;0),2),0)*H99/10^6</f>
        <v>0</v>
      </c>
      <c r="I161" s="6">
        <f>IFERROR(ROUND(AVERAGEIFS([1]!Resources[Fixed O&amp;M Cost],[1]!Resources[COD],"&lt;="&amp;I$139,[1]!Resources[Retirement Date],"&gt;="&amp;I$139,[1]!Resources[Unique Key],$G161,[1]!Resources[Summer Rating],"&gt;"&amp;0),2),0)*I99/10^6</f>
        <v>0</v>
      </c>
      <c r="J161" s="6">
        <f>IFERROR(ROUND(AVERAGEIFS([1]!Resources[Fixed O&amp;M Cost],[1]!Resources[COD],"&lt;="&amp;J$139,[1]!Resources[Retirement Date],"&gt;="&amp;J$139,[1]!Resources[Unique Key],$G161,[1]!Resources[Summer Rating],"&gt;"&amp;0),2),0)*J99/10^6</f>
        <v>0</v>
      </c>
      <c r="K161" s="6">
        <f>IFERROR(ROUND(AVERAGEIFS([1]!Resources[Fixed O&amp;M Cost],[1]!Resources[COD],"&lt;="&amp;K$139,[1]!Resources[Retirement Date],"&gt;="&amp;K$139,[1]!Resources[Unique Key],$G161,[1]!Resources[Summer Rating],"&gt;"&amp;0),2),0)*K99/10^6</f>
        <v>25.155000000000001</v>
      </c>
      <c r="L161" s="6">
        <f>IFERROR(ROUND(AVERAGEIFS([1]!Resources[Fixed O&amp;M Cost],[1]!Resources[COD],"&lt;="&amp;L$139,[1]!Resources[Retirement Date],"&gt;="&amp;L$139,[1]!Resources[Unique Key],$G161,[1]!Resources[Summer Rating],"&gt;"&amp;0),2),0)*L99/10^6</f>
        <v>25.155000000000001</v>
      </c>
      <c r="M161" s="6">
        <f>IFERROR(ROUND(AVERAGEIFS([1]!Resources[Fixed O&amp;M Cost],[1]!Resources[COD],"&lt;="&amp;M$139,[1]!Resources[Retirement Date],"&gt;="&amp;M$139,[1]!Resources[Unique Key],$G161,[1]!Resources[Summer Rating],"&gt;"&amp;0),2),0)*M99/10^6</f>
        <v>25.155000000000001</v>
      </c>
      <c r="N161" s="6">
        <f>IFERROR(ROUND(AVERAGEIFS([1]!Resources[Fixed O&amp;M Cost],[1]!Resources[COD],"&lt;="&amp;N$139,[1]!Resources[Retirement Date],"&gt;="&amp;N$139,[1]!Resources[Unique Key],$G161,[1]!Resources[Summer Rating],"&gt;"&amp;0),2),0)*N99/10^6</f>
        <v>25.155000000000001</v>
      </c>
      <c r="O161" s="6">
        <f>IFERROR(ROUND(AVERAGEIFS([1]!Resources[Fixed O&amp;M Cost],[1]!Resources[COD],"&lt;="&amp;O$139,[1]!Resources[Retirement Date],"&gt;="&amp;O$139,[1]!Resources[Unique Key],$G161,[1]!Resources[Summer Rating],"&gt;"&amp;0),2),0)*O99/10^6</f>
        <v>25.155000000000001</v>
      </c>
      <c r="P161" s="6">
        <f>IFERROR(ROUND(AVERAGEIFS([1]!Resources[Fixed O&amp;M Cost],[1]!Resources[COD],"&lt;="&amp;P$139,[1]!Resources[Retirement Date],"&gt;="&amp;P$139,[1]!Resources[Unique Key],$G161,[1]!Resources[Summer Rating],"&gt;"&amp;0),2),0)*P99/10^6</f>
        <v>25.155000000000001</v>
      </c>
      <c r="Q161" s="6">
        <f>IFERROR(ROUND(AVERAGEIFS([1]!Resources[Fixed O&amp;M Cost],[1]!Resources[COD],"&lt;="&amp;Q$139,[1]!Resources[Retirement Date],"&gt;="&amp;Q$139,[1]!Resources[Unique Key],$G161,[1]!Resources[Summer Rating],"&gt;"&amp;0),2),0)*Q99/10^6</f>
        <v>25.155000000000001</v>
      </c>
      <c r="R161" s="6">
        <f>IFERROR(ROUND(AVERAGEIFS([1]!Resources[Fixed O&amp;M Cost],[1]!Resources[COD],"&lt;="&amp;R$139,[1]!Resources[Retirement Date],"&gt;="&amp;R$139,[1]!Resources[Unique Key],$G161,[1]!Resources[Summer Rating],"&gt;"&amp;0),2),0)*R99/10^6</f>
        <v>25.155000000000001</v>
      </c>
      <c r="S161" s="6">
        <f>IFERROR(ROUND(AVERAGEIFS([1]!Resources[Fixed O&amp;M Cost],[1]!Resources[COD],"&lt;="&amp;S$139,[1]!Resources[Retirement Date],"&gt;="&amp;S$139,[1]!Resources[Unique Key],$G161,[1]!Resources[Summer Rating],"&gt;"&amp;0),2),0)*S99/10^6</f>
        <v>25.155000000000001</v>
      </c>
      <c r="T161" s="6">
        <f>IFERROR(ROUND(AVERAGEIFS([1]!Resources[Fixed O&amp;M Cost],[1]!Resources[COD],"&lt;="&amp;T$139,[1]!Resources[Retirement Date],"&gt;="&amp;T$139,[1]!Resources[Unique Key],$G161,[1]!Resources[Summer Rating],"&gt;"&amp;0),2),0)*T99/10^6</f>
        <v>25.155000000000001</v>
      </c>
      <c r="U161" s="6">
        <f>IFERROR(ROUND(AVERAGEIFS([1]!Resources[Fixed O&amp;M Cost],[1]!Resources[COD],"&lt;="&amp;U$139,[1]!Resources[Retirement Date],"&gt;="&amp;U$139,[1]!Resources[Unique Key],$G161,[1]!Resources[Summer Rating],"&gt;"&amp;0),2),0)*U99/10^6</f>
        <v>25.155000000000001</v>
      </c>
      <c r="V161" s="6">
        <f>IFERROR(ROUND(AVERAGEIFS([1]!Resources[Fixed O&amp;M Cost],[1]!Resources[COD],"&lt;="&amp;V$139,[1]!Resources[Retirement Date],"&gt;="&amp;V$139,[1]!Resources[Unique Key],$G161,[1]!Resources[Summer Rating],"&gt;"&amp;0),2),0)*V99/10^6</f>
        <v>25.155000000000001</v>
      </c>
      <c r="W161" s="6">
        <f>IFERROR(ROUND(AVERAGEIFS([1]!Resources[Fixed O&amp;M Cost],[1]!Resources[COD],"&lt;="&amp;W$139,[1]!Resources[Retirement Date],"&gt;="&amp;W$139,[1]!Resources[Unique Key],$G161,[1]!Resources[Summer Rating],"&gt;"&amp;0),2),0)*W99/10^6</f>
        <v>25.155000000000001</v>
      </c>
      <c r="X161" s="6">
        <f>IFERROR(ROUND(AVERAGEIFS([1]!Resources[Fixed O&amp;M Cost],[1]!Resources[COD],"&lt;="&amp;X$139,[1]!Resources[Retirement Date],"&gt;="&amp;X$139,[1]!Resources[Unique Key],$G161,[1]!Resources[Summer Rating],"&gt;"&amp;0),2),0)*X99/10^6</f>
        <v>25.155000000000001</v>
      </c>
      <c r="Y161" s="6">
        <f>IFERROR(ROUND(AVERAGEIFS([1]!Resources[Fixed O&amp;M Cost],[1]!Resources[COD],"&lt;="&amp;Y$139,[1]!Resources[Retirement Date],"&gt;="&amp;Y$139,[1]!Resources[Unique Key],$G161,[1]!Resources[Summer Rating],"&gt;"&amp;0),2),0)*Y99/10^6</f>
        <v>25.155000000000001</v>
      </c>
      <c r="Z161" s="6">
        <f>IFERROR(ROUND(AVERAGEIFS([1]!Resources[Fixed O&amp;M Cost],[1]!Resources[COD],"&lt;="&amp;Z$139,[1]!Resources[Retirement Date],"&gt;="&amp;Z$139,[1]!Resources[Unique Key],$G161,[1]!Resources[Summer Rating],"&gt;"&amp;0),2),0)*Z99/10^6</f>
        <v>25.155000000000001</v>
      </c>
      <c r="AA161" s="6">
        <f>IFERROR(ROUND(AVERAGEIFS([1]!Resources[Fixed O&amp;M Cost],[1]!Resources[COD],"&lt;="&amp;AA$139,[1]!Resources[Retirement Date],"&gt;="&amp;AA$139,[1]!Resources[Unique Key],$G161,[1]!Resources[Summer Rating],"&gt;"&amp;0),2),0)*AA99/10^6</f>
        <v>25.155000000000001</v>
      </c>
      <c r="AB161" s="6">
        <f>IFERROR(ROUND(AVERAGEIFS([1]!Resources[Fixed O&amp;M Cost],[1]!Resources[COD],"&lt;="&amp;AB$139,[1]!Resources[Retirement Date],"&gt;="&amp;AB$139,[1]!Resources[Unique Key],$G161,[1]!Resources[Summer Rating],"&gt;"&amp;0),2),0)*AB99/10^6</f>
        <v>25.155000000000001</v>
      </c>
      <c r="AC161" s="6">
        <f>IFERROR(ROUND(AVERAGEIFS([1]!Resources[Fixed O&amp;M Cost],[1]!Resources[COD],"&lt;="&amp;AC$139,[1]!Resources[Retirement Date],"&gt;="&amp;AC$139,[1]!Resources[Unique Key],$G161,[1]!Resources[Summer Rating],"&gt;"&amp;0),2),0)*AC99/10^6</f>
        <v>25.155000000000001</v>
      </c>
      <c r="AD161" s="6">
        <f>IFERROR(ROUND(AVERAGEIFS([1]!Resources[Fixed O&amp;M Cost],[1]!Resources[COD],"&lt;="&amp;AD$139,[1]!Resources[Retirement Date],"&gt;="&amp;AD$139,[1]!Resources[Unique Key],$G161,[1]!Resources[Summer Rating],"&gt;"&amp;0),2),0)*AD99/10^6</f>
        <v>25.155000000000001</v>
      </c>
      <c r="AE161" s="6">
        <f>IFERROR(ROUND(AVERAGEIFS([1]!Resources[Fixed O&amp;M Cost],[1]!Resources[COD],"&lt;="&amp;AE$139,[1]!Resources[Retirement Date],"&gt;="&amp;AE$139,[1]!Resources[Unique Key],$G161,[1]!Resources[Summer Rating],"&gt;"&amp;0),2),0)*AE99/10^6</f>
        <v>25.155000000000001</v>
      </c>
      <c r="AF161" s="6">
        <f>IFERROR(ROUND(AVERAGEIFS([1]!Resources[Fixed O&amp;M Cost],[1]!Resources[COD],"&lt;="&amp;AF$139,[1]!Resources[Retirement Date],"&gt;="&amp;AF$139,[1]!Resources[Unique Key],$G161,[1]!Resources[Summer Rating],"&gt;"&amp;0),2),0)*AF99/10^6</f>
        <v>25.155000000000001</v>
      </c>
      <c r="AG161" s="6">
        <f>IFERROR(ROUND(AVERAGEIFS([1]!Resources[Fixed O&amp;M Cost],[1]!Resources[COD],"&lt;="&amp;AG$139,[1]!Resources[Retirement Date],"&gt;="&amp;AG$139,[1]!Resources[Unique Key],$G161,[1]!Resources[Summer Rating],"&gt;"&amp;0),2),0)*AG99/10^6</f>
        <v>25.155000000000001</v>
      </c>
      <c r="AI161" s="5" t="s">
        <v>65</v>
      </c>
      <c r="AJ161" s="6" cm="1">
        <f t="array" ref="AJ161">IFERROR(INDEX(AJ$174:AJ$175,MATCH(_xlfn.TEXTAFTER(INDEX($F$78:$F$129,MATCH($AI161,$G$78:$G$129,0))," "),_xlfn.TEXTBEFORE($AI$174:$AI$175," - ")),0),0)</f>
        <v>135671.27300342487</v>
      </c>
      <c r="AK161" s="6" cm="1">
        <f t="array" ref="AK161">IFERROR(INDEX(AK$174:AK$175,MATCH(_xlfn.TEXTAFTER(INDEX($F$78:$F$129,MATCH($AI161,$G$78:$G$129,0))," "),_xlfn.TEXTBEFORE($AI$174:$AI$175," - ")),0),0)</f>
        <v>135671.27300342487</v>
      </c>
      <c r="AL161" s="6" cm="1">
        <f t="array" ref="AL161">IFERROR(INDEX(AL$174:AL$175,MATCH(_xlfn.TEXTAFTER(INDEX($F$78:$F$129,MATCH($AI161,$G$78:$G$129,0))," "),_xlfn.TEXTBEFORE($AI$174:$AI$175," - ")),0),0)</f>
        <v>135671.27300342487</v>
      </c>
      <c r="AM161" s="6" cm="1">
        <f t="array" ref="AM161">IFERROR(INDEX(AM$174:AM$175,MATCH(_xlfn.TEXTAFTER(INDEX($F$78:$F$129,MATCH($AI161,$G$78:$G$129,0))," "),_xlfn.TEXTBEFORE($AI$174:$AI$175," - ")),0),0)</f>
        <v>135671.27300342487</v>
      </c>
      <c r="AN161" s="6" cm="1">
        <f t="array" ref="AN161">IFERROR(INDEX(AN$174:AN$175,MATCH(_xlfn.TEXTAFTER(INDEX($F$78:$F$129,MATCH($AI161,$G$78:$G$129,0))," "),_xlfn.TEXTBEFORE($AI$174:$AI$175," - ")),0),0)</f>
        <v>135671.27300342487</v>
      </c>
      <c r="AO161" s="6" cm="1">
        <f t="array" ref="AO161">IFERROR(INDEX(AO$174:AO$175,MATCH(_xlfn.TEXTAFTER(INDEX($F$78:$F$129,MATCH($AI161,$G$78:$G$129,0))," "),_xlfn.TEXTBEFORE($AI$174:$AI$175," - ")),0),0)</f>
        <v>135671.27300342487</v>
      </c>
      <c r="AP161" s="6" cm="1">
        <f t="array" ref="AP161">IFERROR(INDEX(AP$174:AP$175,MATCH(_xlfn.TEXTAFTER(INDEX($F$78:$F$129,MATCH($AI161,$G$78:$G$129,0))," "),_xlfn.TEXTBEFORE($AI$174:$AI$175," - ")),0),0)</f>
        <v>135671.27300342487</v>
      </c>
      <c r="AQ161" s="6" cm="1">
        <f t="array" ref="AQ161">IFERROR(INDEX(AQ$174:AQ$175,MATCH(_xlfn.TEXTAFTER(INDEX($F$78:$F$129,MATCH($AI161,$G$78:$G$129,0))," "),_xlfn.TEXTBEFORE($AI$174:$AI$175," - ")),0),0)</f>
        <v>135671.27300342487</v>
      </c>
      <c r="AR161" s="6" cm="1">
        <f t="array" ref="AR161">IFERROR(INDEX(AR$174:AR$175,MATCH(_xlfn.TEXTAFTER(INDEX($F$78:$F$129,MATCH($AI161,$G$78:$G$129,0))," "),_xlfn.TEXTBEFORE($AI$174:$AI$175," - ")),0),0)</f>
        <v>135671.27300342487</v>
      </c>
      <c r="AS161" s="6" cm="1">
        <f t="array" ref="AS161">IFERROR(INDEX(AS$174:AS$175,MATCH(_xlfn.TEXTAFTER(INDEX($F$78:$F$129,MATCH($AI161,$G$78:$G$129,0))," "),_xlfn.TEXTBEFORE($AI$174:$AI$175," - ")),0),0)</f>
        <v>135671.27300342487</v>
      </c>
      <c r="AT161" s="6" cm="1">
        <f t="array" ref="AT161">IFERROR(INDEX(AT$174:AT$175,MATCH(_xlfn.TEXTAFTER(INDEX($F$78:$F$129,MATCH($AI161,$G$78:$G$129,0))," "),_xlfn.TEXTBEFORE($AI$174:$AI$175," - ")),0),0)</f>
        <v>135671.27300342487</v>
      </c>
      <c r="AU161" s="6" cm="1">
        <f t="array" ref="AU161">IFERROR(INDEX(AU$174:AU$175,MATCH(_xlfn.TEXTAFTER(INDEX($F$78:$F$129,MATCH($AI161,$G$78:$G$129,0))," "),_xlfn.TEXTBEFORE($AI$174:$AI$175," - ")),0),0)</f>
        <v>135671.27300342487</v>
      </c>
      <c r="AV161" s="6" cm="1">
        <f t="array" ref="AV161">IFERROR(INDEX(AV$174:AV$175,MATCH(_xlfn.TEXTAFTER(INDEX($F$78:$F$129,MATCH($AI161,$G$78:$G$129,0))," "),_xlfn.TEXTBEFORE($AI$174:$AI$175," - ")),0),0)</f>
        <v>135671.27300342487</v>
      </c>
      <c r="AW161" s="6" cm="1">
        <f t="array" ref="AW161">IFERROR(INDEX(AW$174:AW$175,MATCH(_xlfn.TEXTAFTER(INDEX($F$78:$F$129,MATCH($AI161,$G$78:$G$129,0))," "),_xlfn.TEXTBEFORE($AI$174:$AI$175," - ")),0),0)</f>
        <v>135671.27300342487</v>
      </c>
      <c r="AX161" s="6" cm="1">
        <f t="array" ref="AX161">IFERROR(INDEX(AX$174:AX$175,MATCH(_xlfn.TEXTAFTER(INDEX($F$78:$F$129,MATCH($AI161,$G$78:$G$129,0))," "),_xlfn.TEXTBEFORE($AI$174:$AI$175," - ")),0),0)</f>
        <v>135671.27300342487</v>
      </c>
      <c r="AY161" s="6" cm="1">
        <f t="array" ref="AY161">IFERROR(INDEX(AY$174:AY$175,MATCH(_xlfn.TEXTAFTER(INDEX($F$78:$F$129,MATCH($AI161,$G$78:$G$129,0))," "),_xlfn.TEXTBEFORE($AI$174:$AI$175," - ")),0),0)</f>
        <v>135671.27300342487</v>
      </c>
      <c r="AZ161" s="6" cm="1">
        <f t="array" ref="AZ161">IFERROR(INDEX(AZ$174:AZ$175,MATCH(_xlfn.TEXTAFTER(INDEX($F$78:$F$129,MATCH($AI161,$G$78:$G$129,0))," "),_xlfn.TEXTBEFORE($AI$174:$AI$175," - ")),0),0)</f>
        <v>135671.27300342487</v>
      </c>
      <c r="BA161" s="6" cm="1">
        <f t="array" ref="BA161">IFERROR(INDEX(BA$174:BA$175,MATCH(_xlfn.TEXTAFTER(INDEX($F$78:$F$129,MATCH($AI161,$G$78:$G$129,0))," "),_xlfn.TEXTBEFORE($AI$174:$AI$175," - ")),0),0)</f>
        <v>135671.27300342487</v>
      </c>
      <c r="BB161" s="6" cm="1">
        <f t="array" ref="BB161">IFERROR(INDEX(BB$174:BB$175,MATCH(_xlfn.TEXTAFTER(INDEX($F$78:$F$129,MATCH($AI161,$G$78:$G$129,0))," "),_xlfn.TEXTBEFORE($AI$174:$AI$175," - ")),0),0)</f>
        <v>135671.27300342487</v>
      </c>
      <c r="BC161" s="6" cm="1">
        <f t="array" ref="BC161">IFERROR(INDEX(BC$174:BC$175,MATCH(_xlfn.TEXTAFTER(INDEX($F$78:$F$129,MATCH($AI161,$G$78:$G$129,0))," "),_xlfn.TEXTBEFORE($AI$174:$AI$175," - ")),0),0)</f>
        <v>135671.27300342487</v>
      </c>
      <c r="BD161" s="6" cm="1">
        <f t="array" ref="BD161">IFERROR(INDEX(BD$174:BD$175,MATCH(_xlfn.TEXTAFTER(INDEX($F$78:$F$129,MATCH($AI161,$G$78:$G$129,0))," "),_xlfn.TEXTBEFORE($AI$174:$AI$175," - ")),0),0)</f>
        <v>135671.27300342487</v>
      </c>
      <c r="BE161" s="6" cm="1">
        <f t="array" ref="BE161">IFERROR(INDEX(BE$174:BE$175,MATCH(_xlfn.TEXTAFTER(INDEX($F$78:$F$129,MATCH($AI161,$G$78:$G$129,0))," "),_xlfn.TEXTBEFORE($AI$174:$AI$175," - ")),0),0)</f>
        <v>135671.27300342487</v>
      </c>
      <c r="BF161" s="6" cm="1">
        <f t="array" ref="BF161">IFERROR(INDEX(BF$174:BF$175,MATCH(_xlfn.TEXTAFTER(INDEX($F$78:$F$129,MATCH($AI161,$G$78:$G$129,0))," "),_xlfn.TEXTBEFORE($AI$174:$AI$175," - ")),0),0)</f>
        <v>135671.27300342487</v>
      </c>
      <c r="BG161" s="6" cm="1">
        <f t="array" ref="BG161">IFERROR(INDEX(BG$174:BG$175,MATCH(_xlfn.TEXTAFTER(INDEX($F$78:$F$129,MATCH($AI161,$G$78:$G$129,0))," "),_xlfn.TEXTBEFORE($AI$174:$AI$175," - ")),0),0)</f>
        <v>135671.27300342487</v>
      </c>
      <c r="BH161" s="6" cm="1">
        <f t="array" ref="BH161">IFERROR(INDEX(BH$174:BH$175,MATCH(_xlfn.TEXTAFTER(INDEX($F$78:$F$129,MATCH($AI161,$G$78:$G$129,0))," "),_xlfn.TEXTBEFORE($AI$174:$AI$175," - ")),0),0)</f>
        <v>135671.27300342487</v>
      </c>
      <c r="BI161" s="6" cm="1">
        <f t="array" ref="BI161">IFERROR(INDEX(BI$174:BI$175,MATCH(_xlfn.TEXTAFTER(INDEX($F$78:$F$129,MATCH($AI161,$G$78:$G$129,0))," "),_xlfn.TEXTBEFORE($AI$174:$AI$175," - ")),0),0)</f>
        <v>135671.27300342487</v>
      </c>
    </row>
    <row r="162" spans="7:61" ht="16" x14ac:dyDescent="0.2">
      <c r="G162" s="5" t="s">
        <v>66</v>
      </c>
      <c r="H162" s="6">
        <f>IFERROR(ROUND(AVERAGEIFS([1]!Resources[Fixed O&amp;M Cost],[1]!Resources[COD],"&lt;="&amp;H$139,[1]!Resources[Retirement Date],"&gt;="&amp;H$139,[1]!Resources[Unique Key],$G162,[1]!Resources[Summer Rating],"&gt;"&amp;0),2),0)*H100/10^6</f>
        <v>28.84</v>
      </c>
      <c r="I162" s="6">
        <f>IFERROR(ROUND(AVERAGEIFS([1]!Resources[Fixed O&amp;M Cost],[1]!Resources[COD],"&lt;="&amp;I$139,[1]!Resources[Retirement Date],"&gt;="&amp;I$139,[1]!Resources[Unique Key],$G162,[1]!Resources[Summer Rating],"&gt;"&amp;0),2),0)*I100/10^6</f>
        <v>28.84</v>
      </c>
      <c r="J162" s="6">
        <f>IFERROR(ROUND(AVERAGEIFS([1]!Resources[Fixed O&amp;M Cost],[1]!Resources[COD],"&lt;="&amp;J$139,[1]!Resources[Retirement Date],"&gt;="&amp;J$139,[1]!Resources[Unique Key],$G162,[1]!Resources[Summer Rating],"&gt;"&amp;0),2),0)*J100/10^6</f>
        <v>28.84</v>
      </c>
      <c r="K162" s="6">
        <f>IFERROR(ROUND(AVERAGEIFS([1]!Resources[Fixed O&amp;M Cost],[1]!Resources[COD],"&lt;="&amp;K$139,[1]!Resources[Retirement Date],"&gt;="&amp;K$139,[1]!Resources[Unique Key],$G162,[1]!Resources[Summer Rating],"&gt;"&amp;0),2),0)*K100/10^6</f>
        <v>28.84</v>
      </c>
      <c r="L162" s="6">
        <f>IFERROR(ROUND(AVERAGEIFS([1]!Resources[Fixed O&amp;M Cost],[1]!Resources[COD],"&lt;="&amp;L$139,[1]!Resources[Retirement Date],"&gt;="&amp;L$139,[1]!Resources[Unique Key],$G162,[1]!Resources[Summer Rating],"&gt;"&amp;0),2),0)*L100/10^6</f>
        <v>28.84</v>
      </c>
      <c r="M162" s="6">
        <f>IFERROR(ROUND(AVERAGEIFS([1]!Resources[Fixed O&amp;M Cost],[1]!Resources[COD],"&lt;="&amp;M$139,[1]!Resources[Retirement Date],"&gt;="&amp;M$139,[1]!Resources[Unique Key],$G162,[1]!Resources[Summer Rating],"&gt;"&amp;0),2),0)*M100/10^6</f>
        <v>28.84</v>
      </c>
      <c r="N162" s="6">
        <f>IFERROR(ROUND(AVERAGEIFS([1]!Resources[Fixed O&amp;M Cost],[1]!Resources[COD],"&lt;="&amp;N$139,[1]!Resources[Retirement Date],"&gt;="&amp;N$139,[1]!Resources[Unique Key],$G162,[1]!Resources[Summer Rating],"&gt;"&amp;0),2),0)*N100/10^6</f>
        <v>28.84</v>
      </c>
      <c r="O162" s="6">
        <f>IFERROR(ROUND(AVERAGEIFS([1]!Resources[Fixed O&amp;M Cost],[1]!Resources[COD],"&lt;="&amp;O$139,[1]!Resources[Retirement Date],"&gt;="&amp;O$139,[1]!Resources[Unique Key],$G162,[1]!Resources[Summer Rating],"&gt;"&amp;0),2),0)*O100/10^6</f>
        <v>28.84</v>
      </c>
      <c r="P162" s="6">
        <f>IFERROR(ROUND(AVERAGEIFS([1]!Resources[Fixed O&amp;M Cost],[1]!Resources[COD],"&lt;="&amp;P$139,[1]!Resources[Retirement Date],"&gt;="&amp;P$139,[1]!Resources[Unique Key],$G162,[1]!Resources[Summer Rating],"&gt;"&amp;0),2),0)*P100/10^6</f>
        <v>28.84</v>
      </c>
      <c r="Q162" s="6">
        <f>IFERROR(ROUND(AVERAGEIFS([1]!Resources[Fixed O&amp;M Cost],[1]!Resources[COD],"&lt;="&amp;Q$139,[1]!Resources[Retirement Date],"&gt;="&amp;Q$139,[1]!Resources[Unique Key],$G162,[1]!Resources[Summer Rating],"&gt;"&amp;0),2),0)*Q100/10^6</f>
        <v>28.84</v>
      </c>
      <c r="R162" s="6">
        <f>IFERROR(ROUND(AVERAGEIFS([1]!Resources[Fixed O&amp;M Cost],[1]!Resources[COD],"&lt;="&amp;R$139,[1]!Resources[Retirement Date],"&gt;="&amp;R$139,[1]!Resources[Unique Key],$G162,[1]!Resources[Summer Rating],"&gt;"&amp;0),2),0)*R100/10^6</f>
        <v>28.84</v>
      </c>
      <c r="S162" s="6">
        <f>IFERROR(ROUND(AVERAGEIFS([1]!Resources[Fixed O&amp;M Cost],[1]!Resources[COD],"&lt;="&amp;S$139,[1]!Resources[Retirement Date],"&gt;="&amp;S$139,[1]!Resources[Unique Key],$G162,[1]!Resources[Summer Rating],"&gt;"&amp;0),2),0)*S100/10^6</f>
        <v>0</v>
      </c>
      <c r="T162" s="6">
        <f>IFERROR(ROUND(AVERAGEIFS([1]!Resources[Fixed O&amp;M Cost],[1]!Resources[COD],"&lt;="&amp;T$139,[1]!Resources[Retirement Date],"&gt;="&amp;T$139,[1]!Resources[Unique Key],$G162,[1]!Resources[Summer Rating],"&gt;"&amp;0),2),0)*T100/10^6</f>
        <v>0</v>
      </c>
      <c r="U162" s="6">
        <f>IFERROR(ROUND(AVERAGEIFS([1]!Resources[Fixed O&amp;M Cost],[1]!Resources[COD],"&lt;="&amp;U$139,[1]!Resources[Retirement Date],"&gt;="&amp;U$139,[1]!Resources[Unique Key],$G162,[1]!Resources[Summer Rating],"&gt;"&amp;0),2),0)*U100/10^6</f>
        <v>0</v>
      </c>
      <c r="V162" s="6">
        <f>IFERROR(ROUND(AVERAGEIFS([1]!Resources[Fixed O&amp;M Cost],[1]!Resources[COD],"&lt;="&amp;V$139,[1]!Resources[Retirement Date],"&gt;="&amp;V$139,[1]!Resources[Unique Key],$G162,[1]!Resources[Summer Rating],"&gt;"&amp;0),2),0)*V100/10^6</f>
        <v>0</v>
      </c>
      <c r="W162" s="6">
        <f>IFERROR(ROUND(AVERAGEIFS([1]!Resources[Fixed O&amp;M Cost],[1]!Resources[COD],"&lt;="&amp;W$139,[1]!Resources[Retirement Date],"&gt;="&amp;W$139,[1]!Resources[Unique Key],$G162,[1]!Resources[Summer Rating],"&gt;"&amp;0),2),0)*W100/10^6</f>
        <v>0</v>
      </c>
      <c r="X162" s="6">
        <f>IFERROR(ROUND(AVERAGEIFS([1]!Resources[Fixed O&amp;M Cost],[1]!Resources[COD],"&lt;="&amp;X$139,[1]!Resources[Retirement Date],"&gt;="&amp;X$139,[1]!Resources[Unique Key],$G162,[1]!Resources[Summer Rating],"&gt;"&amp;0),2),0)*X100/10^6</f>
        <v>0</v>
      </c>
      <c r="Y162" s="6">
        <f>IFERROR(ROUND(AVERAGEIFS([1]!Resources[Fixed O&amp;M Cost],[1]!Resources[COD],"&lt;="&amp;Y$139,[1]!Resources[Retirement Date],"&gt;="&amp;Y$139,[1]!Resources[Unique Key],$G162,[1]!Resources[Summer Rating],"&gt;"&amp;0),2),0)*Y100/10^6</f>
        <v>0</v>
      </c>
      <c r="Z162" s="6">
        <f>IFERROR(ROUND(AVERAGEIFS([1]!Resources[Fixed O&amp;M Cost],[1]!Resources[COD],"&lt;="&amp;Z$139,[1]!Resources[Retirement Date],"&gt;="&amp;Z$139,[1]!Resources[Unique Key],$G162,[1]!Resources[Summer Rating],"&gt;"&amp;0),2),0)*Z100/10^6</f>
        <v>0</v>
      </c>
      <c r="AA162" s="6">
        <f>IFERROR(ROUND(AVERAGEIFS([1]!Resources[Fixed O&amp;M Cost],[1]!Resources[COD],"&lt;="&amp;AA$139,[1]!Resources[Retirement Date],"&gt;="&amp;AA$139,[1]!Resources[Unique Key],$G162,[1]!Resources[Summer Rating],"&gt;"&amp;0),2),0)*AA100/10^6</f>
        <v>0</v>
      </c>
      <c r="AB162" s="6">
        <f>IFERROR(ROUND(AVERAGEIFS([1]!Resources[Fixed O&amp;M Cost],[1]!Resources[COD],"&lt;="&amp;AB$139,[1]!Resources[Retirement Date],"&gt;="&amp;AB$139,[1]!Resources[Unique Key],$G162,[1]!Resources[Summer Rating],"&gt;"&amp;0),2),0)*AB100/10^6</f>
        <v>0</v>
      </c>
      <c r="AC162" s="6">
        <f>IFERROR(ROUND(AVERAGEIFS([1]!Resources[Fixed O&amp;M Cost],[1]!Resources[COD],"&lt;="&amp;AC$139,[1]!Resources[Retirement Date],"&gt;="&amp;AC$139,[1]!Resources[Unique Key],$G162,[1]!Resources[Summer Rating],"&gt;"&amp;0),2),0)*AC100/10^6</f>
        <v>0</v>
      </c>
      <c r="AD162" s="6">
        <f>IFERROR(ROUND(AVERAGEIFS([1]!Resources[Fixed O&amp;M Cost],[1]!Resources[COD],"&lt;="&amp;AD$139,[1]!Resources[Retirement Date],"&gt;="&amp;AD$139,[1]!Resources[Unique Key],$G162,[1]!Resources[Summer Rating],"&gt;"&amp;0),2),0)*AD100/10^6</f>
        <v>0</v>
      </c>
      <c r="AE162" s="6">
        <f>IFERROR(ROUND(AVERAGEIFS([1]!Resources[Fixed O&amp;M Cost],[1]!Resources[COD],"&lt;="&amp;AE$139,[1]!Resources[Retirement Date],"&gt;="&amp;AE$139,[1]!Resources[Unique Key],$G162,[1]!Resources[Summer Rating],"&gt;"&amp;0),2),0)*AE100/10^6</f>
        <v>0</v>
      </c>
      <c r="AF162" s="6">
        <f>IFERROR(ROUND(AVERAGEIFS([1]!Resources[Fixed O&amp;M Cost],[1]!Resources[COD],"&lt;="&amp;AF$139,[1]!Resources[Retirement Date],"&gt;="&amp;AF$139,[1]!Resources[Unique Key],$G162,[1]!Resources[Summer Rating],"&gt;"&amp;0),2),0)*AF100/10^6</f>
        <v>0</v>
      </c>
      <c r="AG162" s="6">
        <f>IFERROR(ROUND(AVERAGEIFS([1]!Resources[Fixed O&amp;M Cost],[1]!Resources[COD],"&lt;="&amp;AG$139,[1]!Resources[Retirement Date],"&gt;="&amp;AG$139,[1]!Resources[Unique Key],$G162,[1]!Resources[Summer Rating],"&gt;"&amp;0),2),0)*AG100/10^6</f>
        <v>0</v>
      </c>
      <c r="AI162" s="5" t="s">
        <v>66</v>
      </c>
      <c r="AJ162" s="6" cm="1">
        <f t="array" ref="AJ162">IFERROR(INDEX(AJ$174:AJ$175,MATCH(_xlfn.TEXTAFTER(INDEX($F$78:$F$129,MATCH($AI162,$G$78:$G$129,0))," "),_xlfn.TEXTBEFORE($AI$174:$AI$175," - ")),0),0)</f>
        <v>0</v>
      </c>
      <c r="AK162" s="6" cm="1">
        <f t="array" ref="AK162">IFERROR(INDEX(AK$174:AK$175,MATCH(_xlfn.TEXTAFTER(INDEX($F$78:$F$129,MATCH($AI162,$G$78:$G$129,0))," "),_xlfn.TEXTBEFORE($AI$174:$AI$175," - ")),0),0)</f>
        <v>0</v>
      </c>
      <c r="AL162" s="6" cm="1">
        <f t="array" ref="AL162">IFERROR(INDEX(AL$174:AL$175,MATCH(_xlfn.TEXTAFTER(INDEX($F$78:$F$129,MATCH($AI162,$G$78:$G$129,0))," "),_xlfn.TEXTBEFORE($AI$174:$AI$175," - ")),0),0)</f>
        <v>0</v>
      </c>
      <c r="AM162" s="6" cm="1">
        <f t="array" ref="AM162">IFERROR(INDEX(AM$174:AM$175,MATCH(_xlfn.TEXTAFTER(INDEX($F$78:$F$129,MATCH($AI162,$G$78:$G$129,0))," "),_xlfn.TEXTBEFORE($AI$174:$AI$175," - ")),0),0)</f>
        <v>0</v>
      </c>
      <c r="AN162" s="6" cm="1">
        <f t="array" ref="AN162">IFERROR(INDEX(AN$174:AN$175,MATCH(_xlfn.TEXTAFTER(INDEX($F$78:$F$129,MATCH($AI162,$G$78:$G$129,0))," "),_xlfn.TEXTBEFORE($AI$174:$AI$175," - ")),0),0)</f>
        <v>0</v>
      </c>
      <c r="AO162" s="6" cm="1">
        <f t="array" ref="AO162">IFERROR(INDEX(AO$174:AO$175,MATCH(_xlfn.TEXTAFTER(INDEX($F$78:$F$129,MATCH($AI162,$G$78:$G$129,0))," "),_xlfn.TEXTBEFORE($AI$174:$AI$175," - ")),0),0)</f>
        <v>0</v>
      </c>
      <c r="AP162" s="6" cm="1">
        <f t="array" ref="AP162">IFERROR(INDEX(AP$174:AP$175,MATCH(_xlfn.TEXTAFTER(INDEX($F$78:$F$129,MATCH($AI162,$G$78:$G$129,0))," "),_xlfn.TEXTBEFORE($AI$174:$AI$175," - ")),0),0)</f>
        <v>0</v>
      </c>
      <c r="AQ162" s="6" cm="1">
        <f t="array" ref="AQ162">IFERROR(INDEX(AQ$174:AQ$175,MATCH(_xlfn.TEXTAFTER(INDEX($F$78:$F$129,MATCH($AI162,$G$78:$G$129,0))," "),_xlfn.TEXTBEFORE($AI$174:$AI$175," - ")),0),0)</f>
        <v>0</v>
      </c>
      <c r="AR162" s="6" cm="1">
        <f t="array" ref="AR162">IFERROR(INDEX(AR$174:AR$175,MATCH(_xlfn.TEXTAFTER(INDEX($F$78:$F$129,MATCH($AI162,$G$78:$G$129,0))," "),_xlfn.TEXTBEFORE($AI$174:$AI$175," - ")),0),0)</f>
        <v>0</v>
      </c>
      <c r="AS162" s="6" cm="1">
        <f t="array" ref="AS162">IFERROR(INDEX(AS$174:AS$175,MATCH(_xlfn.TEXTAFTER(INDEX($F$78:$F$129,MATCH($AI162,$G$78:$G$129,0))," "),_xlfn.TEXTBEFORE($AI$174:$AI$175," - ")),0),0)</f>
        <v>0</v>
      </c>
      <c r="AT162" s="6" cm="1">
        <f t="array" ref="AT162">IFERROR(INDEX(AT$174:AT$175,MATCH(_xlfn.TEXTAFTER(INDEX($F$78:$F$129,MATCH($AI162,$G$78:$G$129,0))," "),_xlfn.TEXTBEFORE($AI$174:$AI$175," - ")),0),0)</f>
        <v>0</v>
      </c>
      <c r="AU162" s="6" cm="1">
        <f t="array" ref="AU162">IFERROR(INDEX(AU$174:AU$175,MATCH(_xlfn.TEXTAFTER(INDEX($F$78:$F$129,MATCH($AI162,$G$78:$G$129,0))," "),_xlfn.TEXTBEFORE($AI$174:$AI$175," - ")),0),0)</f>
        <v>0</v>
      </c>
      <c r="AV162" s="6" cm="1">
        <f t="array" ref="AV162">IFERROR(INDEX(AV$174:AV$175,MATCH(_xlfn.TEXTAFTER(INDEX($F$78:$F$129,MATCH($AI162,$G$78:$G$129,0))," "),_xlfn.TEXTBEFORE($AI$174:$AI$175," - ")),0),0)</f>
        <v>0</v>
      </c>
      <c r="AW162" s="6" cm="1">
        <f t="array" ref="AW162">IFERROR(INDEX(AW$174:AW$175,MATCH(_xlfn.TEXTAFTER(INDEX($F$78:$F$129,MATCH($AI162,$G$78:$G$129,0))," "),_xlfn.TEXTBEFORE($AI$174:$AI$175," - ")),0),0)</f>
        <v>0</v>
      </c>
      <c r="AX162" s="6" cm="1">
        <f t="array" ref="AX162">IFERROR(INDEX(AX$174:AX$175,MATCH(_xlfn.TEXTAFTER(INDEX($F$78:$F$129,MATCH($AI162,$G$78:$G$129,0))," "),_xlfn.TEXTBEFORE($AI$174:$AI$175," - ")),0),0)</f>
        <v>0</v>
      </c>
      <c r="AY162" s="6" cm="1">
        <f t="array" ref="AY162">IFERROR(INDEX(AY$174:AY$175,MATCH(_xlfn.TEXTAFTER(INDEX($F$78:$F$129,MATCH($AI162,$G$78:$G$129,0))," "),_xlfn.TEXTBEFORE($AI$174:$AI$175," - ")),0),0)</f>
        <v>0</v>
      </c>
      <c r="AZ162" s="6" cm="1">
        <f t="array" ref="AZ162">IFERROR(INDEX(AZ$174:AZ$175,MATCH(_xlfn.TEXTAFTER(INDEX($F$78:$F$129,MATCH($AI162,$G$78:$G$129,0))," "),_xlfn.TEXTBEFORE($AI$174:$AI$175," - ")),0),0)</f>
        <v>0</v>
      </c>
      <c r="BA162" s="6" cm="1">
        <f t="array" ref="BA162">IFERROR(INDEX(BA$174:BA$175,MATCH(_xlfn.TEXTAFTER(INDEX($F$78:$F$129,MATCH($AI162,$G$78:$G$129,0))," "),_xlfn.TEXTBEFORE($AI$174:$AI$175," - ")),0),0)</f>
        <v>0</v>
      </c>
      <c r="BB162" s="6" cm="1">
        <f t="array" ref="BB162">IFERROR(INDEX(BB$174:BB$175,MATCH(_xlfn.TEXTAFTER(INDEX($F$78:$F$129,MATCH($AI162,$G$78:$G$129,0))," "),_xlfn.TEXTBEFORE($AI$174:$AI$175," - ")),0),0)</f>
        <v>0</v>
      </c>
      <c r="BC162" s="6" cm="1">
        <f t="array" ref="BC162">IFERROR(INDEX(BC$174:BC$175,MATCH(_xlfn.TEXTAFTER(INDEX($F$78:$F$129,MATCH($AI162,$G$78:$G$129,0))," "),_xlfn.TEXTBEFORE($AI$174:$AI$175," - ")),0),0)</f>
        <v>0</v>
      </c>
      <c r="BD162" s="6" cm="1">
        <f t="array" ref="BD162">IFERROR(INDEX(BD$174:BD$175,MATCH(_xlfn.TEXTAFTER(INDEX($F$78:$F$129,MATCH($AI162,$G$78:$G$129,0))," "),_xlfn.TEXTBEFORE($AI$174:$AI$175," - ")),0),0)</f>
        <v>0</v>
      </c>
      <c r="BE162" s="6" cm="1">
        <f t="array" ref="BE162">IFERROR(INDEX(BE$174:BE$175,MATCH(_xlfn.TEXTAFTER(INDEX($F$78:$F$129,MATCH($AI162,$G$78:$G$129,0))," "),_xlfn.TEXTBEFORE($AI$174:$AI$175," - ")),0),0)</f>
        <v>0</v>
      </c>
      <c r="BF162" s="6" cm="1">
        <f t="array" ref="BF162">IFERROR(INDEX(BF$174:BF$175,MATCH(_xlfn.TEXTAFTER(INDEX($F$78:$F$129,MATCH($AI162,$G$78:$G$129,0))," "),_xlfn.TEXTBEFORE($AI$174:$AI$175," - ")),0),0)</f>
        <v>0</v>
      </c>
      <c r="BG162" s="6" cm="1">
        <f t="array" ref="BG162">IFERROR(INDEX(BG$174:BG$175,MATCH(_xlfn.TEXTAFTER(INDEX($F$78:$F$129,MATCH($AI162,$G$78:$G$129,0))," "),_xlfn.TEXTBEFORE($AI$174:$AI$175," - ")),0),0)</f>
        <v>0</v>
      </c>
      <c r="BH162" s="6" cm="1">
        <f t="array" ref="BH162">IFERROR(INDEX(BH$174:BH$175,MATCH(_xlfn.TEXTAFTER(INDEX($F$78:$F$129,MATCH($AI162,$G$78:$G$129,0))," "),_xlfn.TEXTBEFORE($AI$174:$AI$175," - ")),0),0)</f>
        <v>0</v>
      </c>
      <c r="BI162" s="6" cm="1">
        <f t="array" ref="BI162">IFERROR(INDEX(BI$174:BI$175,MATCH(_xlfn.TEXTAFTER(INDEX($F$78:$F$129,MATCH($AI162,$G$78:$G$129,0))," "),_xlfn.TEXTBEFORE($AI$174:$AI$175," - ")),0),0)</f>
        <v>0</v>
      </c>
    </row>
    <row r="163" spans="7:61" ht="16" x14ac:dyDescent="0.2">
      <c r="G163" s="5" t="s">
        <v>67</v>
      </c>
      <c r="H163" s="6">
        <f>IFERROR(ROUND(AVERAGEIFS([1]!Resources[Fixed O&amp;M Cost],[1]!Resources[COD],"&lt;="&amp;H$139,[1]!Resources[Retirement Date],"&gt;="&amp;H$139,[1]!Resources[Unique Key],$G163,[1]!Resources[Summer Rating],"&gt;"&amp;0),2),0)*H101/10^6</f>
        <v>15.7798</v>
      </c>
      <c r="I163" s="6">
        <f>IFERROR(ROUND(AVERAGEIFS([1]!Resources[Fixed O&amp;M Cost],[1]!Resources[COD],"&lt;="&amp;I$139,[1]!Resources[Retirement Date],"&gt;="&amp;I$139,[1]!Resources[Unique Key],$G163,[1]!Resources[Summer Rating],"&gt;"&amp;0),2),0)*I101/10^6</f>
        <v>15.7798</v>
      </c>
      <c r="J163" s="6">
        <f>IFERROR(ROUND(AVERAGEIFS([1]!Resources[Fixed O&amp;M Cost],[1]!Resources[COD],"&lt;="&amp;J$139,[1]!Resources[Retirement Date],"&gt;="&amp;J$139,[1]!Resources[Unique Key],$G163,[1]!Resources[Summer Rating],"&gt;"&amp;0),2),0)*J101/10^6</f>
        <v>15.7798</v>
      </c>
      <c r="K163" s="6">
        <f>IFERROR(ROUND(AVERAGEIFS([1]!Resources[Fixed O&amp;M Cost],[1]!Resources[COD],"&lt;="&amp;K$139,[1]!Resources[Retirement Date],"&gt;="&amp;K$139,[1]!Resources[Unique Key],$G163,[1]!Resources[Summer Rating],"&gt;"&amp;0),2),0)*K101/10^6</f>
        <v>15.7798</v>
      </c>
      <c r="L163" s="6">
        <f>IFERROR(ROUND(AVERAGEIFS([1]!Resources[Fixed O&amp;M Cost],[1]!Resources[COD],"&lt;="&amp;L$139,[1]!Resources[Retirement Date],"&gt;="&amp;L$139,[1]!Resources[Unique Key],$G163,[1]!Resources[Summer Rating],"&gt;"&amp;0),2),0)*L101/10^6</f>
        <v>15.7798</v>
      </c>
      <c r="M163" s="6">
        <f>IFERROR(ROUND(AVERAGEIFS([1]!Resources[Fixed O&amp;M Cost],[1]!Resources[COD],"&lt;="&amp;M$139,[1]!Resources[Retirement Date],"&gt;="&amp;M$139,[1]!Resources[Unique Key],$G163,[1]!Resources[Summer Rating],"&gt;"&amp;0),2),0)*M101/10^6</f>
        <v>15.7798</v>
      </c>
      <c r="N163" s="6">
        <f>IFERROR(ROUND(AVERAGEIFS([1]!Resources[Fixed O&amp;M Cost],[1]!Resources[COD],"&lt;="&amp;N$139,[1]!Resources[Retirement Date],"&gt;="&amp;N$139,[1]!Resources[Unique Key],$G163,[1]!Resources[Summer Rating],"&gt;"&amp;0),2),0)*N101/10^6</f>
        <v>15.7798</v>
      </c>
      <c r="O163" s="6">
        <f>IFERROR(ROUND(AVERAGEIFS([1]!Resources[Fixed O&amp;M Cost],[1]!Resources[COD],"&lt;="&amp;O$139,[1]!Resources[Retirement Date],"&gt;="&amp;O$139,[1]!Resources[Unique Key],$G163,[1]!Resources[Summer Rating],"&gt;"&amp;0),2),0)*O101/10^6</f>
        <v>15.7798</v>
      </c>
      <c r="P163" s="6">
        <f>IFERROR(ROUND(AVERAGEIFS([1]!Resources[Fixed O&amp;M Cost],[1]!Resources[COD],"&lt;="&amp;P$139,[1]!Resources[Retirement Date],"&gt;="&amp;P$139,[1]!Resources[Unique Key],$G163,[1]!Resources[Summer Rating],"&gt;"&amp;0),2),0)*P101/10^6</f>
        <v>15.7798</v>
      </c>
      <c r="Q163" s="6">
        <f>IFERROR(ROUND(AVERAGEIFS([1]!Resources[Fixed O&amp;M Cost],[1]!Resources[COD],"&lt;="&amp;Q$139,[1]!Resources[Retirement Date],"&gt;="&amp;Q$139,[1]!Resources[Unique Key],$G163,[1]!Resources[Summer Rating],"&gt;"&amp;0),2),0)*Q101/10^6</f>
        <v>15.7798</v>
      </c>
      <c r="R163" s="6">
        <f>IFERROR(ROUND(AVERAGEIFS([1]!Resources[Fixed O&amp;M Cost],[1]!Resources[COD],"&lt;="&amp;R$139,[1]!Resources[Retirement Date],"&gt;="&amp;R$139,[1]!Resources[Unique Key],$G163,[1]!Resources[Summer Rating],"&gt;"&amp;0),2),0)*R101/10^6</f>
        <v>15.7798</v>
      </c>
      <c r="S163" s="6">
        <f>IFERROR(ROUND(AVERAGEIFS([1]!Resources[Fixed O&amp;M Cost],[1]!Resources[COD],"&lt;="&amp;S$139,[1]!Resources[Retirement Date],"&gt;="&amp;S$139,[1]!Resources[Unique Key],$G163,[1]!Resources[Summer Rating],"&gt;"&amp;0),2),0)*S101/10^6</f>
        <v>15.7798</v>
      </c>
      <c r="T163" s="6">
        <f>IFERROR(ROUND(AVERAGEIFS([1]!Resources[Fixed O&amp;M Cost],[1]!Resources[COD],"&lt;="&amp;T$139,[1]!Resources[Retirement Date],"&gt;="&amp;T$139,[1]!Resources[Unique Key],$G163,[1]!Resources[Summer Rating],"&gt;"&amp;0),2),0)*T101/10^6</f>
        <v>15.7798</v>
      </c>
      <c r="U163" s="6">
        <f>IFERROR(ROUND(AVERAGEIFS([1]!Resources[Fixed O&amp;M Cost],[1]!Resources[COD],"&lt;="&amp;U$139,[1]!Resources[Retirement Date],"&gt;="&amp;U$139,[1]!Resources[Unique Key],$G163,[1]!Resources[Summer Rating],"&gt;"&amp;0),2),0)*U101/10^6</f>
        <v>15.7798</v>
      </c>
      <c r="V163" s="6">
        <f>IFERROR(ROUND(AVERAGEIFS([1]!Resources[Fixed O&amp;M Cost],[1]!Resources[COD],"&lt;="&amp;V$139,[1]!Resources[Retirement Date],"&gt;="&amp;V$139,[1]!Resources[Unique Key],$G163,[1]!Resources[Summer Rating],"&gt;"&amp;0),2),0)*V101/10^6</f>
        <v>15.7798</v>
      </c>
      <c r="W163" s="6">
        <f>IFERROR(ROUND(AVERAGEIFS([1]!Resources[Fixed O&amp;M Cost],[1]!Resources[COD],"&lt;="&amp;W$139,[1]!Resources[Retirement Date],"&gt;="&amp;W$139,[1]!Resources[Unique Key],$G163,[1]!Resources[Summer Rating],"&gt;"&amp;0),2),0)*W101/10^6</f>
        <v>15.7798</v>
      </c>
      <c r="X163" s="6">
        <f>IFERROR(ROUND(AVERAGEIFS([1]!Resources[Fixed O&amp;M Cost],[1]!Resources[COD],"&lt;="&amp;X$139,[1]!Resources[Retirement Date],"&gt;="&amp;X$139,[1]!Resources[Unique Key],$G163,[1]!Resources[Summer Rating],"&gt;"&amp;0),2),0)*X101/10^6</f>
        <v>15.7798</v>
      </c>
      <c r="Y163" s="6">
        <f>IFERROR(ROUND(AVERAGEIFS([1]!Resources[Fixed O&amp;M Cost],[1]!Resources[COD],"&lt;="&amp;Y$139,[1]!Resources[Retirement Date],"&gt;="&amp;Y$139,[1]!Resources[Unique Key],$G163,[1]!Resources[Summer Rating],"&gt;"&amp;0),2),0)*Y101/10^6</f>
        <v>15.7798</v>
      </c>
      <c r="Z163" s="6">
        <f>IFERROR(ROUND(AVERAGEIFS([1]!Resources[Fixed O&amp;M Cost],[1]!Resources[COD],"&lt;="&amp;Z$139,[1]!Resources[Retirement Date],"&gt;="&amp;Z$139,[1]!Resources[Unique Key],$G163,[1]!Resources[Summer Rating],"&gt;"&amp;0),2),0)*Z101/10^6</f>
        <v>15.7798</v>
      </c>
      <c r="AA163" s="6">
        <f>IFERROR(ROUND(AVERAGEIFS([1]!Resources[Fixed O&amp;M Cost],[1]!Resources[COD],"&lt;="&amp;AA$139,[1]!Resources[Retirement Date],"&gt;="&amp;AA$139,[1]!Resources[Unique Key],$G163,[1]!Resources[Summer Rating],"&gt;"&amp;0),2),0)*AA101/10^6</f>
        <v>15.7798</v>
      </c>
      <c r="AB163" s="6">
        <f>IFERROR(ROUND(AVERAGEIFS([1]!Resources[Fixed O&amp;M Cost],[1]!Resources[COD],"&lt;="&amp;AB$139,[1]!Resources[Retirement Date],"&gt;="&amp;AB$139,[1]!Resources[Unique Key],$G163,[1]!Resources[Summer Rating],"&gt;"&amp;0),2),0)*AB101/10^6</f>
        <v>15.7798</v>
      </c>
      <c r="AC163" s="6">
        <f>IFERROR(ROUND(AVERAGEIFS([1]!Resources[Fixed O&amp;M Cost],[1]!Resources[COD],"&lt;="&amp;AC$139,[1]!Resources[Retirement Date],"&gt;="&amp;AC$139,[1]!Resources[Unique Key],$G163,[1]!Resources[Summer Rating],"&gt;"&amp;0),2),0)*AC101/10^6</f>
        <v>15.7798</v>
      </c>
      <c r="AD163" s="6">
        <f>IFERROR(ROUND(AVERAGEIFS([1]!Resources[Fixed O&amp;M Cost],[1]!Resources[COD],"&lt;="&amp;AD$139,[1]!Resources[Retirement Date],"&gt;="&amp;AD$139,[1]!Resources[Unique Key],$G163,[1]!Resources[Summer Rating],"&gt;"&amp;0),2),0)*AD101/10^6</f>
        <v>15.7798</v>
      </c>
      <c r="AE163" s="6">
        <f>IFERROR(ROUND(AVERAGEIFS([1]!Resources[Fixed O&amp;M Cost],[1]!Resources[COD],"&lt;="&amp;AE$139,[1]!Resources[Retirement Date],"&gt;="&amp;AE$139,[1]!Resources[Unique Key],$G163,[1]!Resources[Summer Rating],"&gt;"&amp;0),2),0)*AE101/10^6</f>
        <v>15.7798</v>
      </c>
      <c r="AF163" s="6">
        <f>IFERROR(ROUND(AVERAGEIFS([1]!Resources[Fixed O&amp;M Cost],[1]!Resources[COD],"&lt;="&amp;AF$139,[1]!Resources[Retirement Date],"&gt;="&amp;AF$139,[1]!Resources[Unique Key],$G163,[1]!Resources[Summer Rating],"&gt;"&amp;0),2),0)*AF101/10^6</f>
        <v>15.7798</v>
      </c>
      <c r="AG163" s="6">
        <f>IFERROR(ROUND(AVERAGEIFS([1]!Resources[Fixed O&amp;M Cost],[1]!Resources[COD],"&lt;="&amp;AG$139,[1]!Resources[Retirement Date],"&gt;="&amp;AG$139,[1]!Resources[Unique Key],$G163,[1]!Resources[Summer Rating],"&gt;"&amp;0),2),0)*AG101/10^6</f>
        <v>15.7798</v>
      </c>
      <c r="AI163" s="5" t="s">
        <v>67</v>
      </c>
      <c r="AJ163" s="6" cm="1">
        <f t="array" ref="AJ163">IFERROR(INDEX(AJ$174:AJ$175,MATCH(_xlfn.TEXTAFTER(INDEX($F$78:$F$129,MATCH($AI163,$G$78:$G$129,0))," "),_xlfn.TEXTBEFORE($AI$174:$AI$175," - ")),0),0)</f>
        <v>92503.140684153317</v>
      </c>
      <c r="AK163" s="6" cm="1">
        <f t="array" ref="AK163">IFERROR(INDEX(AK$174:AK$175,MATCH(_xlfn.TEXTAFTER(INDEX($F$78:$F$129,MATCH($AI163,$G$78:$G$129,0))," "),_xlfn.TEXTBEFORE($AI$174:$AI$175," - ")),0),0)</f>
        <v>92503.140684153317</v>
      </c>
      <c r="AL163" s="6" cm="1">
        <f t="array" ref="AL163">IFERROR(INDEX(AL$174:AL$175,MATCH(_xlfn.TEXTAFTER(INDEX($F$78:$F$129,MATCH($AI163,$G$78:$G$129,0))," "),_xlfn.TEXTBEFORE($AI$174:$AI$175," - ")),0),0)</f>
        <v>92503.140684153317</v>
      </c>
      <c r="AM163" s="6" cm="1">
        <f t="array" ref="AM163">IFERROR(INDEX(AM$174:AM$175,MATCH(_xlfn.TEXTAFTER(INDEX($F$78:$F$129,MATCH($AI163,$G$78:$G$129,0))," "),_xlfn.TEXTBEFORE($AI$174:$AI$175," - ")),0),0)</f>
        <v>92503.140684153317</v>
      </c>
      <c r="AN163" s="6" cm="1">
        <f t="array" ref="AN163">IFERROR(INDEX(AN$174:AN$175,MATCH(_xlfn.TEXTAFTER(INDEX($F$78:$F$129,MATCH($AI163,$G$78:$G$129,0))," "),_xlfn.TEXTBEFORE($AI$174:$AI$175," - ")),0),0)</f>
        <v>92503.140684153317</v>
      </c>
      <c r="AO163" s="6" cm="1">
        <f t="array" ref="AO163">IFERROR(INDEX(AO$174:AO$175,MATCH(_xlfn.TEXTAFTER(INDEX($F$78:$F$129,MATCH($AI163,$G$78:$G$129,0))," "),_xlfn.TEXTBEFORE($AI$174:$AI$175," - ")),0),0)</f>
        <v>92503.140684153317</v>
      </c>
      <c r="AP163" s="6" cm="1">
        <f t="array" ref="AP163">IFERROR(INDEX(AP$174:AP$175,MATCH(_xlfn.TEXTAFTER(INDEX($F$78:$F$129,MATCH($AI163,$G$78:$G$129,0))," "),_xlfn.TEXTBEFORE($AI$174:$AI$175," - ")),0),0)</f>
        <v>92503.140684153317</v>
      </c>
      <c r="AQ163" s="6" cm="1">
        <f t="array" ref="AQ163">IFERROR(INDEX(AQ$174:AQ$175,MATCH(_xlfn.TEXTAFTER(INDEX($F$78:$F$129,MATCH($AI163,$G$78:$G$129,0))," "),_xlfn.TEXTBEFORE($AI$174:$AI$175," - ")),0),0)</f>
        <v>92503.140684153317</v>
      </c>
      <c r="AR163" s="6" cm="1">
        <f t="array" ref="AR163">IFERROR(INDEX(AR$174:AR$175,MATCH(_xlfn.TEXTAFTER(INDEX($F$78:$F$129,MATCH($AI163,$G$78:$G$129,0))," "),_xlfn.TEXTBEFORE($AI$174:$AI$175," - ")),0),0)</f>
        <v>92503.140684153317</v>
      </c>
      <c r="AS163" s="6" cm="1">
        <f t="array" ref="AS163">IFERROR(INDEX(AS$174:AS$175,MATCH(_xlfn.TEXTAFTER(INDEX($F$78:$F$129,MATCH($AI163,$G$78:$G$129,0))," "),_xlfn.TEXTBEFORE($AI$174:$AI$175," - ")),0),0)</f>
        <v>92503.140684153317</v>
      </c>
      <c r="AT163" s="6" cm="1">
        <f t="array" ref="AT163">IFERROR(INDEX(AT$174:AT$175,MATCH(_xlfn.TEXTAFTER(INDEX($F$78:$F$129,MATCH($AI163,$G$78:$G$129,0))," "),_xlfn.TEXTBEFORE($AI$174:$AI$175," - ")),0),0)</f>
        <v>92503.140684153317</v>
      </c>
      <c r="AU163" s="6" cm="1">
        <f t="array" ref="AU163">IFERROR(INDEX(AU$174:AU$175,MATCH(_xlfn.TEXTAFTER(INDEX($F$78:$F$129,MATCH($AI163,$G$78:$G$129,0))," "),_xlfn.TEXTBEFORE($AI$174:$AI$175," - ")),0),0)</f>
        <v>92503.140684153317</v>
      </c>
      <c r="AV163" s="6" cm="1">
        <f t="array" ref="AV163">IFERROR(INDEX(AV$174:AV$175,MATCH(_xlfn.TEXTAFTER(INDEX($F$78:$F$129,MATCH($AI163,$G$78:$G$129,0))," "),_xlfn.TEXTBEFORE($AI$174:$AI$175," - ")),0),0)</f>
        <v>92503.140684153317</v>
      </c>
      <c r="AW163" s="6" cm="1">
        <f t="array" ref="AW163">IFERROR(INDEX(AW$174:AW$175,MATCH(_xlfn.TEXTAFTER(INDEX($F$78:$F$129,MATCH($AI163,$G$78:$G$129,0))," "),_xlfn.TEXTBEFORE($AI$174:$AI$175," - ")),0),0)</f>
        <v>92503.140684153317</v>
      </c>
      <c r="AX163" s="6" cm="1">
        <f t="array" ref="AX163">IFERROR(INDEX(AX$174:AX$175,MATCH(_xlfn.TEXTAFTER(INDEX($F$78:$F$129,MATCH($AI163,$G$78:$G$129,0))," "),_xlfn.TEXTBEFORE($AI$174:$AI$175," - ")),0),0)</f>
        <v>92503.140684153317</v>
      </c>
      <c r="AY163" s="6" cm="1">
        <f t="array" ref="AY163">IFERROR(INDEX(AY$174:AY$175,MATCH(_xlfn.TEXTAFTER(INDEX($F$78:$F$129,MATCH($AI163,$G$78:$G$129,0))," "),_xlfn.TEXTBEFORE($AI$174:$AI$175," - ")),0),0)</f>
        <v>92503.140684153317</v>
      </c>
      <c r="AZ163" s="6" cm="1">
        <f t="array" ref="AZ163">IFERROR(INDEX(AZ$174:AZ$175,MATCH(_xlfn.TEXTAFTER(INDEX($F$78:$F$129,MATCH($AI163,$G$78:$G$129,0))," "),_xlfn.TEXTBEFORE($AI$174:$AI$175," - ")),0),0)</f>
        <v>92503.140684153317</v>
      </c>
      <c r="BA163" s="6" cm="1">
        <f t="array" ref="BA163">IFERROR(INDEX(BA$174:BA$175,MATCH(_xlfn.TEXTAFTER(INDEX($F$78:$F$129,MATCH($AI163,$G$78:$G$129,0))," "),_xlfn.TEXTBEFORE($AI$174:$AI$175," - ")),0),0)</f>
        <v>92503.140684153317</v>
      </c>
      <c r="BB163" s="6" cm="1">
        <f t="array" ref="BB163">IFERROR(INDEX(BB$174:BB$175,MATCH(_xlfn.TEXTAFTER(INDEX($F$78:$F$129,MATCH($AI163,$G$78:$G$129,0))," "),_xlfn.TEXTBEFORE($AI$174:$AI$175," - ")),0),0)</f>
        <v>92503.140684153317</v>
      </c>
      <c r="BC163" s="6" cm="1">
        <f t="array" ref="BC163">IFERROR(INDEX(BC$174:BC$175,MATCH(_xlfn.TEXTAFTER(INDEX($F$78:$F$129,MATCH($AI163,$G$78:$G$129,0))," "),_xlfn.TEXTBEFORE($AI$174:$AI$175," - ")),0),0)</f>
        <v>92503.140684153317</v>
      </c>
      <c r="BD163" s="6" cm="1">
        <f t="array" ref="BD163">IFERROR(INDEX(BD$174:BD$175,MATCH(_xlfn.TEXTAFTER(INDEX($F$78:$F$129,MATCH($AI163,$G$78:$G$129,0))," "),_xlfn.TEXTBEFORE($AI$174:$AI$175," - ")),0),0)</f>
        <v>92503.140684153317</v>
      </c>
      <c r="BE163" s="6" cm="1">
        <f t="array" ref="BE163">IFERROR(INDEX(BE$174:BE$175,MATCH(_xlfn.TEXTAFTER(INDEX($F$78:$F$129,MATCH($AI163,$G$78:$G$129,0))," "),_xlfn.TEXTBEFORE($AI$174:$AI$175," - ")),0),0)</f>
        <v>92503.140684153317</v>
      </c>
      <c r="BF163" s="6" cm="1">
        <f t="array" ref="BF163">IFERROR(INDEX(BF$174:BF$175,MATCH(_xlfn.TEXTAFTER(INDEX($F$78:$F$129,MATCH($AI163,$G$78:$G$129,0))," "),_xlfn.TEXTBEFORE($AI$174:$AI$175," - ")),0),0)</f>
        <v>92503.140684153317</v>
      </c>
      <c r="BG163" s="6" cm="1">
        <f t="array" ref="BG163">IFERROR(INDEX(BG$174:BG$175,MATCH(_xlfn.TEXTAFTER(INDEX($F$78:$F$129,MATCH($AI163,$G$78:$G$129,0))," "),_xlfn.TEXTBEFORE($AI$174:$AI$175," - ")),0),0)</f>
        <v>92503.140684153317</v>
      </c>
      <c r="BH163" s="6" cm="1">
        <f t="array" ref="BH163">IFERROR(INDEX(BH$174:BH$175,MATCH(_xlfn.TEXTAFTER(INDEX($F$78:$F$129,MATCH($AI163,$G$78:$G$129,0))," "),_xlfn.TEXTBEFORE($AI$174:$AI$175," - ")),0),0)</f>
        <v>92503.140684153317</v>
      </c>
      <c r="BI163" s="6" cm="1">
        <f t="array" ref="BI163">IFERROR(INDEX(BI$174:BI$175,MATCH(_xlfn.TEXTAFTER(INDEX($F$78:$F$129,MATCH($AI163,$G$78:$G$129,0))," "),_xlfn.TEXTBEFORE($AI$174:$AI$175," - ")),0),0)</f>
        <v>92503.140684153317</v>
      </c>
    </row>
    <row r="164" spans="7:61" ht="16" x14ac:dyDescent="0.2">
      <c r="G164" s="5" t="s">
        <v>68</v>
      </c>
      <c r="H164" s="6">
        <f>IFERROR(ROUND(AVERAGEIFS([1]!Resources[Fixed O&amp;M Cost],[1]!Resources[COD],"&lt;="&amp;H$139,[1]!Resources[Retirement Date],"&gt;="&amp;H$139,[1]!Resources[Unique Key],$G164,[1]!Resources[Summer Rating],"&gt;"&amp;0),2),0)*H102/10^6</f>
        <v>7.5044000000000004</v>
      </c>
      <c r="I164" s="6">
        <f>IFERROR(ROUND(AVERAGEIFS([1]!Resources[Fixed O&amp;M Cost],[1]!Resources[COD],"&lt;="&amp;I$139,[1]!Resources[Retirement Date],"&gt;="&amp;I$139,[1]!Resources[Unique Key],$G164,[1]!Resources[Summer Rating],"&gt;"&amp;0),2),0)*I102/10^6</f>
        <v>7.5044000000000004</v>
      </c>
      <c r="J164" s="6">
        <f>IFERROR(ROUND(AVERAGEIFS([1]!Resources[Fixed O&amp;M Cost],[1]!Resources[COD],"&lt;="&amp;J$139,[1]!Resources[Retirement Date],"&gt;="&amp;J$139,[1]!Resources[Unique Key],$G164,[1]!Resources[Summer Rating],"&gt;"&amp;0),2),0)*J102/10^6</f>
        <v>7.5044000000000004</v>
      </c>
      <c r="K164" s="6">
        <f>IFERROR(ROUND(AVERAGEIFS([1]!Resources[Fixed O&amp;M Cost],[1]!Resources[COD],"&lt;="&amp;K$139,[1]!Resources[Retirement Date],"&gt;="&amp;K$139,[1]!Resources[Unique Key],$G164,[1]!Resources[Summer Rating],"&gt;"&amp;0),2),0)*K102/10^6</f>
        <v>7.5044000000000004</v>
      </c>
      <c r="L164" s="6">
        <f>IFERROR(ROUND(AVERAGEIFS([1]!Resources[Fixed O&amp;M Cost],[1]!Resources[COD],"&lt;="&amp;L$139,[1]!Resources[Retirement Date],"&gt;="&amp;L$139,[1]!Resources[Unique Key],$G164,[1]!Resources[Summer Rating],"&gt;"&amp;0),2),0)*L102/10^6</f>
        <v>7.5044000000000004</v>
      </c>
      <c r="M164" s="6">
        <f>IFERROR(ROUND(AVERAGEIFS([1]!Resources[Fixed O&amp;M Cost],[1]!Resources[COD],"&lt;="&amp;M$139,[1]!Resources[Retirement Date],"&gt;="&amp;M$139,[1]!Resources[Unique Key],$G164,[1]!Resources[Summer Rating],"&gt;"&amp;0),2),0)*M102/10^6</f>
        <v>7.5044000000000004</v>
      </c>
      <c r="N164" s="6">
        <f>IFERROR(ROUND(AVERAGEIFS([1]!Resources[Fixed O&amp;M Cost],[1]!Resources[COD],"&lt;="&amp;N$139,[1]!Resources[Retirement Date],"&gt;="&amp;N$139,[1]!Resources[Unique Key],$G164,[1]!Resources[Summer Rating],"&gt;"&amp;0),2),0)*N102/10^6</f>
        <v>7.5044000000000004</v>
      </c>
      <c r="O164" s="6">
        <f>IFERROR(ROUND(AVERAGEIFS([1]!Resources[Fixed O&amp;M Cost],[1]!Resources[COD],"&lt;="&amp;O$139,[1]!Resources[Retirement Date],"&gt;="&amp;O$139,[1]!Resources[Unique Key],$G164,[1]!Resources[Summer Rating],"&gt;"&amp;0),2),0)*O102/10^6</f>
        <v>7.5044000000000004</v>
      </c>
      <c r="P164" s="6">
        <f>IFERROR(ROUND(AVERAGEIFS([1]!Resources[Fixed O&amp;M Cost],[1]!Resources[COD],"&lt;="&amp;P$139,[1]!Resources[Retirement Date],"&gt;="&amp;P$139,[1]!Resources[Unique Key],$G164,[1]!Resources[Summer Rating],"&gt;"&amp;0),2),0)*P102/10^6</f>
        <v>7.5044000000000004</v>
      </c>
      <c r="Q164" s="6">
        <f>IFERROR(ROUND(AVERAGEIFS([1]!Resources[Fixed O&amp;M Cost],[1]!Resources[COD],"&lt;="&amp;Q$139,[1]!Resources[Retirement Date],"&gt;="&amp;Q$139,[1]!Resources[Unique Key],$G164,[1]!Resources[Summer Rating],"&gt;"&amp;0),2),0)*Q102/10^6</f>
        <v>7.5044000000000004</v>
      </c>
      <c r="R164" s="6">
        <f>IFERROR(ROUND(AVERAGEIFS([1]!Resources[Fixed O&amp;M Cost],[1]!Resources[COD],"&lt;="&amp;R$139,[1]!Resources[Retirement Date],"&gt;="&amp;R$139,[1]!Resources[Unique Key],$G164,[1]!Resources[Summer Rating],"&gt;"&amp;0),2),0)*R102/10^6</f>
        <v>7.5044000000000004</v>
      </c>
      <c r="S164" s="6">
        <f>IFERROR(ROUND(AVERAGEIFS([1]!Resources[Fixed O&amp;M Cost],[1]!Resources[COD],"&lt;="&amp;S$139,[1]!Resources[Retirement Date],"&gt;="&amp;S$139,[1]!Resources[Unique Key],$G164,[1]!Resources[Summer Rating],"&gt;"&amp;0),2),0)*S102/10^6</f>
        <v>7.5044000000000004</v>
      </c>
      <c r="T164" s="6">
        <f>IFERROR(ROUND(AVERAGEIFS([1]!Resources[Fixed O&amp;M Cost],[1]!Resources[COD],"&lt;="&amp;T$139,[1]!Resources[Retirement Date],"&gt;="&amp;T$139,[1]!Resources[Unique Key],$G164,[1]!Resources[Summer Rating],"&gt;"&amp;0),2),0)*T102/10^6</f>
        <v>7.5044000000000004</v>
      </c>
      <c r="U164" s="6">
        <f>IFERROR(ROUND(AVERAGEIFS([1]!Resources[Fixed O&amp;M Cost],[1]!Resources[COD],"&lt;="&amp;U$139,[1]!Resources[Retirement Date],"&gt;="&amp;U$139,[1]!Resources[Unique Key],$G164,[1]!Resources[Summer Rating],"&gt;"&amp;0),2),0)*U102/10^6</f>
        <v>7.5044000000000004</v>
      </c>
      <c r="V164" s="6">
        <f>IFERROR(ROUND(AVERAGEIFS([1]!Resources[Fixed O&amp;M Cost],[1]!Resources[COD],"&lt;="&amp;V$139,[1]!Resources[Retirement Date],"&gt;="&amp;V$139,[1]!Resources[Unique Key],$G164,[1]!Resources[Summer Rating],"&gt;"&amp;0),2),0)*V102/10^6</f>
        <v>7.5044000000000004</v>
      </c>
      <c r="W164" s="6">
        <f>IFERROR(ROUND(AVERAGEIFS([1]!Resources[Fixed O&amp;M Cost],[1]!Resources[COD],"&lt;="&amp;W$139,[1]!Resources[Retirement Date],"&gt;="&amp;W$139,[1]!Resources[Unique Key],$G164,[1]!Resources[Summer Rating],"&gt;"&amp;0),2),0)*W102/10^6</f>
        <v>7.5044000000000004</v>
      </c>
      <c r="X164" s="6">
        <f>IFERROR(ROUND(AVERAGEIFS([1]!Resources[Fixed O&amp;M Cost],[1]!Resources[COD],"&lt;="&amp;X$139,[1]!Resources[Retirement Date],"&gt;="&amp;X$139,[1]!Resources[Unique Key],$G164,[1]!Resources[Summer Rating],"&gt;"&amp;0),2),0)*X102/10^6</f>
        <v>7.5044000000000004</v>
      </c>
      <c r="Y164" s="6">
        <f>IFERROR(ROUND(AVERAGEIFS([1]!Resources[Fixed O&amp;M Cost],[1]!Resources[COD],"&lt;="&amp;Y$139,[1]!Resources[Retirement Date],"&gt;="&amp;Y$139,[1]!Resources[Unique Key],$G164,[1]!Resources[Summer Rating],"&gt;"&amp;0),2),0)*Y102/10^6</f>
        <v>7.5044000000000004</v>
      </c>
      <c r="Z164" s="6">
        <f>IFERROR(ROUND(AVERAGEIFS([1]!Resources[Fixed O&amp;M Cost],[1]!Resources[COD],"&lt;="&amp;Z$139,[1]!Resources[Retirement Date],"&gt;="&amp;Z$139,[1]!Resources[Unique Key],$G164,[1]!Resources[Summer Rating],"&gt;"&amp;0),2),0)*Z102/10^6</f>
        <v>7.5044000000000004</v>
      </c>
      <c r="AA164" s="6">
        <f>IFERROR(ROUND(AVERAGEIFS([1]!Resources[Fixed O&amp;M Cost],[1]!Resources[COD],"&lt;="&amp;AA$139,[1]!Resources[Retirement Date],"&gt;="&amp;AA$139,[1]!Resources[Unique Key],$G164,[1]!Resources[Summer Rating],"&gt;"&amp;0),2),0)*AA102/10^6</f>
        <v>7.5044000000000004</v>
      </c>
      <c r="AB164" s="6">
        <f>IFERROR(ROUND(AVERAGEIFS([1]!Resources[Fixed O&amp;M Cost],[1]!Resources[COD],"&lt;="&amp;AB$139,[1]!Resources[Retirement Date],"&gt;="&amp;AB$139,[1]!Resources[Unique Key],$G164,[1]!Resources[Summer Rating],"&gt;"&amp;0),2),0)*AB102/10^6</f>
        <v>7.5044000000000004</v>
      </c>
      <c r="AC164" s="6">
        <f>IFERROR(ROUND(AVERAGEIFS([1]!Resources[Fixed O&amp;M Cost],[1]!Resources[COD],"&lt;="&amp;AC$139,[1]!Resources[Retirement Date],"&gt;="&amp;AC$139,[1]!Resources[Unique Key],$G164,[1]!Resources[Summer Rating],"&gt;"&amp;0),2),0)*AC102/10^6</f>
        <v>7.5044000000000004</v>
      </c>
      <c r="AD164" s="6">
        <f>IFERROR(ROUND(AVERAGEIFS([1]!Resources[Fixed O&amp;M Cost],[1]!Resources[COD],"&lt;="&amp;AD$139,[1]!Resources[Retirement Date],"&gt;="&amp;AD$139,[1]!Resources[Unique Key],$G164,[1]!Resources[Summer Rating],"&gt;"&amp;0),2),0)*AD102/10^6</f>
        <v>7.5044000000000004</v>
      </c>
      <c r="AE164" s="6">
        <f>IFERROR(ROUND(AVERAGEIFS([1]!Resources[Fixed O&amp;M Cost],[1]!Resources[COD],"&lt;="&amp;AE$139,[1]!Resources[Retirement Date],"&gt;="&amp;AE$139,[1]!Resources[Unique Key],$G164,[1]!Resources[Summer Rating],"&gt;"&amp;0),2),0)*AE102/10^6</f>
        <v>7.5044000000000004</v>
      </c>
      <c r="AF164" s="6">
        <f>IFERROR(ROUND(AVERAGEIFS([1]!Resources[Fixed O&amp;M Cost],[1]!Resources[COD],"&lt;="&amp;AF$139,[1]!Resources[Retirement Date],"&gt;="&amp;AF$139,[1]!Resources[Unique Key],$G164,[1]!Resources[Summer Rating],"&gt;"&amp;0),2),0)*AF102/10^6</f>
        <v>7.5044000000000004</v>
      </c>
      <c r="AG164" s="6">
        <f>IFERROR(ROUND(AVERAGEIFS([1]!Resources[Fixed O&amp;M Cost],[1]!Resources[COD],"&lt;="&amp;AG$139,[1]!Resources[Retirement Date],"&gt;="&amp;AG$139,[1]!Resources[Unique Key],$G164,[1]!Resources[Summer Rating],"&gt;"&amp;0),2),0)*AG102/10^6</f>
        <v>7.5044000000000004</v>
      </c>
      <c r="AI164" s="5" t="s">
        <v>68</v>
      </c>
      <c r="AJ164" s="6" cm="1">
        <f t="array" ref="AJ164">IFERROR(INDEX(AJ$174:AJ$175,MATCH(_xlfn.TEXTAFTER(INDEX($F$78:$F$129,MATCH($AI164,$G$78:$G$129,0))," "),_xlfn.TEXTBEFORE($AI$174:$AI$175," - ")),0),0)</f>
        <v>92503.140684153317</v>
      </c>
      <c r="AK164" s="6" cm="1">
        <f t="array" ref="AK164">IFERROR(INDEX(AK$174:AK$175,MATCH(_xlfn.TEXTAFTER(INDEX($F$78:$F$129,MATCH($AI164,$G$78:$G$129,0))," "),_xlfn.TEXTBEFORE($AI$174:$AI$175," - ")),0),0)</f>
        <v>92503.140684153317</v>
      </c>
      <c r="AL164" s="6" cm="1">
        <f t="array" ref="AL164">IFERROR(INDEX(AL$174:AL$175,MATCH(_xlfn.TEXTAFTER(INDEX($F$78:$F$129,MATCH($AI164,$G$78:$G$129,0))," "),_xlfn.TEXTBEFORE($AI$174:$AI$175," - ")),0),0)</f>
        <v>92503.140684153317</v>
      </c>
      <c r="AM164" s="6" cm="1">
        <f t="array" ref="AM164">IFERROR(INDEX(AM$174:AM$175,MATCH(_xlfn.TEXTAFTER(INDEX($F$78:$F$129,MATCH($AI164,$G$78:$G$129,0))," "),_xlfn.TEXTBEFORE($AI$174:$AI$175," - ")),0),0)</f>
        <v>92503.140684153317</v>
      </c>
      <c r="AN164" s="6" cm="1">
        <f t="array" ref="AN164">IFERROR(INDEX(AN$174:AN$175,MATCH(_xlfn.TEXTAFTER(INDEX($F$78:$F$129,MATCH($AI164,$G$78:$G$129,0))," "),_xlfn.TEXTBEFORE($AI$174:$AI$175," - ")),0),0)</f>
        <v>92503.140684153317</v>
      </c>
      <c r="AO164" s="6" cm="1">
        <f t="array" ref="AO164">IFERROR(INDEX(AO$174:AO$175,MATCH(_xlfn.TEXTAFTER(INDEX($F$78:$F$129,MATCH($AI164,$G$78:$G$129,0))," "),_xlfn.TEXTBEFORE($AI$174:$AI$175," - ")),0),0)</f>
        <v>92503.140684153317</v>
      </c>
      <c r="AP164" s="6" cm="1">
        <f t="array" ref="AP164">IFERROR(INDEX(AP$174:AP$175,MATCH(_xlfn.TEXTAFTER(INDEX($F$78:$F$129,MATCH($AI164,$G$78:$G$129,0))," "),_xlfn.TEXTBEFORE($AI$174:$AI$175," - ")),0),0)</f>
        <v>92503.140684153317</v>
      </c>
      <c r="AQ164" s="6" cm="1">
        <f t="array" ref="AQ164">IFERROR(INDEX(AQ$174:AQ$175,MATCH(_xlfn.TEXTAFTER(INDEX($F$78:$F$129,MATCH($AI164,$G$78:$G$129,0))," "),_xlfn.TEXTBEFORE($AI$174:$AI$175," - ")),0),0)</f>
        <v>92503.140684153317</v>
      </c>
      <c r="AR164" s="6" cm="1">
        <f t="array" ref="AR164">IFERROR(INDEX(AR$174:AR$175,MATCH(_xlfn.TEXTAFTER(INDEX($F$78:$F$129,MATCH($AI164,$G$78:$G$129,0))," "),_xlfn.TEXTBEFORE($AI$174:$AI$175," - ")),0),0)</f>
        <v>92503.140684153317</v>
      </c>
      <c r="AS164" s="6" cm="1">
        <f t="array" ref="AS164">IFERROR(INDEX(AS$174:AS$175,MATCH(_xlfn.TEXTAFTER(INDEX($F$78:$F$129,MATCH($AI164,$G$78:$G$129,0))," "),_xlfn.TEXTBEFORE($AI$174:$AI$175," - ")),0),0)</f>
        <v>92503.140684153317</v>
      </c>
      <c r="AT164" s="6" cm="1">
        <f t="array" ref="AT164">IFERROR(INDEX(AT$174:AT$175,MATCH(_xlfn.TEXTAFTER(INDEX($F$78:$F$129,MATCH($AI164,$G$78:$G$129,0))," "),_xlfn.TEXTBEFORE($AI$174:$AI$175," - ")),0),0)</f>
        <v>92503.140684153317</v>
      </c>
      <c r="AU164" s="6" cm="1">
        <f t="array" ref="AU164">IFERROR(INDEX(AU$174:AU$175,MATCH(_xlfn.TEXTAFTER(INDEX($F$78:$F$129,MATCH($AI164,$G$78:$G$129,0))," "),_xlfn.TEXTBEFORE($AI$174:$AI$175," - ")),0),0)</f>
        <v>92503.140684153317</v>
      </c>
      <c r="AV164" s="6" cm="1">
        <f t="array" ref="AV164">IFERROR(INDEX(AV$174:AV$175,MATCH(_xlfn.TEXTAFTER(INDEX($F$78:$F$129,MATCH($AI164,$G$78:$G$129,0))," "),_xlfn.TEXTBEFORE($AI$174:$AI$175," - ")),0),0)</f>
        <v>92503.140684153317</v>
      </c>
      <c r="AW164" s="6" cm="1">
        <f t="array" ref="AW164">IFERROR(INDEX(AW$174:AW$175,MATCH(_xlfn.TEXTAFTER(INDEX($F$78:$F$129,MATCH($AI164,$G$78:$G$129,0))," "),_xlfn.TEXTBEFORE($AI$174:$AI$175," - ")),0),0)</f>
        <v>92503.140684153317</v>
      </c>
      <c r="AX164" s="6" cm="1">
        <f t="array" ref="AX164">IFERROR(INDEX(AX$174:AX$175,MATCH(_xlfn.TEXTAFTER(INDEX($F$78:$F$129,MATCH($AI164,$G$78:$G$129,0))," "),_xlfn.TEXTBEFORE($AI$174:$AI$175," - ")),0),0)</f>
        <v>92503.140684153317</v>
      </c>
      <c r="AY164" s="6" cm="1">
        <f t="array" ref="AY164">IFERROR(INDEX(AY$174:AY$175,MATCH(_xlfn.TEXTAFTER(INDEX($F$78:$F$129,MATCH($AI164,$G$78:$G$129,0))," "),_xlfn.TEXTBEFORE($AI$174:$AI$175," - ")),0),0)</f>
        <v>92503.140684153317</v>
      </c>
      <c r="AZ164" s="6" cm="1">
        <f t="array" ref="AZ164">IFERROR(INDEX(AZ$174:AZ$175,MATCH(_xlfn.TEXTAFTER(INDEX($F$78:$F$129,MATCH($AI164,$G$78:$G$129,0))," "),_xlfn.TEXTBEFORE($AI$174:$AI$175," - ")),0),0)</f>
        <v>92503.140684153317</v>
      </c>
      <c r="BA164" s="6" cm="1">
        <f t="array" ref="BA164">IFERROR(INDEX(BA$174:BA$175,MATCH(_xlfn.TEXTAFTER(INDEX($F$78:$F$129,MATCH($AI164,$G$78:$G$129,0))," "),_xlfn.TEXTBEFORE($AI$174:$AI$175," - ")),0),0)</f>
        <v>92503.140684153317</v>
      </c>
      <c r="BB164" s="6" cm="1">
        <f t="array" ref="BB164">IFERROR(INDEX(BB$174:BB$175,MATCH(_xlfn.TEXTAFTER(INDEX($F$78:$F$129,MATCH($AI164,$G$78:$G$129,0))," "),_xlfn.TEXTBEFORE($AI$174:$AI$175," - ")),0),0)</f>
        <v>92503.140684153317</v>
      </c>
      <c r="BC164" s="6" cm="1">
        <f t="array" ref="BC164">IFERROR(INDEX(BC$174:BC$175,MATCH(_xlfn.TEXTAFTER(INDEX($F$78:$F$129,MATCH($AI164,$G$78:$G$129,0))," "),_xlfn.TEXTBEFORE($AI$174:$AI$175," - ")),0),0)</f>
        <v>92503.140684153317</v>
      </c>
      <c r="BD164" s="6" cm="1">
        <f t="array" ref="BD164">IFERROR(INDEX(BD$174:BD$175,MATCH(_xlfn.TEXTAFTER(INDEX($F$78:$F$129,MATCH($AI164,$G$78:$G$129,0))," "),_xlfn.TEXTBEFORE($AI$174:$AI$175," - ")),0),0)</f>
        <v>92503.140684153317</v>
      </c>
      <c r="BE164" s="6" cm="1">
        <f t="array" ref="BE164">IFERROR(INDEX(BE$174:BE$175,MATCH(_xlfn.TEXTAFTER(INDEX($F$78:$F$129,MATCH($AI164,$G$78:$G$129,0))," "),_xlfn.TEXTBEFORE($AI$174:$AI$175," - ")),0),0)</f>
        <v>92503.140684153317</v>
      </c>
      <c r="BF164" s="6" cm="1">
        <f t="array" ref="BF164">IFERROR(INDEX(BF$174:BF$175,MATCH(_xlfn.TEXTAFTER(INDEX($F$78:$F$129,MATCH($AI164,$G$78:$G$129,0))," "),_xlfn.TEXTBEFORE($AI$174:$AI$175," - ")),0),0)</f>
        <v>92503.140684153317</v>
      </c>
      <c r="BG164" s="6" cm="1">
        <f t="array" ref="BG164">IFERROR(INDEX(BG$174:BG$175,MATCH(_xlfn.TEXTAFTER(INDEX($F$78:$F$129,MATCH($AI164,$G$78:$G$129,0))," "),_xlfn.TEXTBEFORE($AI$174:$AI$175," - ")),0),0)</f>
        <v>92503.140684153317</v>
      </c>
      <c r="BH164" s="6" cm="1">
        <f t="array" ref="BH164">IFERROR(INDEX(BH$174:BH$175,MATCH(_xlfn.TEXTAFTER(INDEX($F$78:$F$129,MATCH($AI164,$G$78:$G$129,0))," "),_xlfn.TEXTBEFORE($AI$174:$AI$175," - ")),0),0)</f>
        <v>92503.140684153317</v>
      </c>
      <c r="BI164" s="6" cm="1">
        <f t="array" ref="BI164">IFERROR(INDEX(BI$174:BI$175,MATCH(_xlfn.TEXTAFTER(INDEX($F$78:$F$129,MATCH($AI164,$G$78:$G$129,0))," "),_xlfn.TEXTBEFORE($AI$174:$AI$175," - ")),0),0)</f>
        <v>92503.140684153317</v>
      </c>
    </row>
    <row r="165" spans="7:61" ht="16" x14ac:dyDescent="0.2">
      <c r="G165" s="5" t="s">
        <v>69</v>
      </c>
      <c r="H165" s="6">
        <f>IFERROR(ROUND(AVERAGEIFS([1]!Resources[Fixed O&amp;M Cost],[1]!Resources[COD],"&lt;="&amp;H$139,[1]!Resources[Retirement Date],"&gt;="&amp;H$139,[1]!Resources[Unique Key],$G165,[1]!Resources[Summer Rating],"&gt;"&amp;0),2),0)*H103/10^6</f>
        <v>17.758700000000001</v>
      </c>
      <c r="I165" s="6">
        <f>IFERROR(ROUND(AVERAGEIFS([1]!Resources[Fixed O&amp;M Cost],[1]!Resources[COD],"&lt;="&amp;I$139,[1]!Resources[Retirement Date],"&gt;="&amp;I$139,[1]!Resources[Unique Key],$G165,[1]!Resources[Summer Rating],"&gt;"&amp;0),2),0)*I103/10^6</f>
        <v>17.758700000000001</v>
      </c>
      <c r="J165" s="6">
        <f>IFERROR(ROUND(AVERAGEIFS([1]!Resources[Fixed O&amp;M Cost],[1]!Resources[COD],"&lt;="&amp;J$139,[1]!Resources[Retirement Date],"&gt;="&amp;J$139,[1]!Resources[Unique Key],$G165,[1]!Resources[Summer Rating],"&gt;"&amp;0),2),0)*J103/10^6</f>
        <v>17.758700000000001</v>
      </c>
      <c r="K165" s="6">
        <f>IFERROR(ROUND(AVERAGEIFS([1]!Resources[Fixed O&amp;M Cost],[1]!Resources[COD],"&lt;="&amp;K$139,[1]!Resources[Retirement Date],"&gt;="&amp;K$139,[1]!Resources[Unique Key],$G165,[1]!Resources[Summer Rating],"&gt;"&amp;0),2),0)*K103/10^6</f>
        <v>17.758700000000001</v>
      </c>
      <c r="L165" s="6">
        <f>IFERROR(ROUND(AVERAGEIFS([1]!Resources[Fixed O&amp;M Cost],[1]!Resources[COD],"&lt;="&amp;L$139,[1]!Resources[Retirement Date],"&gt;="&amp;L$139,[1]!Resources[Unique Key],$G165,[1]!Resources[Summer Rating],"&gt;"&amp;0),2),0)*L103/10^6</f>
        <v>17.758700000000001</v>
      </c>
      <c r="M165" s="6">
        <f>IFERROR(ROUND(AVERAGEIFS([1]!Resources[Fixed O&amp;M Cost],[1]!Resources[COD],"&lt;="&amp;M$139,[1]!Resources[Retirement Date],"&gt;="&amp;M$139,[1]!Resources[Unique Key],$G165,[1]!Resources[Summer Rating],"&gt;"&amp;0),2),0)*M103/10^6</f>
        <v>17.758700000000001</v>
      </c>
      <c r="N165" s="6">
        <f>IFERROR(ROUND(AVERAGEIFS([1]!Resources[Fixed O&amp;M Cost],[1]!Resources[COD],"&lt;="&amp;N$139,[1]!Resources[Retirement Date],"&gt;="&amp;N$139,[1]!Resources[Unique Key],$G165,[1]!Resources[Summer Rating],"&gt;"&amp;0),2),0)*N103/10^6</f>
        <v>17.758700000000001</v>
      </c>
      <c r="O165" s="6">
        <f>IFERROR(ROUND(AVERAGEIFS([1]!Resources[Fixed O&amp;M Cost],[1]!Resources[COD],"&lt;="&amp;O$139,[1]!Resources[Retirement Date],"&gt;="&amp;O$139,[1]!Resources[Unique Key],$G165,[1]!Resources[Summer Rating],"&gt;"&amp;0),2),0)*O103/10^6</f>
        <v>17.758700000000001</v>
      </c>
      <c r="P165" s="6">
        <f>IFERROR(ROUND(AVERAGEIFS([1]!Resources[Fixed O&amp;M Cost],[1]!Resources[COD],"&lt;="&amp;P$139,[1]!Resources[Retirement Date],"&gt;="&amp;P$139,[1]!Resources[Unique Key],$G165,[1]!Resources[Summer Rating],"&gt;"&amp;0),2),0)*P103/10^6</f>
        <v>17.758700000000001</v>
      </c>
      <c r="Q165" s="6">
        <f>IFERROR(ROUND(AVERAGEIFS([1]!Resources[Fixed O&amp;M Cost],[1]!Resources[COD],"&lt;="&amp;Q$139,[1]!Resources[Retirement Date],"&gt;="&amp;Q$139,[1]!Resources[Unique Key],$G165,[1]!Resources[Summer Rating],"&gt;"&amp;0),2),0)*Q103/10^6</f>
        <v>17.758700000000001</v>
      </c>
      <c r="R165" s="6">
        <f>IFERROR(ROUND(AVERAGEIFS([1]!Resources[Fixed O&amp;M Cost],[1]!Resources[COD],"&lt;="&amp;R$139,[1]!Resources[Retirement Date],"&gt;="&amp;R$139,[1]!Resources[Unique Key],$G165,[1]!Resources[Summer Rating],"&gt;"&amp;0),2),0)*R103/10^6</f>
        <v>17.758700000000001</v>
      </c>
      <c r="S165" s="6">
        <f>IFERROR(ROUND(AVERAGEIFS([1]!Resources[Fixed O&amp;M Cost],[1]!Resources[COD],"&lt;="&amp;S$139,[1]!Resources[Retirement Date],"&gt;="&amp;S$139,[1]!Resources[Unique Key],$G165,[1]!Resources[Summer Rating],"&gt;"&amp;0),2),0)*S103/10^6</f>
        <v>17.758700000000001</v>
      </c>
      <c r="T165" s="6">
        <f>IFERROR(ROUND(AVERAGEIFS([1]!Resources[Fixed O&amp;M Cost],[1]!Resources[COD],"&lt;="&amp;T$139,[1]!Resources[Retirement Date],"&gt;="&amp;T$139,[1]!Resources[Unique Key],$G165,[1]!Resources[Summer Rating],"&gt;"&amp;0),2),0)*T103/10^6</f>
        <v>17.758700000000001</v>
      </c>
      <c r="U165" s="6">
        <f>IFERROR(ROUND(AVERAGEIFS([1]!Resources[Fixed O&amp;M Cost],[1]!Resources[COD],"&lt;="&amp;U$139,[1]!Resources[Retirement Date],"&gt;="&amp;U$139,[1]!Resources[Unique Key],$G165,[1]!Resources[Summer Rating],"&gt;"&amp;0),2),0)*U103/10^6</f>
        <v>17.758700000000001</v>
      </c>
      <c r="V165" s="6">
        <f>IFERROR(ROUND(AVERAGEIFS([1]!Resources[Fixed O&amp;M Cost],[1]!Resources[COD],"&lt;="&amp;V$139,[1]!Resources[Retirement Date],"&gt;="&amp;V$139,[1]!Resources[Unique Key],$G165,[1]!Resources[Summer Rating],"&gt;"&amp;0),2),0)*V103/10^6</f>
        <v>17.758700000000001</v>
      </c>
      <c r="W165" s="6">
        <f>IFERROR(ROUND(AVERAGEIFS([1]!Resources[Fixed O&amp;M Cost],[1]!Resources[COD],"&lt;="&amp;W$139,[1]!Resources[Retirement Date],"&gt;="&amp;W$139,[1]!Resources[Unique Key],$G165,[1]!Resources[Summer Rating],"&gt;"&amp;0),2),0)*W103/10^6</f>
        <v>17.758700000000001</v>
      </c>
      <c r="X165" s="6">
        <f>IFERROR(ROUND(AVERAGEIFS([1]!Resources[Fixed O&amp;M Cost],[1]!Resources[COD],"&lt;="&amp;X$139,[1]!Resources[Retirement Date],"&gt;="&amp;X$139,[1]!Resources[Unique Key],$G165,[1]!Resources[Summer Rating],"&gt;"&amp;0),2),0)*X103/10^6</f>
        <v>17.758700000000001</v>
      </c>
      <c r="Y165" s="6">
        <f>IFERROR(ROUND(AVERAGEIFS([1]!Resources[Fixed O&amp;M Cost],[1]!Resources[COD],"&lt;="&amp;Y$139,[1]!Resources[Retirement Date],"&gt;="&amp;Y$139,[1]!Resources[Unique Key],$G165,[1]!Resources[Summer Rating],"&gt;"&amp;0),2),0)*Y103/10^6</f>
        <v>17.758700000000001</v>
      </c>
      <c r="Z165" s="6">
        <f>IFERROR(ROUND(AVERAGEIFS([1]!Resources[Fixed O&amp;M Cost],[1]!Resources[COD],"&lt;="&amp;Z$139,[1]!Resources[Retirement Date],"&gt;="&amp;Z$139,[1]!Resources[Unique Key],$G165,[1]!Resources[Summer Rating],"&gt;"&amp;0),2),0)*Z103/10^6</f>
        <v>17.758700000000001</v>
      </c>
      <c r="AA165" s="6">
        <f>IFERROR(ROUND(AVERAGEIFS([1]!Resources[Fixed O&amp;M Cost],[1]!Resources[COD],"&lt;="&amp;AA$139,[1]!Resources[Retirement Date],"&gt;="&amp;AA$139,[1]!Resources[Unique Key],$G165,[1]!Resources[Summer Rating],"&gt;"&amp;0),2),0)*AA103/10^6</f>
        <v>17.758700000000001</v>
      </c>
      <c r="AB165" s="6">
        <f>IFERROR(ROUND(AVERAGEIFS([1]!Resources[Fixed O&amp;M Cost],[1]!Resources[COD],"&lt;="&amp;AB$139,[1]!Resources[Retirement Date],"&gt;="&amp;AB$139,[1]!Resources[Unique Key],$G165,[1]!Resources[Summer Rating],"&gt;"&amp;0),2),0)*AB103/10^6</f>
        <v>17.758700000000001</v>
      </c>
      <c r="AC165" s="6">
        <f>IFERROR(ROUND(AVERAGEIFS([1]!Resources[Fixed O&amp;M Cost],[1]!Resources[COD],"&lt;="&amp;AC$139,[1]!Resources[Retirement Date],"&gt;="&amp;AC$139,[1]!Resources[Unique Key],$G165,[1]!Resources[Summer Rating],"&gt;"&amp;0),2),0)*AC103/10^6</f>
        <v>17.758700000000001</v>
      </c>
      <c r="AD165" s="6">
        <f>IFERROR(ROUND(AVERAGEIFS([1]!Resources[Fixed O&amp;M Cost],[1]!Resources[COD],"&lt;="&amp;AD$139,[1]!Resources[Retirement Date],"&gt;="&amp;AD$139,[1]!Resources[Unique Key],$G165,[1]!Resources[Summer Rating],"&gt;"&amp;0),2),0)*AD103/10^6</f>
        <v>17.758700000000001</v>
      </c>
      <c r="AE165" s="6">
        <f>IFERROR(ROUND(AVERAGEIFS([1]!Resources[Fixed O&amp;M Cost],[1]!Resources[COD],"&lt;="&amp;AE$139,[1]!Resources[Retirement Date],"&gt;="&amp;AE$139,[1]!Resources[Unique Key],$G165,[1]!Resources[Summer Rating],"&gt;"&amp;0),2),0)*AE103/10^6</f>
        <v>17.758700000000001</v>
      </c>
      <c r="AF165" s="6">
        <f>IFERROR(ROUND(AVERAGEIFS([1]!Resources[Fixed O&amp;M Cost],[1]!Resources[COD],"&lt;="&amp;AF$139,[1]!Resources[Retirement Date],"&gt;="&amp;AF$139,[1]!Resources[Unique Key],$G165,[1]!Resources[Summer Rating],"&gt;"&amp;0),2),0)*AF103/10^6</f>
        <v>17.758700000000001</v>
      </c>
      <c r="AG165" s="6">
        <f>IFERROR(ROUND(AVERAGEIFS([1]!Resources[Fixed O&amp;M Cost],[1]!Resources[COD],"&lt;="&amp;AG$139,[1]!Resources[Retirement Date],"&gt;="&amp;AG$139,[1]!Resources[Unique Key],$G165,[1]!Resources[Summer Rating],"&gt;"&amp;0),2),0)*AG103/10^6</f>
        <v>17.758700000000001</v>
      </c>
      <c r="AI165" s="5" t="s">
        <v>69</v>
      </c>
      <c r="AJ165" s="6" cm="1">
        <f t="array" ref="AJ165">IFERROR(INDEX(AJ$174:AJ$175,MATCH(_xlfn.TEXTAFTER(INDEX($F$78:$F$129,MATCH($AI165,$G$78:$G$129,0))," "),_xlfn.TEXTBEFORE($AI$174:$AI$175," - ")),0),0)</f>
        <v>92503.140684153317</v>
      </c>
      <c r="AK165" s="6" cm="1">
        <f t="array" ref="AK165">IFERROR(INDEX(AK$174:AK$175,MATCH(_xlfn.TEXTAFTER(INDEX($F$78:$F$129,MATCH($AI165,$G$78:$G$129,0))," "),_xlfn.TEXTBEFORE($AI$174:$AI$175," - ")),0),0)</f>
        <v>92503.140684153317</v>
      </c>
      <c r="AL165" s="6" cm="1">
        <f t="array" ref="AL165">IFERROR(INDEX(AL$174:AL$175,MATCH(_xlfn.TEXTAFTER(INDEX($F$78:$F$129,MATCH($AI165,$G$78:$G$129,0))," "),_xlfn.TEXTBEFORE($AI$174:$AI$175," - ")),0),0)</f>
        <v>92503.140684153317</v>
      </c>
      <c r="AM165" s="6" cm="1">
        <f t="array" ref="AM165">IFERROR(INDEX(AM$174:AM$175,MATCH(_xlfn.TEXTAFTER(INDEX($F$78:$F$129,MATCH($AI165,$G$78:$G$129,0))," "),_xlfn.TEXTBEFORE($AI$174:$AI$175," - ")),0),0)</f>
        <v>92503.140684153317</v>
      </c>
      <c r="AN165" s="6" cm="1">
        <f t="array" ref="AN165">IFERROR(INDEX(AN$174:AN$175,MATCH(_xlfn.TEXTAFTER(INDEX($F$78:$F$129,MATCH($AI165,$G$78:$G$129,0))," "),_xlfn.TEXTBEFORE($AI$174:$AI$175," - ")),0),0)</f>
        <v>92503.140684153317</v>
      </c>
      <c r="AO165" s="6" cm="1">
        <f t="array" ref="AO165">IFERROR(INDEX(AO$174:AO$175,MATCH(_xlfn.TEXTAFTER(INDEX($F$78:$F$129,MATCH($AI165,$G$78:$G$129,0))," "),_xlfn.TEXTBEFORE($AI$174:$AI$175," - ")),0),0)</f>
        <v>92503.140684153317</v>
      </c>
      <c r="AP165" s="6" cm="1">
        <f t="array" ref="AP165">IFERROR(INDEX(AP$174:AP$175,MATCH(_xlfn.TEXTAFTER(INDEX($F$78:$F$129,MATCH($AI165,$G$78:$G$129,0))," "),_xlfn.TEXTBEFORE($AI$174:$AI$175," - ")),0),0)</f>
        <v>92503.140684153317</v>
      </c>
      <c r="AQ165" s="6" cm="1">
        <f t="array" ref="AQ165">IFERROR(INDEX(AQ$174:AQ$175,MATCH(_xlfn.TEXTAFTER(INDEX($F$78:$F$129,MATCH($AI165,$G$78:$G$129,0))," "),_xlfn.TEXTBEFORE($AI$174:$AI$175," - ")),0),0)</f>
        <v>92503.140684153317</v>
      </c>
      <c r="AR165" s="6" cm="1">
        <f t="array" ref="AR165">IFERROR(INDEX(AR$174:AR$175,MATCH(_xlfn.TEXTAFTER(INDEX($F$78:$F$129,MATCH($AI165,$G$78:$G$129,0))," "),_xlfn.TEXTBEFORE($AI$174:$AI$175," - ")),0),0)</f>
        <v>92503.140684153317</v>
      </c>
      <c r="AS165" s="6" cm="1">
        <f t="array" ref="AS165">IFERROR(INDEX(AS$174:AS$175,MATCH(_xlfn.TEXTAFTER(INDEX($F$78:$F$129,MATCH($AI165,$G$78:$G$129,0))," "),_xlfn.TEXTBEFORE($AI$174:$AI$175," - ")),0),0)</f>
        <v>92503.140684153317</v>
      </c>
      <c r="AT165" s="6" cm="1">
        <f t="array" ref="AT165">IFERROR(INDEX(AT$174:AT$175,MATCH(_xlfn.TEXTAFTER(INDEX($F$78:$F$129,MATCH($AI165,$G$78:$G$129,0))," "),_xlfn.TEXTBEFORE($AI$174:$AI$175," - ")),0),0)</f>
        <v>92503.140684153317</v>
      </c>
      <c r="AU165" s="6" cm="1">
        <f t="array" ref="AU165">IFERROR(INDEX(AU$174:AU$175,MATCH(_xlfn.TEXTAFTER(INDEX($F$78:$F$129,MATCH($AI165,$G$78:$G$129,0))," "),_xlfn.TEXTBEFORE($AI$174:$AI$175," - ")),0),0)</f>
        <v>92503.140684153317</v>
      </c>
      <c r="AV165" s="6" cm="1">
        <f t="array" ref="AV165">IFERROR(INDEX(AV$174:AV$175,MATCH(_xlfn.TEXTAFTER(INDEX($F$78:$F$129,MATCH($AI165,$G$78:$G$129,0))," "),_xlfn.TEXTBEFORE($AI$174:$AI$175," - ")),0),0)</f>
        <v>92503.140684153317</v>
      </c>
      <c r="AW165" s="6" cm="1">
        <f t="array" ref="AW165">IFERROR(INDEX(AW$174:AW$175,MATCH(_xlfn.TEXTAFTER(INDEX($F$78:$F$129,MATCH($AI165,$G$78:$G$129,0))," "),_xlfn.TEXTBEFORE($AI$174:$AI$175," - ")),0),0)</f>
        <v>92503.140684153317</v>
      </c>
      <c r="AX165" s="6" cm="1">
        <f t="array" ref="AX165">IFERROR(INDEX(AX$174:AX$175,MATCH(_xlfn.TEXTAFTER(INDEX($F$78:$F$129,MATCH($AI165,$G$78:$G$129,0))," "),_xlfn.TEXTBEFORE($AI$174:$AI$175," - ")),0),0)</f>
        <v>92503.140684153317</v>
      </c>
      <c r="AY165" s="6" cm="1">
        <f t="array" ref="AY165">IFERROR(INDEX(AY$174:AY$175,MATCH(_xlfn.TEXTAFTER(INDEX($F$78:$F$129,MATCH($AI165,$G$78:$G$129,0))," "),_xlfn.TEXTBEFORE($AI$174:$AI$175," - ")),0),0)</f>
        <v>92503.140684153317</v>
      </c>
      <c r="AZ165" s="6" cm="1">
        <f t="array" ref="AZ165">IFERROR(INDEX(AZ$174:AZ$175,MATCH(_xlfn.TEXTAFTER(INDEX($F$78:$F$129,MATCH($AI165,$G$78:$G$129,0))," "),_xlfn.TEXTBEFORE($AI$174:$AI$175," - ")),0),0)</f>
        <v>92503.140684153317</v>
      </c>
      <c r="BA165" s="6" cm="1">
        <f t="array" ref="BA165">IFERROR(INDEX(BA$174:BA$175,MATCH(_xlfn.TEXTAFTER(INDEX($F$78:$F$129,MATCH($AI165,$G$78:$G$129,0))," "),_xlfn.TEXTBEFORE($AI$174:$AI$175," - ")),0),0)</f>
        <v>92503.140684153317</v>
      </c>
      <c r="BB165" s="6" cm="1">
        <f t="array" ref="BB165">IFERROR(INDEX(BB$174:BB$175,MATCH(_xlfn.TEXTAFTER(INDEX($F$78:$F$129,MATCH($AI165,$G$78:$G$129,0))," "),_xlfn.TEXTBEFORE($AI$174:$AI$175," - ")),0),0)</f>
        <v>92503.140684153317</v>
      </c>
      <c r="BC165" s="6" cm="1">
        <f t="array" ref="BC165">IFERROR(INDEX(BC$174:BC$175,MATCH(_xlfn.TEXTAFTER(INDEX($F$78:$F$129,MATCH($AI165,$G$78:$G$129,0))," "),_xlfn.TEXTBEFORE($AI$174:$AI$175," - ")),0),0)</f>
        <v>92503.140684153317</v>
      </c>
      <c r="BD165" s="6" cm="1">
        <f t="array" ref="BD165">IFERROR(INDEX(BD$174:BD$175,MATCH(_xlfn.TEXTAFTER(INDEX($F$78:$F$129,MATCH($AI165,$G$78:$G$129,0))," "),_xlfn.TEXTBEFORE($AI$174:$AI$175," - ")),0),0)</f>
        <v>92503.140684153317</v>
      </c>
      <c r="BE165" s="6" cm="1">
        <f t="array" ref="BE165">IFERROR(INDEX(BE$174:BE$175,MATCH(_xlfn.TEXTAFTER(INDEX($F$78:$F$129,MATCH($AI165,$G$78:$G$129,0))," "),_xlfn.TEXTBEFORE($AI$174:$AI$175," - ")),0),0)</f>
        <v>92503.140684153317</v>
      </c>
      <c r="BF165" s="6" cm="1">
        <f t="array" ref="BF165">IFERROR(INDEX(BF$174:BF$175,MATCH(_xlfn.TEXTAFTER(INDEX($F$78:$F$129,MATCH($AI165,$G$78:$G$129,0))," "),_xlfn.TEXTBEFORE($AI$174:$AI$175," - ")),0),0)</f>
        <v>92503.140684153317</v>
      </c>
      <c r="BG165" s="6" cm="1">
        <f t="array" ref="BG165">IFERROR(INDEX(BG$174:BG$175,MATCH(_xlfn.TEXTAFTER(INDEX($F$78:$F$129,MATCH($AI165,$G$78:$G$129,0))," "),_xlfn.TEXTBEFORE($AI$174:$AI$175," - ")),0),0)</f>
        <v>92503.140684153317</v>
      </c>
      <c r="BH165" s="6" cm="1">
        <f t="array" ref="BH165">IFERROR(INDEX(BH$174:BH$175,MATCH(_xlfn.TEXTAFTER(INDEX($F$78:$F$129,MATCH($AI165,$G$78:$G$129,0))," "),_xlfn.TEXTBEFORE($AI$174:$AI$175," - ")),0),0)</f>
        <v>92503.140684153317</v>
      </c>
      <c r="BI165" s="6" cm="1">
        <f t="array" ref="BI165">IFERROR(INDEX(BI$174:BI$175,MATCH(_xlfn.TEXTAFTER(INDEX($F$78:$F$129,MATCH($AI165,$G$78:$G$129,0))," "),_xlfn.TEXTBEFORE($AI$174:$AI$175," - ")),0),0)</f>
        <v>92503.140684153317</v>
      </c>
    </row>
    <row r="166" spans="7:61" ht="16" x14ac:dyDescent="0.2">
      <c r="G166" s="5" t="s">
        <v>70</v>
      </c>
      <c r="H166" s="6">
        <f>IFERROR(ROUND(AVERAGEIFS([1]!Resources[Fixed O&amp;M Cost],[1]!Resources[COD],"&lt;="&amp;H$139,[1]!Resources[Retirement Date],"&gt;="&amp;H$139,[1]!Resources[Unique Key],$G166,[1]!Resources[Summer Rating],"&gt;"&amp;0),2),0)*H104/10^6</f>
        <v>134.33000000000001</v>
      </c>
      <c r="I166" s="6">
        <f>IFERROR(ROUND(AVERAGEIFS([1]!Resources[Fixed O&amp;M Cost],[1]!Resources[COD],"&lt;="&amp;I$139,[1]!Resources[Retirement Date],"&gt;="&amp;I$139,[1]!Resources[Unique Key],$G166,[1]!Resources[Summer Rating],"&gt;"&amp;0),2),0)*I104/10^6</f>
        <v>134.33000000000001</v>
      </c>
      <c r="J166" s="6">
        <f>IFERROR(ROUND(AVERAGEIFS([1]!Resources[Fixed O&amp;M Cost],[1]!Resources[COD],"&lt;="&amp;J$139,[1]!Resources[Retirement Date],"&gt;="&amp;J$139,[1]!Resources[Unique Key],$G166,[1]!Resources[Summer Rating],"&gt;"&amp;0),2),0)*J104/10^6</f>
        <v>134.33000000000001</v>
      </c>
      <c r="K166" s="6">
        <f>IFERROR(ROUND(AVERAGEIFS([1]!Resources[Fixed O&amp;M Cost],[1]!Resources[COD],"&lt;="&amp;K$139,[1]!Resources[Retirement Date],"&gt;="&amp;K$139,[1]!Resources[Unique Key],$G166,[1]!Resources[Summer Rating],"&gt;"&amp;0),2),0)*K104/10^6</f>
        <v>134.33000000000001</v>
      </c>
      <c r="L166" s="6">
        <f>IFERROR(ROUND(AVERAGEIFS([1]!Resources[Fixed O&amp;M Cost],[1]!Resources[COD],"&lt;="&amp;L$139,[1]!Resources[Retirement Date],"&gt;="&amp;L$139,[1]!Resources[Unique Key],$G166,[1]!Resources[Summer Rating],"&gt;"&amp;0),2),0)*L104/10^6</f>
        <v>134.33000000000001</v>
      </c>
      <c r="M166" s="6">
        <f>IFERROR(ROUND(AVERAGEIFS([1]!Resources[Fixed O&amp;M Cost],[1]!Resources[COD],"&lt;="&amp;M$139,[1]!Resources[Retirement Date],"&gt;="&amp;M$139,[1]!Resources[Unique Key],$G166,[1]!Resources[Summer Rating],"&gt;"&amp;0),2),0)*M104/10^6</f>
        <v>134.33000000000001</v>
      </c>
      <c r="N166" s="6">
        <f>IFERROR(ROUND(AVERAGEIFS([1]!Resources[Fixed O&amp;M Cost],[1]!Resources[COD],"&lt;="&amp;N$139,[1]!Resources[Retirement Date],"&gt;="&amp;N$139,[1]!Resources[Unique Key],$G166,[1]!Resources[Summer Rating],"&gt;"&amp;0),2),0)*N104/10^6</f>
        <v>134.33000000000001</v>
      </c>
      <c r="O166" s="6">
        <f>IFERROR(ROUND(AVERAGEIFS([1]!Resources[Fixed O&amp;M Cost],[1]!Resources[COD],"&lt;="&amp;O$139,[1]!Resources[Retirement Date],"&gt;="&amp;O$139,[1]!Resources[Unique Key],$G166,[1]!Resources[Summer Rating],"&gt;"&amp;0),2),0)*O104/10^6</f>
        <v>134.33000000000001</v>
      </c>
      <c r="P166" s="6">
        <f>IFERROR(ROUND(AVERAGEIFS([1]!Resources[Fixed O&amp;M Cost],[1]!Resources[COD],"&lt;="&amp;P$139,[1]!Resources[Retirement Date],"&gt;="&amp;P$139,[1]!Resources[Unique Key],$G166,[1]!Resources[Summer Rating],"&gt;"&amp;0),2),0)*P104/10^6</f>
        <v>134.33000000000001</v>
      </c>
      <c r="Q166" s="6">
        <f>IFERROR(ROUND(AVERAGEIFS([1]!Resources[Fixed O&amp;M Cost],[1]!Resources[COD],"&lt;="&amp;Q$139,[1]!Resources[Retirement Date],"&gt;="&amp;Q$139,[1]!Resources[Unique Key],$G166,[1]!Resources[Summer Rating],"&gt;"&amp;0),2),0)*Q104/10^6</f>
        <v>134.33000000000001</v>
      </c>
      <c r="R166" s="6">
        <f>IFERROR(ROUND(AVERAGEIFS([1]!Resources[Fixed O&amp;M Cost],[1]!Resources[COD],"&lt;="&amp;R$139,[1]!Resources[Retirement Date],"&gt;="&amp;R$139,[1]!Resources[Unique Key],$G166,[1]!Resources[Summer Rating],"&gt;"&amp;0),2),0)*R104/10^6</f>
        <v>134.33000000000001</v>
      </c>
      <c r="S166" s="6">
        <f>IFERROR(ROUND(AVERAGEIFS([1]!Resources[Fixed O&amp;M Cost],[1]!Resources[COD],"&lt;="&amp;S$139,[1]!Resources[Retirement Date],"&gt;="&amp;S$139,[1]!Resources[Unique Key],$G166,[1]!Resources[Summer Rating],"&gt;"&amp;0),2),0)*S104/10^6</f>
        <v>134.33000000000001</v>
      </c>
      <c r="T166" s="6">
        <f>IFERROR(ROUND(AVERAGEIFS([1]!Resources[Fixed O&amp;M Cost],[1]!Resources[COD],"&lt;="&amp;T$139,[1]!Resources[Retirement Date],"&gt;="&amp;T$139,[1]!Resources[Unique Key],$G166,[1]!Resources[Summer Rating],"&gt;"&amp;0),2),0)*T104/10^6</f>
        <v>134.33000000000001</v>
      </c>
      <c r="U166" s="6">
        <f>IFERROR(ROUND(AVERAGEIFS([1]!Resources[Fixed O&amp;M Cost],[1]!Resources[COD],"&lt;="&amp;U$139,[1]!Resources[Retirement Date],"&gt;="&amp;U$139,[1]!Resources[Unique Key],$G166,[1]!Resources[Summer Rating],"&gt;"&amp;0),2),0)*U104/10^6</f>
        <v>134.33000000000001</v>
      </c>
      <c r="V166" s="6">
        <f>IFERROR(ROUND(AVERAGEIFS([1]!Resources[Fixed O&amp;M Cost],[1]!Resources[COD],"&lt;="&amp;V$139,[1]!Resources[Retirement Date],"&gt;="&amp;V$139,[1]!Resources[Unique Key],$G166,[1]!Resources[Summer Rating],"&gt;"&amp;0),2),0)*V104/10^6</f>
        <v>134.33000000000001</v>
      </c>
      <c r="W166" s="6">
        <f>IFERROR(ROUND(AVERAGEIFS([1]!Resources[Fixed O&amp;M Cost],[1]!Resources[COD],"&lt;="&amp;W$139,[1]!Resources[Retirement Date],"&gt;="&amp;W$139,[1]!Resources[Unique Key],$G166,[1]!Resources[Summer Rating],"&gt;"&amp;0),2),0)*W104/10^6</f>
        <v>134.33000000000001</v>
      </c>
      <c r="X166" s="6">
        <f>IFERROR(ROUND(AVERAGEIFS([1]!Resources[Fixed O&amp;M Cost],[1]!Resources[COD],"&lt;="&amp;X$139,[1]!Resources[Retirement Date],"&gt;="&amp;X$139,[1]!Resources[Unique Key],$G166,[1]!Resources[Summer Rating],"&gt;"&amp;0),2),0)*X104/10^6</f>
        <v>134.33000000000001</v>
      </c>
      <c r="Y166" s="6">
        <f>IFERROR(ROUND(AVERAGEIFS([1]!Resources[Fixed O&amp;M Cost],[1]!Resources[COD],"&lt;="&amp;Y$139,[1]!Resources[Retirement Date],"&gt;="&amp;Y$139,[1]!Resources[Unique Key],$G166,[1]!Resources[Summer Rating],"&gt;"&amp;0),2),0)*Y104/10^6</f>
        <v>134.33000000000001</v>
      </c>
      <c r="Z166" s="6">
        <f>IFERROR(ROUND(AVERAGEIFS([1]!Resources[Fixed O&amp;M Cost],[1]!Resources[COD],"&lt;="&amp;Z$139,[1]!Resources[Retirement Date],"&gt;="&amp;Z$139,[1]!Resources[Unique Key],$G166,[1]!Resources[Summer Rating],"&gt;"&amp;0),2),0)*Z104/10^6</f>
        <v>134.33000000000001</v>
      </c>
      <c r="AA166" s="6">
        <f>IFERROR(ROUND(AVERAGEIFS([1]!Resources[Fixed O&amp;M Cost],[1]!Resources[COD],"&lt;="&amp;AA$139,[1]!Resources[Retirement Date],"&gt;="&amp;AA$139,[1]!Resources[Unique Key],$G166,[1]!Resources[Summer Rating],"&gt;"&amp;0),2),0)*AA104/10^6</f>
        <v>134.33000000000001</v>
      </c>
      <c r="AB166" s="6">
        <f>IFERROR(ROUND(AVERAGEIFS([1]!Resources[Fixed O&amp;M Cost],[1]!Resources[COD],"&lt;="&amp;AB$139,[1]!Resources[Retirement Date],"&gt;="&amp;AB$139,[1]!Resources[Unique Key],$G166,[1]!Resources[Summer Rating],"&gt;"&amp;0),2),0)*AB104/10^6</f>
        <v>134.33000000000001</v>
      </c>
      <c r="AC166" s="6">
        <f>IFERROR(ROUND(AVERAGEIFS([1]!Resources[Fixed O&amp;M Cost],[1]!Resources[COD],"&lt;="&amp;AC$139,[1]!Resources[Retirement Date],"&gt;="&amp;AC$139,[1]!Resources[Unique Key],$G166,[1]!Resources[Summer Rating],"&gt;"&amp;0),2),0)*AC104/10^6</f>
        <v>134.33000000000001</v>
      </c>
      <c r="AD166" s="6">
        <f>IFERROR(ROUND(AVERAGEIFS([1]!Resources[Fixed O&amp;M Cost],[1]!Resources[COD],"&lt;="&amp;AD$139,[1]!Resources[Retirement Date],"&gt;="&amp;AD$139,[1]!Resources[Unique Key],$G166,[1]!Resources[Summer Rating],"&gt;"&amp;0),2),0)*AD104/10^6</f>
        <v>134.33000000000001</v>
      </c>
      <c r="AE166" s="6">
        <f>IFERROR(ROUND(AVERAGEIFS([1]!Resources[Fixed O&amp;M Cost],[1]!Resources[COD],"&lt;="&amp;AE$139,[1]!Resources[Retirement Date],"&gt;="&amp;AE$139,[1]!Resources[Unique Key],$G166,[1]!Resources[Summer Rating],"&gt;"&amp;0),2),0)*AE104/10^6</f>
        <v>134.33000000000001</v>
      </c>
      <c r="AF166" s="6">
        <f>IFERROR(ROUND(AVERAGEIFS([1]!Resources[Fixed O&amp;M Cost],[1]!Resources[COD],"&lt;="&amp;AF$139,[1]!Resources[Retirement Date],"&gt;="&amp;AF$139,[1]!Resources[Unique Key],$G166,[1]!Resources[Summer Rating],"&gt;"&amp;0),2),0)*AF104/10^6</f>
        <v>134.33000000000001</v>
      </c>
      <c r="AG166" s="6">
        <f>IFERROR(ROUND(AVERAGEIFS([1]!Resources[Fixed O&amp;M Cost],[1]!Resources[COD],"&lt;="&amp;AG$139,[1]!Resources[Retirement Date],"&gt;="&amp;AG$139,[1]!Resources[Unique Key],$G166,[1]!Resources[Summer Rating],"&gt;"&amp;0),2),0)*AG104/10^6</f>
        <v>134.33000000000001</v>
      </c>
      <c r="AI166" s="5" t="s">
        <v>70</v>
      </c>
      <c r="AJ166" s="6" cm="1">
        <f t="array" ref="AJ166">IFERROR(INDEX(AJ$174:AJ$175,MATCH(_xlfn.TEXTAFTER(INDEX($F$78:$F$129,MATCH($AI166,$G$78:$G$129,0))," "),_xlfn.TEXTBEFORE($AI$174:$AI$175," - ")),0),0)</f>
        <v>0</v>
      </c>
      <c r="AK166" s="6" cm="1">
        <f t="array" ref="AK166">IFERROR(INDEX(AK$174:AK$175,MATCH(_xlfn.TEXTAFTER(INDEX($F$78:$F$129,MATCH($AI166,$G$78:$G$129,0))," "),_xlfn.TEXTBEFORE($AI$174:$AI$175," - ")),0),0)</f>
        <v>0</v>
      </c>
      <c r="AL166" s="6" cm="1">
        <f t="array" ref="AL166">IFERROR(INDEX(AL$174:AL$175,MATCH(_xlfn.TEXTAFTER(INDEX($F$78:$F$129,MATCH($AI166,$G$78:$G$129,0))," "),_xlfn.TEXTBEFORE($AI$174:$AI$175," - ")),0),0)</f>
        <v>0</v>
      </c>
      <c r="AM166" s="6" cm="1">
        <f t="array" ref="AM166">IFERROR(INDEX(AM$174:AM$175,MATCH(_xlfn.TEXTAFTER(INDEX($F$78:$F$129,MATCH($AI166,$G$78:$G$129,0))," "),_xlfn.TEXTBEFORE($AI$174:$AI$175," - ")),0),0)</f>
        <v>0</v>
      </c>
      <c r="AN166" s="6" cm="1">
        <f t="array" ref="AN166">IFERROR(INDEX(AN$174:AN$175,MATCH(_xlfn.TEXTAFTER(INDEX($F$78:$F$129,MATCH($AI166,$G$78:$G$129,0))," "),_xlfn.TEXTBEFORE($AI$174:$AI$175," - ")),0),0)</f>
        <v>0</v>
      </c>
      <c r="AO166" s="6" cm="1">
        <f t="array" ref="AO166">IFERROR(INDEX(AO$174:AO$175,MATCH(_xlfn.TEXTAFTER(INDEX($F$78:$F$129,MATCH($AI166,$G$78:$G$129,0))," "),_xlfn.TEXTBEFORE($AI$174:$AI$175," - ")),0),0)</f>
        <v>0</v>
      </c>
      <c r="AP166" s="6" cm="1">
        <f t="array" ref="AP166">IFERROR(INDEX(AP$174:AP$175,MATCH(_xlfn.TEXTAFTER(INDEX($F$78:$F$129,MATCH($AI166,$G$78:$G$129,0))," "),_xlfn.TEXTBEFORE($AI$174:$AI$175," - ")),0),0)</f>
        <v>0</v>
      </c>
      <c r="AQ166" s="6" cm="1">
        <f t="array" ref="AQ166">IFERROR(INDEX(AQ$174:AQ$175,MATCH(_xlfn.TEXTAFTER(INDEX($F$78:$F$129,MATCH($AI166,$G$78:$G$129,0))," "),_xlfn.TEXTBEFORE($AI$174:$AI$175," - ")),0),0)</f>
        <v>0</v>
      </c>
      <c r="AR166" s="6" cm="1">
        <f t="array" ref="AR166">IFERROR(INDEX(AR$174:AR$175,MATCH(_xlfn.TEXTAFTER(INDEX($F$78:$F$129,MATCH($AI166,$G$78:$G$129,0))," "),_xlfn.TEXTBEFORE($AI$174:$AI$175," - ")),0),0)</f>
        <v>0</v>
      </c>
      <c r="AS166" s="6" cm="1">
        <f t="array" ref="AS166">IFERROR(INDEX(AS$174:AS$175,MATCH(_xlfn.TEXTAFTER(INDEX($F$78:$F$129,MATCH($AI166,$G$78:$G$129,0))," "),_xlfn.TEXTBEFORE($AI$174:$AI$175," - ")),0),0)</f>
        <v>0</v>
      </c>
      <c r="AT166" s="6" cm="1">
        <f t="array" ref="AT166">IFERROR(INDEX(AT$174:AT$175,MATCH(_xlfn.TEXTAFTER(INDEX($F$78:$F$129,MATCH($AI166,$G$78:$G$129,0))," "),_xlfn.TEXTBEFORE($AI$174:$AI$175," - ")),0),0)</f>
        <v>0</v>
      </c>
      <c r="AU166" s="6" cm="1">
        <f t="array" ref="AU166">IFERROR(INDEX(AU$174:AU$175,MATCH(_xlfn.TEXTAFTER(INDEX($F$78:$F$129,MATCH($AI166,$G$78:$G$129,0))," "),_xlfn.TEXTBEFORE($AI$174:$AI$175," - ")),0),0)</f>
        <v>0</v>
      </c>
      <c r="AV166" s="6" cm="1">
        <f t="array" ref="AV166">IFERROR(INDEX(AV$174:AV$175,MATCH(_xlfn.TEXTAFTER(INDEX($F$78:$F$129,MATCH($AI166,$G$78:$G$129,0))," "),_xlfn.TEXTBEFORE($AI$174:$AI$175," - ")),0),0)</f>
        <v>0</v>
      </c>
      <c r="AW166" s="6" cm="1">
        <f t="array" ref="AW166">IFERROR(INDEX(AW$174:AW$175,MATCH(_xlfn.TEXTAFTER(INDEX($F$78:$F$129,MATCH($AI166,$G$78:$G$129,0))," "),_xlfn.TEXTBEFORE($AI$174:$AI$175," - ")),0),0)</f>
        <v>0</v>
      </c>
      <c r="AX166" s="6" cm="1">
        <f t="array" ref="AX166">IFERROR(INDEX(AX$174:AX$175,MATCH(_xlfn.TEXTAFTER(INDEX($F$78:$F$129,MATCH($AI166,$G$78:$G$129,0))," "),_xlfn.TEXTBEFORE($AI$174:$AI$175," - ")),0),0)</f>
        <v>0</v>
      </c>
      <c r="AY166" s="6" cm="1">
        <f t="array" ref="AY166">IFERROR(INDEX(AY$174:AY$175,MATCH(_xlfn.TEXTAFTER(INDEX($F$78:$F$129,MATCH($AI166,$G$78:$G$129,0))," "),_xlfn.TEXTBEFORE($AI$174:$AI$175," - ")),0),0)</f>
        <v>0</v>
      </c>
      <c r="AZ166" s="6" cm="1">
        <f t="array" ref="AZ166">IFERROR(INDEX(AZ$174:AZ$175,MATCH(_xlfn.TEXTAFTER(INDEX($F$78:$F$129,MATCH($AI166,$G$78:$G$129,0))," "),_xlfn.TEXTBEFORE($AI$174:$AI$175," - ")),0),0)</f>
        <v>0</v>
      </c>
      <c r="BA166" s="6" cm="1">
        <f t="array" ref="BA166">IFERROR(INDEX(BA$174:BA$175,MATCH(_xlfn.TEXTAFTER(INDEX($F$78:$F$129,MATCH($AI166,$G$78:$G$129,0))," "),_xlfn.TEXTBEFORE($AI$174:$AI$175," - ")),0),0)</f>
        <v>0</v>
      </c>
      <c r="BB166" s="6" cm="1">
        <f t="array" ref="BB166">IFERROR(INDEX(BB$174:BB$175,MATCH(_xlfn.TEXTAFTER(INDEX($F$78:$F$129,MATCH($AI166,$G$78:$G$129,0))," "),_xlfn.TEXTBEFORE($AI$174:$AI$175," - ")),0),0)</f>
        <v>0</v>
      </c>
      <c r="BC166" s="6" cm="1">
        <f t="array" ref="BC166">IFERROR(INDEX(BC$174:BC$175,MATCH(_xlfn.TEXTAFTER(INDEX($F$78:$F$129,MATCH($AI166,$G$78:$G$129,0))," "),_xlfn.TEXTBEFORE($AI$174:$AI$175," - ")),0),0)</f>
        <v>0</v>
      </c>
      <c r="BD166" s="6" cm="1">
        <f t="array" ref="BD166">IFERROR(INDEX(BD$174:BD$175,MATCH(_xlfn.TEXTAFTER(INDEX($F$78:$F$129,MATCH($AI166,$G$78:$G$129,0))," "),_xlfn.TEXTBEFORE($AI$174:$AI$175," - ")),0),0)</f>
        <v>0</v>
      </c>
      <c r="BE166" s="6" cm="1">
        <f t="array" ref="BE166">IFERROR(INDEX(BE$174:BE$175,MATCH(_xlfn.TEXTAFTER(INDEX($F$78:$F$129,MATCH($AI166,$G$78:$G$129,0))," "),_xlfn.TEXTBEFORE($AI$174:$AI$175," - ")),0),0)</f>
        <v>0</v>
      </c>
      <c r="BF166" s="6" cm="1">
        <f t="array" ref="BF166">IFERROR(INDEX(BF$174:BF$175,MATCH(_xlfn.TEXTAFTER(INDEX($F$78:$F$129,MATCH($AI166,$G$78:$G$129,0))," "),_xlfn.TEXTBEFORE($AI$174:$AI$175," - ")),0),0)</f>
        <v>0</v>
      </c>
      <c r="BG166" s="6" cm="1">
        <f t="array" ref="BG166">IFERROR(INDEX(BG$174:BG$175,MATCH(_xlfn.TEXTAFTER(INDEX($F$78:$F$129,MATCH($AI166,$G$78:$G$129,0))," "),_xlfn.TEXTBEFORE($AI$174:$AI$175," - ")),0),0)</f>
        <v>0</v>
      </c>
      <c r="BH166" s="6" cm="1">
        <f t="array" ref="BH166">IFERROR(INDEX(BH$174:BH$175,MATCH(_xlfn.TEXTAFTER(INDEX($F$78:$F$129,MATCH($AI166,$G$78:$G$129,0))," "),_xlfn.TEXTBEFORE($AI$174:$AI$175," - ")),0),0)</f>
        <v>0</v>
      </c>
      <c r="BI166" s="6" cm="1">
        <f t="array" ref="BI166">IFERROR(INDEX(BI$174:BI$175,MATCH(_xlfn.TEXTAFTER(INDEX($F$78:$F$129,MATCH($AI166,$G$78:$G$129,0))," "),_xlfn.TEXTBEFORE($AI$174:$AI$175," - ")),0),0)</f>
        <v>0</v>
      </c>
    </row>
    <row r="167" spans="7:61" ht="16" x14ac:dyDescent="0.2">
      <c r="G167" s="5" t="s">
        <v>71</v>
      </c>
      <c r="H167" s="6">
        <f>IFERROR(ROUND(AVERAGEIFS([1]!Resources[Fixed O&amp;M Cost],[1]!Resources[COD],"&lt;="&amp;H$139,[1]!Resources[Retirement Date],"&gt;="&amp;H$139,[1]!Resources[Unique Key],$G167,[1]!Resources[Summer Rating],"&gt;"&amp;0),2),0)*H105/10^6</f>
        <v>1.2336</v>
      </c>
      <c r="I167" s="6">
        <f>IFERROR(ROUND(AVERAGEIFS([1]!Resources[Fixed O&amp;M Cost],[1]!Resources[COD],"&lt;="&amp;I$139,[1]!Resources[Retirement Date],"&gt;="&amp;I$139,[1]!Resources[Unique Key],$G167,[1]!Resources[Summer Rating],"&gt;"&amp;0),2),0)*I105/10^6</f>
        <v>0</v>
      </c>
      <c r="J167" s="6">
        <f>IFERROR(ROUND(AVERAGEIFS([1]!Resources[Fixed O&amp;M Cost],[1]!Resources[COD],"&lt;="&amp;J$139,[1]!Resources[Retirement Date],"&gt;="&amp;J$139,[1]!Resources[Unique Key],$G167,[1]!Resources[Summer Rating],"&gt;"&amp;0),2),0)*J105/10^6</f>
        <v>0</v>
      </c>
      <c r="K167" s="6">
        <f>IFERROR(ROUND(AVERAGEIFS([1]!Resources[Fixed O&amp;M Cost],[1]!Resources[COD],"&lt;="&amp;K$139,[1]!Resources[Retirement Date],"&gt;="&amp;K$139,[1]!Resources[Unique Key],$G167,[1]!Resources[Summer Rating],"&gt;"&amp;0),2),0)*K105/10^6</f>
        <v>0</v>
      </c>
      <c r="L167" s="6">
        <f>IFERROR(ROUND(AVERAGEIFS([1]!Resources[Fixed O&amp;M Cost],[1]!Resources[COD],"&lt;="&amp;L$139,[1]!Resources[Retirement Date],"&gt;="&amp;L$139,[1]!Resources[Unique Key],$G167,[1]!Resources[Summer Rating],"&gt;"&amp;0),2),0)*L105/10^6</f>
        <v>0</v>
      </c>
      <c r="M167" s="6">
        <f>IFERROR(ROUND(AVERAGEIFS([1]!Resources[Fixed O&amp;M Cost],[1]!Resources[COD],"&lt;="&amp;M$139,[1]!Resources[Retirement Date],"&gt;="&amp;M$139,[1]!Resources[Unique Key],$G167,[1]!Resources[Summer Rating],"&gt;"&amp;0),2),0)*M105/10^6</f>
        <v>0</v>
      </c>
      <c r="N167" s="6">
        <f>IFERROR(ROUND(AVERAGEIFS([1]!Resources[Fixed O&amp;M Cost],[1]!Resources[COD],"&lt;="&amp;N$139,[1]!Resources[Retirement Date],"&gt;="&amp;N$139,[1]!Resources[Unique Key],$G167,[1]!Resources[Summer Rating],"&gt;"&amp;0),2),0)*N105/10^6</f>
        <v>0</v>
      </c>
      <c r="O167" s="6">
        <f>IFERROR(ROUND(AVERAGEIFS([1]!Resources[Fixed O&amp;M Cost],[1]!Resources[COD],"&lt;="&amp;O$139,[1]!Resources[Retirement Date],"&gt;="&amp;O$139,[1]!Resources[Unique Key],$G167,[1]!Resources[Summer Rating],"&gt;"&amp;0),2),0)*O105/10^6</f>
        <v>0</v>
      </c>
      <c r="P167" s="6">
        <f>IFERROR(ROUND(AVERAGEIFS([1]!Resources[Fixed O&amp;M Cost],[1]!Resources[COD],"&lt;="&amp;P$139,[1]!Resources[Retirement Date],"&gt;="&amp;P$139,[1]!Resources[Unique Key],$G167,[1]!Resources[Summer Rating],"&gt;"&amp;0),2),0)*P105/10^6</f>
        <v>0</v>
      </c>
      <c r="Q167" s="6">
        <f>IFERROR(ROUND(AVERAGEIFS([1]!Resources[Fixed O&amp;M Cost],[1]!Resources[COD],"&lt;="&amp;Q$139,[1]!Resources[Retirement Date],"&gt;="&amp;Q$139,[1]!Resources[Unique Key],$G167,[1]!Resources[Summer Rating],"&gt;"&amp;0),2),0)*Q105/10^6</f>
        <v>0</v>
      </c>
      <c r="R167" s="6">
        <f>IFERROR(ROUND(AVERAGEIFS([1]!Resources[Fixed O&amp;M Cost],[1]!Resources[COD],"&lt;="&amp;R$139,[1]!Resources[Retirement Date],"&gt;="&amp;R$139,[1]!Resources[Unique Key],$G167,[1]!Resources[Summer Rating],"&gt;"&amp;0),2),0)*R105/10^6</f>
        <v>0</v>
      </c>
      <c r="S167" s="6">
        <f>IFERROR(ROUND(AVERAGEIFS([1]!Resources[Fixed O&amp;M Cost],[1]!Resources[COD],"&lt;="&amp;S$139,[1]!Resources[Retirement Date],"&gt;="&amp;S$139,[1]!Resources[Unique Key],$G167,[1]!Resources[Summer Rating],"&gt;"&amp;0),2),0)*S105/10^6</f>
        <v>0</v>
      </c>
      <c r="T167" s="6">
        <f>IFERROR(ROUND(AVERAGEIFS([1]!Resources[Fixed O&amp;M Cost],[1]!Resources[COD],"&lt;="&amp;T$139,[1]!Resources[Retirement Date],"&gt;="&amp;T$139,[1]!Resources[Unique Key],$G167,[1]!Resources[Summer Rating],"&gt;"&amp;0),2),0)*T105/10^6</f>
        <v>0</v>
      </c>
      <c r="U167" s="6">
        <f>IFERROR(ROUND(AVERAGEIFS([1]!Resources[Fixed O&amp;M Cost],[1]!Resources[COD],"&lt;="&amp;U$139,[1]!Resources[Retirement Date],"&gt;="&amp;U$139,[1]!Resources[Unique Key],$G167,[1]!Resources[Summer Rating],"&gt;"&amp;0),2),0)*U105/10^6</f>
        <v>0</v>
      </c>
      <c r="V167" s="6">
        <f>IFERROR(ROUND(AVERAGEIFS([1]!Resources[Fixed O&amp;M Cost],[1]!Resources[COD],"&lt;="&amp;V$139,[1]!Resources[Retirement Date],"&gt;="&amp;V$139,[1]!Resources[Unique Key],$G167,[1]!Resources[Summer Rating],"&gt;"&amp;0),2),0)*V105/10^6</f>
        <v>0</v>
      </c>
      <c r="W167" s="6">
        <f>IFERROR(ROUND(AVERAGEIFS([1]!Resources[Fixed O&amp;M Cost],[1]!Resources[COD],"&lt;="&amp;W$139,[1]!Resources[Retirement Date],"&gt;="&amp;W$139,[1]!Resources[Unique Key],$G167,[1]!Resources[Summer Rating],"&gt;"&amp;0),2),0)*W105/10^6</f>
        <v>0</v>
      </c>
      <c r="X167" s="6">
        <f>IFERROR(ROUND(AVERAGEIFS([1]!Resources[Fixed O&amp;M Cost],[1]!Resources[COD],"&lt;="&amp;X$139,[1]!Resources[Retirement Date],"&gt;="&amp;X$139,[1]!Resources[Unique Key],$G167,[1]!Resources[Summer Rating],"&gt;"&amp;0),2),0)*X105/10^6</f>
        <v>0</v>
      </c>
      <c r="Y167" s="6">
        <f>IFERROR(ROUND(AVERAGEIFS([1]!Resources[Fixed O&amp;M Cost],[1]!Resources[COD],"&lt;="&amp;Y$139,[1]!Resources[Retirement Date],"&gt;="&amp;Y$139,[1]!Resources[Unique Key],$G167,[1]!Resources[Summer Rating],"&gt;"&amp;0),2),0)*Y105/10^6</f>
        <v>0</v>
      </c>
      <c r="Z167" s="6">
        <f>IFERROR(ROUND(AVERAGEIFS([1]!Resources[Fixed O&amp;M Cost],[1]!Resources[COD],"&lt;="&amp;Z$139,[1]!Resources[Retirement Date],"&gt;="&amp;Z$139,[1]!Resources[Unique Key],$G167,[1]!Resources[Summer Rating],"&gt;"&amp;0),2),0)*Z105/10^6</f>
        <v>0</v>
      </c>
      <c r="AA167" s="6">
        <f>IFERROR(ROUND(AVERAGEIFS([1]!Resources[Fixed O&amp;M Cost],[1]!Resources[COD],"&lt;="&amp;AA$139,[1]!Resources[Retirement Date],"&gt;="&amp;AA$139,[1]!Resources[Unique Key],$G167,[1]!Resources[Summer Rating],"&gt;"&amp;0),2),0)*AA105/10^6</f>
        <v>0</v>
      </c>
      <c r="AB167" s="6">
        <f>IFERROR(ROUND(AVERAGEIFS([1]!Resources[Fixed O&amp;M Cost],[1]!Resources[COD],"&lt;="&amp;AB$139,[1]!Resources[Retirement Date],"&gt;="&amp;AB$139,[1]!Resources[Unique Key],$G167,[1]!Resources[Summer Rating],"&gt;"&amp;0),2),0)*AB105/10^6</f>
        <v>0</v>
      </c>
      <c r="AC167" s="6">
        <f>IFERROR(ROUND(AVERAGEIFS([1]!Resources[Fixed O&amp;M Cost],[1]!Resources[COD],"&lt;="&amp;AC$139,[1]!Resources[Retirement Date],"&gt;="&amp;AC$139,[1]!Resources[Unique Key],$G167,[1]!Resources[Summer Rating],"&gt;"&amp;0),2),0)*AC105/10^6</f>
        <v>0</v>
      </c>
      <c r="AD167" s="6">
        <f>IFERROR(ROUND(AVERAGEIFS([1]!Resources[Fixed O&amp;M Cost],[1]!Resources[COD],"&lt;="&amp;AD$139,[1]!Resources[Retirement Date],"&gt;="&amp;AD$139,[1]!Resources[Unique Key],$G167,[1]!Resources[Summer Rating],"&gt;"&amp;0),2),0)*AD105/10^6</f>
        <v>0</v>
      </c>
      <c r="AE167" s="6">
        <f>IFERROR(ROUND(AVERAGEIFS([1]!Resources[Fixed O&amp;M Cost],[1]!Resources[COD],"&lt;="&amp;AE$139,[1]!Resources[Retirement Date],"&gt;="&amp;AE$139,[1]!Resources[Unique Key],$G167,[1]!Resources[Summer Rating],"&gt;"&amp;0),2),0)*AE105/10^6</f>
        <v>0</v>
      </c>
      <c r="AF167" s="6">
        <f>IFERROR(ROUND(AVERAGEIFS([1]!Resources[Fixed O&amp;M Cost],[1]!Resources[COD],"&lt;="&amp;AF$139,[1]!Resources[Retirement Date],"&gt;="&amp;AF$139,[1]!Resources[Unique Key],$G167,[1]!Resources[Summer Rating],"&gt;"&amp;0),2),0)*AF105/10^6</f>
        <v>0</v>
      </c>
      <c r="AG167" s="6">
        <f>IFERROR(ROUND(AVERAGEIFS([1]!Resources[Fixed O&amp;M Cost],[1]!Resources[COD],"&lt;="&amp;AG$139,[1]!Resources[Retirement Date],"&gt;="&amp;AG$139,[1]!Resources[Unique Key],$G167,[1]!Resources[Summer Rating],"&gt;"&amp;0),2),0)*AG105/10^6</f>
        <v>0</v>
      </c>
      <c r="AI167" s="5" t="s">
        <v>71</v>
      </c>
      <c r="AJ167" s="6" cm="1">
        <f t="array" ref="AJ167">IFERROR(INDEX(AJ$174:AJ$175,MATCH(_xlfn.TEXTAFTER(INDEX($F$78:$F$129,MATCH($AI167,$G$78:$G$129,0))," "),_xlfn.TEXTBEFORE($AI$174:$AI$175," - ")),0),0)</f>
        <v>92503.140684153317</v>
      </c>
      <c r="AK167" s="6" cm="1">
        <f t="array" ref="AK167">IFERROR(INDEX(AK$174:AK$175,MATCH(_xlfn.TEXTAFTER(INDEX($F$78:$F$129,MATCH($AI167,$G$78:$G$129,0))," "),_xlfn.TEXTBEFORE($AI$174:$AI$175," - ")),0),0)</f>
        <v>92503.140684153317</v>
      </c>
      <c r="AL167" s="6" cm="1">
        <f t="array" ref="AL167">IFERROR(INDEX(AL$174:AL$175,MATCH(_xlfn.TEXTAFTER(INDEX($F$78:$F$129,MATCH($AI167,$G$78:$G$129,0))," "),_xlfn.TEXTBEFORE($AI$174:$AI$175," - ")),0),0)</f>
        <v>92503.140684153317</v>
      </c>
      <c r="AM167" s="6" cm="1">
        <f t="array" ref="AM167">IFERROR(INDEX(AM$174:AM$175,MATCH(_xlfn.TEXTAFTER(INDEX($F$78:$F$129,MATCH($AI167,$G$78:$G$129,0))," "),_xlfn.TEXTBEFORE($AI$174:$AI$175," - ")),0),0)</f>
        <v>92503.140684153317</v>
      </c>
      <c r="AN167" s="6" cm="1">
        <f t="array" ref="AN167">IFERROR(INDEX(AN$174:AN$175,MATCH(_xlfn.TEXTAFTER(INDEX($F$78:$F$129,MATCH($AI167,$G$78:$G$129,0))," "),_xlfn.TEXTBEFORE($AI$174:$AI$175," - ")),0),0)</f>
        <v>92503.140684153317</v>
      </c>
      <c r="AO167" s="6" cm="1">
        <f t="array" ref="AO167">IFERROR(INDEX(AO$174:AO$175,MATCH(_xlfn.TEXTAFTER(INDEX($F$78:$F$129,MATCH($AI167,$G$78:$G$129,0))," "),_xlfn.TEXTBEFORE($AI$174:$AI$175," - ")),0),0)</f>
        <v>92503.140684153317</v>
      </c>
      <c r="AP167" s="6" cm="1">
        <f t="array" ref="AP167">IFERROR(INDEX(AP$174:AP$175,MATCH(_xlfn.TEXTAFTER(INDEX($F$78:$F$129,MATCH($AI167,$G$78:$G$129,0))," "),_xlfn.TEXTBEFORE($AI$174:$AI$175," - ")),0),0)</f>
        <v>92503.140684153317</v>
      </c>
      <c r="AQ167" s="6" cm="1">
        <f t="array" ref="AQ167">IFERROR(INDEX(AQ$174:AQ$175,MATCH(_xlfn.TEXTAFTER(INDEX($F$78:$F$129,MATCH($AI167,$G$78:$G$129,0))," "),_xlfn.TEXTBEFORE($AI$174:$AI$175," - ")),0),0)</f>
        <v>92503.140684153317</v>
      </c>
      <c r="AR167" s="6" cm="1">
        <f t="array" ref="AR167">IFERROR(INDEX(AR$174:AR$175,MATCH(_xlfn.TEXTAFTER(INDEX($F$78:$F$129,MATCH($AI167,$G$78:$G$129,0))," "),_xlfn.TEXTBEFORE($AI$174:$AI$175," - ")),0),0)</f>
        <v>92503.140684153317</v>
      </c>
      <c r="AS167" s="6" cm="1">
        <f t="array" ref="AS167">IFERROR(INDEX(AS$174:AS$175,MATCH(_xlfn.TEXTAFTER(INDEX($F$78:$F$129,MATCH($AI167,$G$78:$G$129,0))," "),_xlfn.TEXTBEFORE($AI$174:$AI$175," - ")),0),0)</f>
        <v>92503.140684153317</v>
      </c>
      <c r="AT167" s="6" cm="1">
        <f t="array" ref="AT167">IFERROR(INDEX(AT$174:AT$175,MATCH(_xlfn.TEXTAFTER(INDEX($F$78:$F$129,MATCH($AI167,$G$78:$G$129,0))," "),_xlfn.TEXTBEFORE($AI$174:$AI$175," - ")),0),0)</f>
        <v>92503.140684153317</v>
      </c>
      <c r="AU167" s="6" cm="1">
        <f t="array" ref="AU167">IFERROR(INDEX(AU$174:AU$175,MATCH(_xlfn.TEXTAFTER(INDEX($F$78:$F$129,MATCH($AI167,$G$78:$G$129,0))," "),_xlfn.TEXTBEFORE($AI$174:$AI$175," - ")),0),0)</f>
        <v>92503.140684153317</v>
      </c>
      <c r="AV167" s="6" cm="1">
        <f t="array" ref="AV167">IFERROR(INDEX(AV$174:AV$175,MATCH(_xlfn.TEXTAFTER(INDEX($F$78:$F$129,MATCH($AI167,$G$78:$G$129,0))," "),_xlfn.TEXTBEFORE($AI$174:$AI$175," - ")),0),0)</f>
        <v>92503.140684153317</v>
      </c>
      <c r="AW167" s="6" cm="1">
        <f t="array" ref="AW167">IFERROR(INDEX(AW$174:AW$175,MATCH(_xlfn.TEXTAFTER(INDEX($F$78:$F$129,MATCH($AI167,$G$78:$G$129,0))," "),_xlfn.TEXTBEFORE($AI$174:$AI$175," - ")),0),0)</f>
        <v>92503.140684153317</v>
      </c>
      <c r="AX167" s="6" cm="1">
        <f t="array" ref="AX167">IFERROR(INDEX(AX$174:AX$175,MATCH(_xlfn.TEXTAFTER(INDEX($F$78:$F$129,MATCH($AI167,$G$78:$G$129,0))," "),_xlfn.TEXTBEFORE($AI$174:$AI$175," - ")),0),0)</f>
        <v>92503.140684153317</v>
      </c>
      <c r="AY167" s="6" cm="1">
        <f t="array" ref="AY167">IFERROR(INDEX(AY$174:AY$175,MATCH(_xlfn.TEXTAFTER(INDEX($F$78:$F$129,MATCH($AI167,$G$78:$G$129,0))," "),_xlfn.TEXTBEFORE($AI$174:$AI$175," - ")),0),0)</f>
        <v>92503.140684153317</v>
      </c>
      <c r="AZ167" s="6" cm="1">
        <f t="array" ref="AZ167">IFERROR(INDEX(AZ$174:AZ$175,MATCH(_xlfn.TEXTAFTER(INDEX($F$78:$F$129,MATCH($AI167,$G$78:$G$129,0))," "),_xlfn.TEXTBEFORE($AI$174:$AI$175," - ")),0),0)</f>
        <v>92503.140684153317</v>
      </c>
      <c r="BA167" s="6" cm="1">
        <f t="array" ref="BA167">IFERROR(INDEX(BA$174:BA$175,MATCH(_xlfn.TEXTAFTER(INDEX($F$78:$F$129,MATCH($AI167,$G$78:$G$129,0))," "),_xlfn.TEXTBEFORE($AI$174:$AI$175," - ")),0),0)</f>
        <v>92503.140684153317</v>
      </c>
      <c r="BB167" s="6" cm="1">
        <f t="array" ref="BB167">IFERROR(INDEX(BB$174:BB$175,MATCH(_xlfn.TEXTAFTER(INDEX($F$78:$F$129,MATCH($AI167,$G$78:$G$129,0))," "),_xlfn.TEXTBEFORE($AI$174:$AI$175," - ")),0),0)</f>
        <v>92503.140684153317</v>
      </c>
      <c r="BC167" s="6" cm="1">
        <f t="array" ref="BC167">IFERROR(INDEX(BC$174:BC$175,MATCH(_xlfn.TEXTAFTER(INDEX($F$78:$F$129,MATCH($AI167,$G$78:$G$129,0))," "),_xlfn.TEXTBEFORE($AI$174:$AI$175," - ")),0),0)</f>
        <v>92503.140684153317</v>
      </c>
      <c r="BD167" s="6" cm="1">
        <f t="array" ref="BD167">IFERROR(INDEX(BD$174:BD$175,MATCH(_xlfn.TEXTAFTER(INDEX($F$78:$F$129,MATCH($AI167,$G$78:$G$129,0))," "),_xlfn.TEXTBEFORE($AI$174:$AI$175," - ")),0),0)</f>
        <v>92503.140684153317</v>
      </c>
      <c r="BE167" s="6" cm="1">
        <f t="array" ref="BE167">IFERROR(INDEX(BE$174:BE$175,MATCH(_xlfn.TEXTAFTER(INDEX($F$78:$F$129,MATCH($AI167,$G$78:$G$129,0))," "),_xlfn.TEXTBEFORE($AI$174:$AI$175," - ")),0),0)</f>
        <v>92503.140684153317</v>
      </c>
      <c r="BF167" s="6" cm="1">
        <f t="array" ref="BF167">IFERROR(INDEX(BF$174:BF$175,MATCH(_xlfn.TEXTAFTER(INDEX($F$78:$F$129,MATCH($AI167,$G$78:$G$129,0))," "),_xlfn.TEXTBEFORE($AI$174:$AI$175," - ")),0),0)</f>
        <v>92503.140684153317</v>
      </c>
      <c r="BG167" s="6" cm="1">
        <f t="array" ref="BG167">IFERROR(INDEX(BG$174:BG$175,MATCH(_xlfn.TEXTAFTER(INDEX($F$78:$F$129,MATCH($AI167,$G$78:$G$129,0))," "),_xlfn.TEXTBEFORE($AI$174:$AI$175," - ")),0),0)</f>
        <v>92503.140684153317</v>
      </c>
      <c r="BH167" s="6" cm="1">
        <f t="array" ref="BH167">IFERROR(INDEX(BH$174:BH$175,MATCH(_xlfn.TEXTAFTER(INDEX($F$78:$F$129,MATCH($AI167,$G$78:$G$129,0))," "),_xlfn.TEXTBEFORE($AI$174:$AI$175," - ")),0),0)</f>
        <v>92503.140684153317</v>
      </c>
      <c r="BI167" s="6" cm="1">
        <f t="array" ref="BI167">IFERROR(INDEX(BI$174:BI$175,MATCH(_xlfn.TEXTAFTER(INDEX($F$78:$F$129,MATCH($AI167,$G$78:$G$129,0))," "),_xlfn.TEXTBEFORE($AI$174:$AI$175," - ")),0),0)</f>
        <v>92503.140684153317</v>
      </c>
    </row>
    <row r="168" spans="7:61" ht="16" x14ac:dyDescent="0.2">
      <c r="G168" s="5" t="s">
        <v>72</v>
      </c>
      <c r="H168" s="6">
        <f>IFERROR(ROUND(AVERAGEIFS([1]!Resources[Fixed O&amp;M Cost],[1]!Resources[COD],"&lt;="&amp;H$139,[1]!Resources[Retirement Date],"&gt;="&amp;H$139,[1]!Resources[Unique Key],$G168,[1]!Resources[Summer Rating],"&gt;"&amp;0),2),0)*H106/10^6</f>
        <v>81.55</v>
      </c>
      <c r="I168" s="6">
        <f>IFERROR(ROUND(AVERAGEIFS([1]!Resources[Fixed O&amp;M Cost],[1]!Resources[COD],"&lt;="&amp;I$139,[1]!Resources[Retirement Date],"&gt;="&amp;I$139,[1]!Resources[Unique Key],$G168,[1]!Resources[Summer Rating],"&gt;"&amp;0),2),0)*I106/10^6</f>
        <v>81.55</v>
      </c>
      <c r="J168" s="6">
        <f>IFERROR(ROUND(AVERAGEIFS([1]!Resources[Fixed O&amp;M Cost],[1]!Resources[COD],"&lt;="&amp;J$139,[1]!Resources[Retirement Date],"&gt;="&amp;J$139,[1]!Resources[Unique Key],$G168,[1]!Resources[Summer Rating],"&gt;"&amp;0),2),0)*J106/10^6</f>
        <v>81.55</v>
      </c>
      <c r="K168" s="6">
        <f>IFERROR(ROUND(AVERAGEIFS([1]!Resources[Fixed O&amp;M Cost],[1]!Resources[COD],"&lt;="&amp;K$139,[1]!Resources[Retirement Date],"&gt;="&amp;K$139,[1]!Resources[Unique Key],$G168,[1]!Resources[Summer Rating],"&gt;"&amp;0),2),0)*K106/10^6</f>
        <v>60.76</v>
      </c>
      <c r="L168" s="6">
        <f>IFERROR(ROUND(AVERAGEIFS([1]!Resources[Fixed O&amp;M Cost],[1]!Resources[COD],"&lt;="&amp;L$139,[1]!Resources[Retirement Date],"&gt;="&amp;L$139,[1]!Resources[Unique Key],$G168,[1]!Resources[Summer Rating],"&gt;"&amp;0),2),0)*L106/10^6</f>
        <v>60.76</v>
      </c>
      <c r="M168" s="6">
        <f>IFERROR(ROUND(AVERAGEIFS([1]!Resources[Fixed O&amp;M Cost],[1]!Resources[COD],"&lt;="&amp;M$139,[1]!Resources[Retirement Date],"&gt;="&amp;M$139,[1]!Resources[Unique Key],$G168,[1]!Resources[Summer Rating],"&gt;"&amp;0),2),0)*M106/10^6</f>
        <v>60.76</v>
      </c>
      <c r="N168" s="6">
        <f>IFERROR(ROUND(AVERAGEIFS([1]!Resources[Fixed O&amp;M Cost],[1]!Resources[COD],"&lt;="&amp;N$139,[1]!Resources[Retirement Date],"&gt;="&amp;N$139,[1]!Resources[Unique Key],$G168,[1]!Resources[Summer Rating],"&gt;"&amp;0),2),0)*N106/10^6</f>
        <v>60.76</v>
      </c>
      <c r="O168" s="6">
        <f>IFERROR(ROUND(AVERAGEIFS([1]!Resources[Fixed O&amp;M Cost],[1]!Resources[COD],"&lt;="&amp;O$139,[1]!Resources[Retirement Date],"&gt;="&amp;O$139,[1]!Resources[Unique Key],$G168,[1]!Resources[Summer Rating],"&gt;"&amp;0),2),0)*O106/10^6</f>
        <v>60.76</v>
      </c>
      <c r="P168" s="6">
        <f>IFERROR(ROUND(AVERAGEIFS([1]!Resources[Fixed O&amp;M Cost],[1]!Resources[COD],"&lt;="&amp;P$139,[1]!Resources[Retirement Date],"&gt;="&amp;P$139,[1]!Resources[Unique Key],$G168,[1]!Resources[Summer Rating],"&gt;"&amp;0),2),0)*P106/10^6</f>
        <v>60.76</v>
      </c>
      <c r="Q168" s="6">
        <f>IFERROR(ROUND(AVERAGEIFS([1]!Resources[Fixed O&amp;M Cost],[1]!Resources[COD],"&lt;="&amp;Q$139,[1]!Resources[Retirement Date],"&gt;="&amp;Q$139,[1]!Resources[Unique Key],$G168,[1]!Resources[Summer Rating],"&gt;"&amp;0),2),0)*Q106/10^6</f>
        <v>60.76</v>
      </c>
      <c r="R168" s="6">
        <f>IFERROR(ROUND(AVERAGEIFS([1]!Resources[Fixed O&amp;M Cost],[1]!Resources[COD],"&lt;="&amp;R$139,[1]!Resources[Retirement Date],"&gt;="&amp;R$139,[1]!Resources[Unique Key],$G168,[1]!Resources[Summer Rating],"&gt;"&amp;0),2),0)*R106/10^6</f>
        <v>60.76</v>
      </c>
      <c r="S168" s="6">
        <f>IFERROR(ROUND(AVERAGEIFS([1]!Resources[Fixed O&amp;M Cost],[1]!Resources[COD],"&lt;="&amp;S$139,[1]!Resources[Retirement Date],"&gt;="&amp;S$139,[1]!Resources[Unique Key],$G168,[1]!Resources[Summer Rating],"&gt;"&amp;0),2),0)*S106/10^6</f>
        <v>0</v>
      </c>
      <c r="T168" s="6">
        <f>IFERROR(ROUND(AVERAGEIFS([1]!Resources[Fixed O&amp;M Cost],[1]!Resources[COD],"&lt;="&amp;T$139,[1]!Resources[Retirement Date],"&gt;="&amp;T$139,[1]!Resources[Unique Key],$G168,[1]!Resources[Summer Rating],"&gt;"&amp;0),2),0)*T106/10^6</f>
        <v>0</v>
      </c>
      <c r="U168" s="6">
        <f>IFERROR(ROUND(AVERAGEIFS([1]!Resources[Fixed O&amp;M Cost],[1]!Resources[COD],"&lt;="&amp;U$139,[1]!Resources[Retirement Date],"&gt;="&amp;U$139,[1]!Resources[Unique Key],$G168,[1]!Resources[Summer Rating],"&gt;"&amp;0),2),0)*U106/10^6</f>
        <v>0</v>
      </c>
      <c r="V168" s="6">
        <f>IFERROR(ROUND(AVERAGEIFS([1]!Resources[Fixed O&amp;M Cost],[1]!Resources[COD],"&lt;="&amp;V$139,[1]!Resources[Retirement Date],"&gt;="&amp;V$139,[1]!Resources[Unique Key],$G168,[1]!Resources[Summer Rating],"&gt;"&amp;0),2),0)*V106/10^6</f>
        <v>0</v>
      </c>
      <c r="W168" s="6">
        <f>IFERROR(ROUND(AVERAGEIFS([1]!Resources[Fixed O&amp;M Cost],[1]!Resources[COD],"&lt;="&amp;W$139,[1]!Resources[Retirement Date],"&gt;="&amp;W$139,[1]!Resources[Unique Key],$G168,[1]!Resources[Summer Rating],"&gt;"&amp;0),2),0)*W106/10^6</f>
        <v>0</v>
      </c>
      <c r="X168" s="6">
        <f>IFERROR(ROUND(AVERAGEIFS([1]!Resources[Fixed O&amp;M Cost],[1]!Resources[COD],"&lt;="&amp;X$139,[1]!Resources[Retirement Date],"&gt;="&amp;X$139,[1]!Resources[Unique Key],$G168,[1]!Resources[Summer Rating],"&gt;"&amp;0),2),0)*X106/10^6</f>
        <v>0</v>
      </c>
      <c r="Y168" s="6">
        <f>IFERROR(ROUND(AVERAGEIFS([1]!Resources[Fixed O&amp;M Cost],[1]!Resources[COD],"&lt;="&amp;Y$139,[1]!Resources[Retirement Date],"&gt;="&amp;Y$139,[1]!Resources[Unique Key],$G168,[1]!Resources[Summer Rating],"&gt;"&amp;0),2),0)*Y106/10^6</f>
        <v>0</v>
      </c>
      <c r="Z168" s="6">
        <f>IFERROR(ROUND(AVERAGEIFS([1]!Resources[Fixed O&amp;M Cost],[1]!Resources[COD],"&lt;="&amp;Z$139,[1]!Resources[Retirement Date],"&gt;="&amp;Z$139,[1]!Resources[Unique Key],$G168,[1]!Resources[Summer Rating],"&gt;"&amp;0),2),0)*Z106/10^6</f>
        <v>0</v>
      </c>
      <c r="AA168" s="6">
        <f>IFERROR(ROUND(AVERAGEIFS([1]!Resources[Fixed O&amp;M Cost],[1]!Resources[COD],"&lt;="&amp;AA$139,[1]!Resources[Retirement Date],"&gt;="&amp;AA$139,[1]!Resources[Unique Key],$G168,[1]!Resources[Summer Rating],"&gt;"&amp;0),2),0)*AA106/10^6</f>
        <v>0</v>
      </c>
      <c r="AB168" s="6">
        <f>IFERROR(ROUND(AVERAGEIFS([1]!Resources[Fixed O&amp;M Cost],[1]!Resources[COD],"&lt;="&amp;AB$139,[1]!Resources[Retirement Date],"&gt;="&amp;AB$139,[1]!Resources[Unique Key],$G168,[1]!Resources[Summer Rating],"&gt;"&amp;0),2),0)*AB106/10^6</f>
        <v>0</v>
      </c>
      <c r="AC168" s="6">
        <f>IFERROR(ROUND(AVERAGEIFS([1]!Resources[Fixed O&amp;M Cost],[1]!Resources[COD],"&lt;="&amp;AC$139,[1]!Resources[Retirement Date],"&gt;="&amp;AC$139,[1]!Resources[Unique Key],$G168,[1]!Resources[Summer Rating],"&gt;"&amp;0),2),0)*AC106/10^6</f>
        <v>0</v>
      </c>
      <c r="AD168" s="6">
        <f>IFERROR(ROUND(AVERAGEIFS([1]!Resources[Fixed O&amp;M Cost],[1]!Resources[COD],"&lt;="&amp;AD$139,[1]!Resources[Retirement Date],"&gt;="&amp;AD$139,[1]!Resources[Unique Key],$G168,[1]!Resources[Summer Rating],"&gt;"&amp;0),2),0)*AD106/10^6</f>
        <v>0</v>
      </c>
      <c r="AE168" s="6">
        <f>IFERROR(ROUND(AVERAGEIFS([1]!Resources[Fixed O&amp;M Cost],[1]!Resources[COD],"&lt;="&amp;AE$139,[1]!Resources[Retirement Date],"&gt;="&amp;AE$139,[1]!Resources[Unique Key],$G168,[1]!Resources[Summer Rating],"&gt;"&amp;0),2),0)*AE106/10^6</f>
        <v>0</v>
      </c>
      <c r="AF168" s="6">
        <f>IFERROR(ROUND(AVERAGEIFS([1]!Resources[Fixed O&amp;M Cost],[1]!Resources[COD],"&lt;="&amp;AF$139,[1]!Resources[Retirement Date],"&gt;="&amp;AF$139,[1]!Resources[Unique Key],$G168,[1]!Resources[Summer Rating],"&gt;"&amp;0),2),0)*AF106/10^6</f>
        <v>0</v>
      </c>
      <c r="AG168" s="6">
        <f>IFERROR(ROUND(AVERAGEIFS([1]!Resources[Fixed O&amp;M Cost],[1]!Resources[COD],"&lt;="&amp;AG$139,[1]!Resources[Retirement Date],"&gt;="&amp;AG$139,[1]!Resources[Unique Key],$G168,[1]!Resources[Summer Rating],"&gt;"&amp;0),2),0)*AG106/10^6</f>
        <v>0</v>
      </c>
      <c r="AI168" s="5" t="s">
        <v>72</v>
      </c>
      <c r="AJ168" s="6" cm="1">
        <f t="array" ref="AJ168">IFERROR(INDEX(AJ$174:AJ$175,MATCH(_xlfn.TEXTAFTER(INDEX($F$78:$F$129,MATCH($AI168,$G$78:$G$129,0))," "),_xlfn.TEXTBEFORE($AI$174:$AI$175," - ")),0),0)</f>
        <v>0</v>
      </c>
      <c r="AK168" s="6" cm="1">
        <f t="array" ref="AK168">IFERROR(INDEX(AK$174:AK$175,MATCH(_xlfn.TEXTAFTER(INDEX($F$78:$F$129,MATCH($AI168,$G$78:$G$129,0))," "),_xlfn.TEXTBEFORE($AI$174:$AI$175," - ")),0),0)</f>
        <v>0</v>
      </c>
      <c r="AL168" s="6" cm="1">
        <f t="array" ref="AL168">IFERROR(INDEX(AL$174:AL$175,MATCH(_xlfn.TEXTAFTER(INDEX($F$78:$F$129,MATCH($AI168,$G$78:$G$129,0))," "),_xlfn.TEXTBEFORE($AI$174:$AI$175," - ")),0),0)</f>
        <v>0</v>
      </c>
      <c r="AM168" s="6" cm="1">
        <f t="array" ref="AM168">IFERROR(INDEX(AM$174:AM$175,MATCH(_xlfn.TEXTAFTER(INDEX($F$78:$F$129,MATCH($AI168,$G$78:$G$129,0))," "),_xlfn.TEXTBEFORE($AI$174:$AI$175," - ")),0),0)</f>
        <v>0</v>
      </c>
      <c r="AN168" s="6" cm="1">
        <f t="array" ref="AN168">IFERROR(INDEX(AN$174:AN$175,MATCH(_xlfn.TEXTAFTER(INDEX($F$78:$F$129,MATCH($AI168,$G$78:$G$129,0))," "),_xlfn.TEXTBEFORE($AI$174:$AI$175," - ")),0),0)</f>
        <v>0</v>
      </c>
      <c r="AO168" s="6" cm="1">
        <f t="array" ref="AO168">IFERROR(INDEX(AO$174:AO$175,MATCH(_xlfn.TEXTAFTER(INDEX($F$78:$F$129,MATCH($AI168,$G$78:$G$129,0))," "),_xlfn.TEXTBEFORE($AI$174:$AI$175," - ")),0),0)</f>
        <v>0</v>
      </c>
      <c r="AP168" s="6" cm="1">
        <f t="array" ref="AP168">IFERROR(INDEX(AP$174:AP$175,MATCH(_xlfn.TEXTAFTER(INDEX($F$78:$F$129,MATCH($AI168,$G$78:$G$129,0))," "),_xlfn.TEXTBEFORE($AI$174:$AI$175," - ")),0),0)</f>
        <v>0</v>
      </c>
      <c r="AQ168" s="6" cm="1">
        <f t="array" ref="AQ168">IFERROR(INDEX(AQ$174:AQ$175,MATCH(_xlfn.TEXTAFTER(INDEX($F$78:$F$129,MATCH($AI168,$G$78:$G$129,0))," "),_xlfn.TEXTBEFORE($AI$174:$AI$175," - ")),0),0)</f>
        <v>0</v>
      </c>
      <c r="AR168" s="6" cm="1">
        <f t="array" ref="AR168">IFERROR(INDEX(AR$174:AR$175,MATCH(_xlfn.TEXTAFTER(INDEX($F$78:$F$129,MATCH($AI168,$G$78:$G$129,0))," "),_xlfn.TEXTBEFORE($AI$174:$AI$175," - ")),0),0)</f>
        <v>0</v>
      </c>
      <c r="AS168" s="6" cm="1">
        <f t="array" ref="AS168">IFERROR(INDEX(AS$174:AS$175,MATCH(_xlfn.TEXTAFTER(INDEX($F$78:$F$129,MATCH($AI168,$G$78:$G$129,0))," "),_xlfn.TEXTBEFORE($AI$174:$AI$175," - ")),0),0)</f>
        <v>0</v>
      </c>
      <c r="AT168" s="6" cm="1">
        <f t="array" ref="AT168">IFERROR(INDEX(AT$174:AT$175,MATCH(_xlfn.TEXTAFTER(INDEX($F$78:$F$129,MATCH($AI168,$G$78:$G$129,0))," "),_xlfn.TEXTBEFORE($AI$174:$AI$175," - ")),0),0)</f>
        <v>0</v>
      </c>
      <c r="AU168" s="6" cm="1">
        <f t="array" ref="AU168">IFERROR(INDEX(AU$174:AU$175,MATCH(_xlfn.TEXTAFTER(INDEX($F$78:$F$129,MATCH($AI168,$G$78:$G$129,0))," "),_xlfn.TEXTBEFORE($AI$174:$AI$175," - ")),0),0)</f>
        <v>0</v>
      </c>
      <c r="AV168" s="6" cm="1">
        <f t="array" ref="AV168">IFERROR(INDEX(AV$174:AV$175,MATCH(_xlfn.TEXTAFTER(INDEX($F$78:$F$129,MATCH($AI168,$G$78:$G$129,0))," "),_xlfn.TEXTBEFORE($AI$174:$AI$175," - ")),0),0)</f>
        <v>0</v>
      </c>
      <c r="AW168" s="6" cm="1">
        <f t="array" ref="AW168">IFERROR(INDEX(AW$174:AW$175,MATCH(_xlfn.TEXTAFTER(INDEX($F$78:$F$129,MATCH($AI168,$G$78:$G$129,0))," "),_xlfn.TEXTBEFORE($AI$174:$AI$175," - ")),0),0)</f>
        <v>0</v>
      </c>
      <c r="AX168" s="6" cm="1">
        <f t="array" ref="AX168">IFERROR(INDEX(AX$174:AX$175,MATCH(_xlfn.TEXTAFTER(INDEX($F$78:$F$129,MATCH($AI168,$G$78:$G$129,0))," "),_xlfn.TEXTBEFORE($AI$174:$AI$175," - ")),0),0)</f>
        <v>0</v>
      </c>
      <c r="AY168" s="6" cm="1">
        <f t="array" ref="AY168">IFERROR(INDEX(AY$174:AY$175,MATCH(_xlfn.TEXTAFTER(INDEX($F$78:$F$129,MATCH($AI168,$G$78:$G$129,0))," "),_xlfn.TEXTBEFORE($AI$174:$AI$175," - ")),0),0)</f>
        <v>0</v>
      </c>
      <c r="AZ168" s="6" cm="1">
        <f t="array" ref="AZ168">IFERROR(INDEX(AZ$174:AZ$175,MATCH(_xlfn.TEXTAFTER(INDEX($F$78:$F$129,MATCH($AI168,$G$78:$G$129,0))," "),_xlfn.TEXTBEFORE($AI$174:$AI$175," - ")),0),0)</f>
        <v>0</v>
      </c>
      <c r="BA168" s="6" cm="1">
        <f t="array" ref="BA168">IFERROR(INDEX(BA$174:BA$175,MATCH(_xlfn.TEXTAFTER(INDEX($F$78:$F$129,MATCH($AI168,$G$78:$G$129,0))," "),_xlfn.TEXTBEFORE($AI$174:$AI$175," - ")),0),0)</f>
        <v>0</v>
      </c>
      <c r="BB168" s="6" cm="1">
        <f t="array" ref="BB168">IFERROR(INDEX(BB$174:BB$175,MATCH(_xlfn.TEXTAFTER(INDEX($F$78:$F$129,MATCH($AI168,$G$78:$G$129,0))," "),_xlfn.TEXTBEFORE($AI$174:$AI$175," - ")),0),0)</f>
        <v>0</v>
      </c>
      <c r="BC168" s="6" cm="1">
        <f t="array" ref="BC168">IFERROR(INDEX(BC$174:BC$175,MATCH(_xlfn.TEXTAFTER(INDEX($F$78:$F$129,MATCH($AI168,$G$78:$G$129,0))," "),_xlfn.TEXTBEFORE($AI$174:$AI$175," - ")),0),0)</f>
        <v>0</v>
      </c>
      <c r="BD168" s="6" cm="1">
        <f t="array" ref="BD168">IFERROR(INDEX(BD$174:BD$175,MATCH(_xlfn.TEXTAFTER(INDEX($F$78:$F$129,MATCH($AI168,$G$78:$G$129,0))," "),_xlfn.TEXTBEFORE($AI$174:$AI$175," - ")),0),0)</f>
        <v>0</v>
      </c>
      <c r="BE168" s="6" cm="1">
        <f t="array" ref="BE168">IFERROR(INDEX(BE$174:BE$175,MATCH(_xlfn.TEXTAFTER(INDEX($F$78:$F$129,MATCH($AI168,$G$78:$G$129,0))," "),_xlfn.TEXTBEFORE($AI$174:$AI$175," - ")),0),0)</f>
        <v>0</v>
      </c>
      <c r="BF168" s="6" cm="1">
        <f t="array" ref="BF168">IFERROR(INDEX(BF$174:BF$175,MATCH(_xlfn.TEXTAFTER(INDEX($F$78:$F$129,MATCH($AI168,$G$78:$G$129,0))," "),_xlfn.TEXTBEFORE($AI$174:$AI$175," - ")),0),0)</f>
        <v>0</v>
      </c>
      <c r="BG168" s="6" cm="1">
        <f t="array" ref="BG168">IFERROR(INDEX(BG$174:BG$175,MATCH(_xlfn.TEXTAFTER(INDEX($F$78:$F$129,MATCH($AI168,$G$78:$G$129,0))," "),_xlfn.TEXTBEFORE($AI$174:$AI$175," - ")),0),0)</f>
        <v>0</v>
      </c>
      <c r="BH168" s="6" cm="1">
        <f t="array" ref="BH168">IFERROR(INDEX(BH$174:BH$175,MATCH(_xlfn.TEXTAFTER(INDEX($F$78:$F$129,MATCH($AI168,$G$78:$G$129,0))," "),_xlfn.TEXTBEFORE($AI$174:$AI$175," - ")),0),0)</f>
        <v>0</v>
      </c>
      <c r="BI168" s="6" cm="1">
        <f t="array" ref="BI168">IFERROR(INDEX(BI$174:BI$175,MATCH(_xlfn.TEXTAFTER(INDEX($F$78:$F$129,MATCH($AI168,$G$78:$G$129,0))," "),_xlfn.TEXTBEFORE($AI$174:$AI$175," - ")),0),0)</f>
        <v>0</v>
      </c>
    </row>
    <row r="169" spans="7:61" ht="16" x14ac:dyDescent="0.2">
      <c r="G169" s="5" t="s">
        <v>73</v>
      </c>
      <c r="H169" s="6">
        <f>IFERROR(ROUND(AVERAGEIFS([1]!Resources[Fixed O&amp;M Cost],[1]!Resources[COD],"&lt;="&amp;H$139,[1]!Resources[Retirement Date],"&gt;="&amp;H$139,[1]!Resources[Unique Key],$G169,[1]!Resources[Summer Rating],"&gt;"&amp;0),2),0)*H107/10^6</f>
        <v>0</v>
      </c>
      <c r="I169" s="6">
        <f>IFERROR(ROUND(AVERAGEIFS([1]!Resources[Fixed O&amp;M Cost],[1]!Resources[COD],"&lt;="&amp;I$139,[1]!Resources[Retirement Date],"&gt;="&amp;I$139,[1]!Resources[Unique Key],$G169,[1]!Resources[Summer Rating],"&gt;"&amp;0),2),0)*I107/10^6</f>
        <v>0</v>
      </c>
      <c r="J169" s="6">
        <f>IFERROR(ROUND(AVERAGEIFS([1]!Resources[Fixed O&amp;M Cost],[1]!Resources[COD],"&lt;="&amp;J$139,[1]!Resources[Retirement Date],"&gt;="&amp;J$139,[1]!Resources[Unique Key],$G169,[1]!Resources[Summer Rating],"&gt;"&amp;0),2),0)*J107/10^6</f>
        <v>25.155000000000001</v>
      </c>
      <c r="K169" s="6">
        <f>IFERROR(ROUND(AVERAGEIFS([1]!Resources[Fixed O&amp;M Cost],[1]!Resources[COD],"&lt;="&amp;K$139,[1]!Resources[Retirement Date],"&gt;="&amp;K$139,[1]!Resources[Unique Key],$G169,[1]!Resources[Summer Rating],"&gt;"&amp;0),2),0)*K107/10^6</f>
        <v>25.155000000000001</v>
      </c>
      <c r="L169" s="6">
        <f>IFERROR(ROUND(AVERAGEIFS([1]!Resources[Fixed O&amp;M Cost],[1]!Resources[COD],"&lt;="&amp;L$139,[1]!Resources[Retirement Date],"&gt;="&amp;L$139,[1]!Resources[Unique Key],$G169,[1]!Resources[Summer Rating],"&gt;"&amp;0),2),0)*L107/10^6</f>
        <v>25.155000000000001</v>
      </c>
      <c r="M169" s="6">
        <f>IFERROR(ROUND(AVERAGEIFS([1]!Resources[Fixed O&amp;M Cost],[1]!Resources[COD],"&lt;="&amp;M$139,[1]!Resources[Retirement Date],"&gt;="&amp;M$139,[1]!Resources[Unique Key],$G169,[1]!Resources[Summer Rating],"&gt;"&amp;0),2),0)*M107/10^6</f>
        <v>25.155000000000001</v>
      </c>
      <c r="N169" s="6">
        <f>IFERROR(ROUND(AVERAGEIFS([1]!Resources[Fixed O&amp;M Cost],[1]!Resources[COD],"&lt;="&amp;N$139,[1]!Resources[Retirement Date],"&gt;="&amp;N$139,[1]!Resources[Unique Key],$G169,[1]!Resources[Summer Rating],"&gt;"&amp;0),2),0)*N107/10^6</f>
        <v>25.155000000000001</v>
      </c>
      <c r="O169" s="6">
        <f>IFERROR(ROUND(AVERAGEIFS([1]!Resources[Fixed O&amp;M Cost],[1]!Resources[COD],"&lt;="&amp;O$139,[1]!Resources[Retirement Date],"&gt;="&amp;O$139,[1]!Resources[Unique Key],$G169,[1]!Resources[Summer Rating],"&gt;"&amp;0),2),0)*O107/10^6</f>
        <v>25.155000000000001</v>
      </c>
      <c r="P169" s="6">
        <f>IFERROR(ROUND(AVERAGEIFS([1]!Resources[Fixed O&amp;M Cost],[1]!Resources[COD],"&lt;="&amp;P$139,[1]!Resources[Retirement Date],"&gt;="&amp;P$139,[1]!Resources[Unique Key],$G169,[1]!Resources[Summer Rating],"&gt;"&amp;0),2),0)*P107/10^6</f>
        <v>25.155000000000001</v>
      </c>
      <c r="Q169" s="6">
        <f>IFERROR(ROUND(AVERAGEIFS([1]!Resources[Fixed O&amp;M Cost],[1]!Resources[COD],"&lt;="&amp;Q$139,[1]!Resources[Retirement Date],"&gt;="&amp;Q$139,[1]!Resources[Unique Key],$G169,[1]!Resources[Summer Rating],"&gt;"&amp;0),2),0)*Q107/10^6</f>
        <v>25.155000000000001</v>
      </c>
      <c r="R169" s="6">
        <f>IFERROR(ROUND(AVERAGEIFS([1]!Resources[Fixed O&amp;M Cost],[1]!Resources[COD],"&lt;="&amp;R$139,[1]!Resources[Retirement Date],"&gt;="&amp;R$139,[1]!Resources[Unique Key],$G169,[1]!Resources[Summer Rating],"&gt;"&amp;0),2),0)*R107/10^6</f>
        <v>25.155000000000001</v>
      </c>
      <c r="S169" s="6">
        <f>IFERROR(ROUND(AVERAGEIFS([1]!Resources[Fixed O&amp;M Cost],[1]!Resources[COD],"&lt;="&amp;S$139,[1]!Resources[Retirement Date],"&gt;="&amp;S$139,[1]!Resources[Unique Key],$G169,[1]!Resources[Summer Rating],"&gt;"&amp;0),2),0)*S107/10^6</f>
        <v>25.155000000000001</v>
      </c>
      <c r="T169" s="6">
        <f>IFERROR(ROUND(AVERAGEIFS([1]!Resources[Fixed O&amp;M Cost],[1]!Resources[COD],"&lt;="&amp;T$139,[1]!Resources[Retirement Date],"&gt;="&amp;T$139,[1]!Resources[Unique Key],$G169,[1]!Resources[Summer Rating],"&gt;"&amp;0),2),0)*T107/10^6</f>
        <v>25.155000000000001</v>
      </c>
      <c r="U169" s="6">
        <f>IFERROR(ROUND(AVERAGEIFS([1]!Resources[Fixed O&amp;M Cost],[1]!Resources[COD],"&lt;="&amp;U$139,[1]!Resources[Retirement Date],"&gt;="&amp;U$139,[1]!Resources[Unique Key],$G169,[1]!Resources[Summer Rating],"&gt;"&amp;0),2),0)*U107/10^6</f>
        <v>25.155000000000001</v>
      </c>
      <c r="V169" s="6">
        <f>IFERROR(ROUND(AVERAGEIFS([1]!Resources[Fixed O&amp;M Cost],[1]!Resources[COD],"&lt;="&amp;V$139,[1]!Resources[Retirement Date],"&gt;="&amp;V$139,[1]!Resources[Unique Key],$G169,[1]!Resources[Summer Rating],"&gt;"&amp;0),2),0)*V107/10^6</f>
        <v>25.155000000000001</v>
      </c>
      <c r="W169" s="6">
        <f>IFERROR(ROUND(AVERAGEIFS([1]!Resources[Fixed O&amp;M Cost],[1]!Resources[COD],"&lt;="&amp;W$139,[1]!Resources[Retirement Date],"&gt;="&amp;W$139,[1]!Resources[Unique Key],$G169,[1]!Resources[Summer Rating],"&gt;"&amp;0),2),0)*W107/10^6</f>
        <v>25.155000000000001</v>
      </c>
      <c r="X169" s="6">
        <f>IFERROR(ROUND(AVERAGEIFS([1]!Resources[Fixed O&amp;M Cost],[1]!Resources[COD],"&lt;="&amp;X$139,[1]!Resources[Retirement Date],"&gt;="&amp;X$139,[1]!Resources[Unique Key],$G169,[1]!Resources[Summer Rating],"&gt;"&amp;0),2),0)*X107/10^6</f>
        <v>25.155000000000001</v>
      </c>
      <c r="Y169" s="6">
        <f>IFERROR(ROUND(AVERAGEIFS([1]!Resources[Fixed O&amp;M Cost],[1]!Resources[COD],"&lt;="&amp;Y$139,[1]!Resources[Retirement Date],"&gt;="&amp;Y$139,[1]!Resources[Unique Key],$G169,[1]!Resources[Summer Rating],"&gt;"&amp;0),2),0)*Y107/10^6</f>
        <v>25.155000000000001</v>
      </c>
      <c r="Z169" s="6">
        <f>IFERROR(ROUND(AVERAGEIFS([1]!Resources[Fixed O&amp;M Cost],[1]!Resources[COD],"&lt;="&amp;Z$139,[1]!Resources[Retirement Date],"&gt;="&amp;Z$139,[1]!Resources[Unique Key],$G169,[1]!Resources[Summer Rating],"&gt;"&amp;0),2),0)*Z107/10^6</f>
        <v>25.155000000000001</v>
      </c>
      <c r="AA169" s="6">
        <f>IFERROR(ROUND(AVERAGEIFS([1]!Resources[Fixed O&amp;M Cost],[1]!Resources[COD],"&lt;="&amp;AA$139,[1]!Resources[Retirement Date],"&gt;="&amp;AA$139,[1]!Resources[Unique Key],$G169,[1]!Resources[Summer Rating],"&gt;"&amp;0),2),0)*AA107/10^6</f>
        <v>25.155000000000001</v>
      </c>
      <c r="AB169" s="6">
        <f>IFERROR(ROUND(AVERAGEIFS([1]!Resources[Fixed O&amp;M Cost],[1]!Resources[COD],"&lt;="&amp;AB$139,[1]!Resources[Retirement Date],"&gt;="&amp;AB$139,[1]!Resources[Unique Key],$G169,[1]!Resources[Summer Rating],"&gt;"&amp;0),2),0)*AB107/10^6</f>
        <v>25.155000000000001</v>
      </c>
      <c r="AC169" s="6">
        <f>IFERROR(ROUND(AVERAGEIFS([1]!Resources[Fixed O&amp;M Cost],[1]!Resources[COD],"&lt;="&amp;AC$139,[1]!Resources[Retirement Date],"&gt;="&amp;AC$139,[1]!Resources[Unique Key],$G169,[1]!Resources[Summer Rating],"&gt;"&amp;0),2),0)*AC107/10^6</f>
        <v>25.155000000000001</v>
      </c>
      <c r="AD169" s="6">
        <f>IFERROR(ROUND(AVERAGEIFS([1]!Resources[Fixed O&amp;M Cost],[1]!Resources[COD],"&lt;="&amp;AD$139,[1]!Resources[Retirement Date],"&gt;="&amp;AD$139,[1]!Resources[Unique Key],$G169,[1]!Resources[Summer Rating],"&gt;"&amp;0),2),0)*AD107/10^6</f>
        <v>25.155000000000001</v>
      </c>
      <c r="AE169" s="6">
        <f>IFERROR(ROUND(AVERAGEIFS([1]!Resources[Fixed O&amp;M Cost],[1]!Resources[COD],"&lt;="&amp;AE$139,[1]!Resources[Retirement Date],"&gt;="&amp;AE$139,[1]!Resources[Unique Key],$G169,[1]!Resources[Summer Rating],"&gt;"&amp;0),2),0)*AE107/10^6</f>
        <v>25.155000000000001</v>
      </c>
      <c r="AF169" s="6">
        <f>IFERROR(ROUND(AVERAGEIFS([1]!Resources[Fixed O&amp;M Cost],[1]!Resources[COD],"&lt;="&amp;AF$139,[1]!Resources[Retirement Date],"&gt;="&amp;AF$139,[1]!Resources[Unique Key],$G169,[1]!Resources[Summer Rating],"&gt;"&amp;0),2),0)*AF107/10^6</f>
        <v>25.155000000000001</v>
      </c>
      <c r="AG169" s="6">
        <f>IFERROR(ROUND(AVERAGEIFS([1]!Resources[Fixed O&amp;M Cost],[1]!Resources[COD],"&lt;="&amp;AG$139,[1]!Resources[Retirement Date],"&gt;="&amp;AG$139,[1]!Resources[Unique Key],$G169,[1]!Resources[Summer Rating],"&gt;"&amp;0),2),0)*AG107/10^6</f>
        <v>25.155000000000001</v>
      </c>
      <c r="AI169" s="5" t="s">
        <v>73</v>
      </c>
      <c r="AJ169" s="6" cm="1">
        <f t="array" ref="AJ169">IFERROR(INDEX(AJ$174:AJ$175,MATCH(_xlfn.TEXTAFTER(INDEX($F$78:$F$129,MATCH($AI169,$G$78:$G$129,0))," "),_xlfn.TEXTBEFORE($AI$174:$AI$175," - ")),0),0)</f>
        <v>135671.27300342487</v>
      </c>
      <c r="AK169" s="6" cm="1">
        <f t="array" ref="AK169">IFERROR(INDEX(AK$174:AK$175,MATCH(_xlfn.TEXTAFTER(INDEX($F$78:$F$129,MATCH($AI169,$G$78:$G$129,0))," "),_xlfn.TEXTBEFORE($AI$174:$AI$175," - ")),0),0)</f>
        <v>135671.27300342487</v>
      </c>
      <c r="AL169" s="6" cm="1">
        <f t="array" ref="AL169">IFERROR(INDEX(AL$174:AL$175,MATCH(_xlfn.TEXTAFTER(INDEX($F$78:$F$129,MATCH($AI169,$G$78:$G$129,0))," "),_xlfn.TEXTBEFORE($AI$174:$AI$175," - ")),0),0)</f>
        <v>135671.27300342487</v>
      </c>
      <c r="AM169" s="6" cm="1">
        <f t="array" ref="AM169">IFERROR(INDEX(AM$174:AM$175,MATCH(_xlfn.TEXTAFTER(INDEX($F$78:$F$129,MATCH($AI169,$G$78:$G$129,0))," "),_xlfn.TEXTBEFORE($AI$174:$AI$175," - ")),0),0)</f>
        <v>135671.27300342487</v>
      </c>
      <c r="AN169" s="6" cm="1">
        <f t="array" ref="AN169">IFERROR(INDEX(AN$174:AN$175,MATCH(_xlfn.TEXTAFTER(INDEX($F$78:$F$129,MATCH($AI169,$G$78:$G$129,0))," "),_xlfn.TEXTBEFORE($AI$174:$AI$175," - ")),0),0)</f>
        <v>135671.27300342487</v>
      </c>
      <c r="AO169" s="6" cm="1">
        <f t="array" ref="AO169">IFERROR(INDEX(AO$174:AO$175,MATCH(_xlfn.TEXTAFTER(INDEX($F$78:$F$129,MATCH($AI169,$G$78:$G$129,0))," "),_xlfn.TEXTBEFORE($AI$174:$AI$175," - ")),0),0)</f>
        <v>135671.27300342487</v>
      </c>
      <c r="AP169" s="6" cm="1">
        <f t="array" ref="AP169">IFERROR(INDEX(AP$174:AP$175,MATCH(_xlfn.TEXTAFTER(INDEX($F$78:$F$129,MATCH($AI169,$G$78:$G$129,0))," "),_xlfn.TEXTBEFORE($AI$174:$AI$175," - ")),0),0)</f>
        <v>135671.27300342487</v>
      </c>
      <c r="AQ169" s="6" cm="1">
        <f t="array" ref="AQ169">IFERROR(INDEX(AQ$174:AQ$175,MATCH(_xlfn.TEXTAFTER(INDEX($F$78:$F$129,MATCH($AI169,$G$78:$G$129,0))," "),_xlfn.TEXTBEFORE($AI$174:$AI$175," - ")),0),0)</f>
        <v>135671.27300342487</v>
      </c>
      <c r="AR169" s="6" cm="1">
        <f t="array" ref="AR169">IFERROR(INDEX(AR$174:AR$175,MATCH(_xlfn.TEXTAFTER(INDEX($F$78:$F$129,MATCH($AI169,$G$78:$G$129,0))," "),_xlfn.TEXTBEFORE($AI$174:$AI$175," - ")),0),0)</f>
        <v>135671.27300342487</v>
      </c>
      <c r="AS169" s="6" cm="1">
        <f t="array" ref="AS169">IFERROR(INDEX(AS$174:AS$175,MATCH(_xlfn.TEXTAFTER(INDEX($F$78:$F$129,MATCH($AI169,$G$78:$G$129,0))," "),_xlfn.TEXTBEFORE($AI$174:$AI$175," - ")),0),0)</f>
        <v>135671.27300342487</v>
      </c>
      <c r="AT169" s="6" cm="1">
        <f t="array" ref="AT169">IFERROR(INDEX(AT$174:AT$175,MATCH(_xlfn.TEXTAFTER(INDEX($F$78:$F$129,MATCH($AI169,$G$78:$G$129,0))," "),_xlfn.TEXTBEFORE($AI$174:$AI$175," - ")),0),0)</f>
        <v>135671.27300342487</v>
      </c>
      <c r="AU169" s="6" cm="1">
        <f t="array" ref="AU169">IFERROR(INDEX(AU$174:AU$175,MATCH(_xlfn.TEXTAFTER(INDEX($F$78:$F$129,MATCH($AI169,$G$78:$G$129,0))," "),_xlfn.TEXTBEFORE($AI$174:$AI$175," - ")),0),0)</f>
        <v>135671.27300342487</v>
      </c>
      <c r="AV169" s="6" cm="1">
        <f t="array" ref="AV169">IFERROR(INDEX(AV$174:AV$175,MATCH(_xlfn.TEXTAFTER(INDEX($F$78:$F$129,MATCH($AI169,$G$78:$G$129,0))," "),_xlfn.TEXTBEFORE($AI$174:$AI$175," - ")),0),0)</f>
        <v>135671.27300342487</v>
      </c>
      <c r="AW169" s="6" cm="1">
        <f t="array" ref="AW169">IFERROR(INDEX(AW$174:AW$175,MATCH(_xlfn.TEXTAFTER(INDEX($F$78:$F$129,MATCH($AI169,$G$78:$G$129,0))," "),_xlfn.TEXTBEFORE($AI$174:$AI$175," - ")),0),0)</f>
        <v>135671.27300342487</v>
      </c>
      <c r="AX169" s="6" cm="1">
        <f t="array" ref="AX169">IFERROR(INDEX(AX$174:AX$175,MATCH(_xlfn.TEXTAFTER(INDEX($F$78:$F$129,MATCH($AI169,$G$78:$G$129,0))," "),_xlfn.TEXTBEFORE($AI$174:$AI$175," - ")),0),0)</f>
        <v>135671.27300342487</v>
      </c>
      <c r="AY169" s="6" cm="1">
        <f t="array" ref="AY169">IFERROR(INDEX(AY$174:AY$175,MATCH(_xlfn.TEXTAFTER(INDEX($F$78:$F$129,MATCH($AI169,$G$78:$G$129,0))," "),_xlfn.TEXTBEFORE($AI$174:$AI$175," - ")),0),0)</f>
        <v>135671.27300342487</v>
      </c>
      <c r="AZ169" s="6" cm="1">
        <f t="array" ref="AZ169">IFERROR(INDEX(AZ$174:AZ$175,MATCH(_xlfn.TEXTAFTER(INDEX($F$78:$F$129,MATCH($AI169,$G$78:$G$129,0))," "),_xlfn.TEXTBEFORE($AI$174:$AI$175," - ")),0),0)</f>
        <v>135671.27300342487</v>
      </c>
      <c r="BA169" s="6" cm="1">
        <f t="array" ref="BA169">IFERROR(INDEX(BA$174:BA$175,MATCH(_xlfn.TEXTAFTER(INDEX($F$78:$F$129,MATCH($AI169,$G$78:$G$129,0))," "),_xlfn.TEXTBEFORE($AI$174:$AI$175," - ")),0),0)</f>
        <v>135671.27300342487</v>
      </c>
      <c r="BB169" s="6" cm="1">
        <f t="array" ref="BB169">IFERROR(INDEX(BB$174:BB$175,MATCH(_xlfn.TEXTAFTER(INDEX($F$78:$F$129,MATCH($AI169,$G$78:$G$129,0))," "),_xlfn.TEXTBEFORE($AI$174:$AI$175," - ")),0),0)</f>
        <v>135671.27300342487</v>
      </c>
      <c r="BC169" s="6" cm="1">
        <f t="array" ref="BC169">IFERROR(INDEX(BC$174:BC$175,MATCH(_xlfn.TEXTAFTER(INDEX($F$78:$F$129,MATCH($AI169,$G$78:$G$129,0))," "),_xlfn.TEXTBEFORE($AI$174:$AI$175," - ")),0),0)</f>
        <v>135671.27300342487</v>
      </c>
      <c r="BD169" s="6" cm="1">
        <f t="array" ref="BD169">IFERROR(INDEX(BD$174:BD$175,MATCH(_xlfn.TEXTAFTER(INDEX($F$78:$F$129,MATCH($AI169,$G$78:$G$129,0))," "),_xlfn.TEXTBEFORE($AI$174:$AI$175," - ")),0),0)</f>
        <v>135671.27300342487</v>
      </c>
      <c r="BE169" s="6" cm="1">
        <f t="array" ref="BE169">IFERROR(INDEX(BE$174:BE$175,MATCH(_xlfn.TEXTAFTER(INDEX($F$78:$F$129,MATCH($AI169,$G$78:$G$129,0))," "),_xlfn.TEXTBEFORE($AI$174:$AI$175," - ")),0),0)</f>
        <v>135671.27300342487</v>
      </c>
      <c r="BF169" s="6" cm="1">
        <f t="array" ref="BF169">IFERROR(INDEX(BF$174:BF$175,MATCH(_xlfn.TEXTAFTER(INDEX($F$78:$F$129,MATCH($AI169,$G$78:$G$129,0))," "),_xlfn.TEXTBEFORE($AI$174:$AI$175," - ")),0),0)</f>
        <v>135671.27300342487</v>
      </c>
      <c r="BG169" s="6" cm="1">
        <f t="array" ref="BG169">IFERROR(INDEX(BG$174:BG$175,MATCH(_xlfn.TEXTAFTER(INDEX($F$78:$F$129,MATCH($AI169,$G$78:$G$129,0))," "),_xlfn.TEXTBEFORE($AI$174:$AI$175," - ")),0),0)</f>
        <v>135671.27300342487</v>
      </c>
      <c r="BH169" s="6" cm="1">
        <f t="array" ref="BH169">IFERROR(INDEX(BH$174:BH$175,MATCH(_xlfn.TEXTAFTER(INDEX($F$78:$F$129,MATCH($AI169,$G$78:$G$129,0))," "),_xlfn.TEXTBEFORE($AI$174:$AI$175," - ")),0),0)</f>
        <v>135671.27300342487</v>
      </c>
      <c r="BI169" s="6" cm="1">
        <f t="array" ref="BI169">IFERROR(INDEX(BI$174:BI$175,MATCH(_xlfn.TEXTAFTER(INDEX($F$78:$F$129,MATCH($AI169,$G$78:$G$129,0))," "),_xlfn.TEXTBEFORE($AI$174:$AI$175," - ")),0),0)</f>
        <v>135671.27300342487</v>
      </c>
    </row>
    <row r="170" spans="7:61" ht="16" x14ac:dyDescent="0.2">
      <c r="G170" s="5" t="s">
        <v>74</v>
      </c>
      <c r="H170" s="6">
        <f>IFERROR(ROUND(AVERAGEIFS([1]!Resources[Fixed O&amp;M Cost],[1]!Resources[COD],"&lt;="&amp;H$139,[1]!Resources[Retirement Date],"&gt;="&amp;H$139,[1]!Resources[Unique Key],$G170,[1]!Resources[Summer Rating],"&gt;"&amp;0),2),0)*H108/10^6</f>
        <v>4.3689999999999998</v>
      </c>
      <c r="I170" s="6">
        <f>IFERROR(ROUND(AVERAGEIFS([1]!Resources[Fixed O&amp;M Cost],[1]!Resources[COD],"&lt;="&amp;I$139,[1]!Resources[Retirement Date],"&gt;="&amp;I$139,[1]!Resources[Unique Key],$G170,[1]!Resources[Summer Rating],"&gt;"&amp;0),2),0)*I108/10^6</f>
        <v>3.7778999999999998</v>
      </c>
      <c r="J170" s="6">
        <f>IFERROR(ROUND(AVERAGEIFS([1]!Resources[Fixed O&amp;M Cost],[1]!Resources[COD],"&lt;="&amp;J$139,[1]!Resources[Retirement Date],"&gt;="&amp;J$139,[1]!Resources[Unique Key],$G170,[1]!Resources[Summer Rating],"&gt;"&amp;0),2),0)*J108/10^6</f>
        <v>3.7778999999999998</v>
      </c>
      <c r="K170" s="6">
        <f>IFERROR(ROUND(AVERAGEIFS([1]!Resources[Fixed O&amp;M Cost],[1]!Resources[COD],"&lt;="&amp;K$139,[1]!Resources[Retirement Date],"&gt;="&amp;K$139,[1]!Resources[Unique Key],$G170,[1]!Resources[Summer Rating],"&gt;"&amp;0),2),0)*K108/10^6</f>
        <v>3.7778999999999998</v>
      </c>
      <c r="L170" s="6">
        <f>IFERROR(ROUND(AVERAGEIFS([1]!Resources[Fixed O&amp;M Cost],[1]!Resources[COD],"&lt;="&amp;L$139,[1]!Resources[Retirement Date],"&gt;="&amp;L$139,[1]!Resources[Unique Key],$G170,[1]!Resources[Summer Rating],"&gt;"&amp;0),2),0)*L108/10^6</f>
        <v>3.7778999999999998</v>
      </c>
      <c r="M170" s="6">
        <f>IFERROR(ROUND(AVERAGEIFS([1]!Resources[Fixed O&amp;M Cost],[1]!Resources[COD],"&lt;="&amp;M$139,[1]!Resources[Retirement Date],"&gt;="&amp;M$139,[1]!Resources[Unique Key],$G170,[1]!Resources[Summer Rating],"&gt;"&amp;0),2),0)*M108/10^6</f>
        <v>3.7778999999999998</v>
      </c>
      <c r="N170" s="6">
        <f>IFERROR(ROUND(AVERAGEIFS([1]!Resources[Fixed O&amp;M Cost],[1]!Resources[COD],"&lt;="&amp;N$139,[1]!Resources[Retirement Date],"&gt;="&amp;N$139,[1]!Resources[Unique Key],$G170,[1]!Resources[Summer Rating],"&gt;"&amp;0),2),0)*N108/10^6</f>
        <v>3.7778999999999998</v>
      </c>
      <c r="O170" s="6">
        <f>IFERROR(ROUND(AVERAGEIFS([1]!Resources[Fixed O&amp;M Cost],[1]!Resources[COD],"&lt;="&amp;O$139,[1]!Resources[Retirement Date],"&gt;="&amp;O$139,[1]!Resources[Unique Key],$G170,[1]!Resources[Summer Rating],"&gt;"&amp;0),2),0)*O108/10^6</f>
        <v>3.7778999999999998</v>
      </c>
      <c r="P170" s="6">
        <f>IFERROR(ROUND(AVERAGEIFS([1]!Resources[Fixed O&amp;M Cost],[1]!Resources[COD],"&lt;="&amp;P$139,[1]!Resources[Retirement Date],"&gt;="&amp;P$139,[1]!Resources[Unique Key],$G170,[1]!Resources[Summer Rating],"&gt;"&amp;0),2),0)*P108/10^6</f>
        <v>3.7778999999999998</v>
      </c>
      <c r="Q170" s="6">
        <f>IFERROR(ROUND(AVERAGEIFS([1]!Resources[Fixed O&amp;M Cost],[1]!Resources[COD],"&lt;="&amp;Q$139,[1]!Resources[Retirement Date],"&gt;="&amp;Q$139,[1]!Resources[Unique Key],$G170,[1]!Resources[Summer Rating],"&gt;"&amp;0),2),0)*Q108/10^6</f>
        <v>3.7778999999999998</v>
      </c>
      <c r="R170" s="6">
        <f>IFERROR(ROUND(AVERAGEIFS([1]!Resources[Fixed O&amp;M Cost],[1]!Resources[COD],"&lt;="&amp;R$139,[1]!Resources[Retirement Date],"&gt;="&amp;R$139,[1]!Resources[Unique Key],$G170,[1]!Resources[Summer Rating],"&gt;"&amp;0),2),0)*R108/10^6</f>
        <v>3.7778999999999998</v>
      </c>
      <c r="S170" s="6">
        <f>IFERROR(ROUND(AVERAGEIFS([1]!Resources[Fixed O&amp;M Cost],[1]!Resources[COD],"&lt;="&amp;S$139,[1]!Resources[Retirement Date],"&gt;="&amp;S$139,[1]!Resources[Unique Key],$G170,[1]!Resources[Summer Rating],"&gt;"&amp;0),2),0)*S108/10^6</f>
        <v>3.7778999999999998</v>
      </c>
      <c r="T170" s="6">
        <f>IFERROR(ROUND(AVERAGEIFS([1]!Resources[Fixed O&amp;M Cost],[1]!Resources[COD],"&lt;="&amp;T$139,[1]!Resources[Retirement Date],"&gt;="&amp;T$139,[1]!Resources[Unique Key],$G170,[1]!Resources[Summer Rating],"&gt;"&amp;0),2),0)*T108/10^6</f>
        <v>3.7778999999999998</v>
      </c>
      <c r="U170" s="6">
        <f>IFERROR(ROUND(AVERAGEIFS([1]!Resources[Fixed O&amp;M Cost],[1]!Resources[COD],"&lt;="&amp;U$139,[1]!Resources[Retirement Date],"&gt;="&amp;U$139,[1]!Resources[Unique Key],$G170,[1]!Resources[Summer Rating],"&gt;"&amp;0),2),0)*U108/10^6</f>
        <v>3.7778999999999998</v>
      </c>
      <c r="V170" s="6">
        <f>IFERROR(ROUND(AVERAGEIFS([1]!Resources[Fixed O&amp;M Cost],[1]!Resources[COD],"&lt;="&amp;V$139,[1]!Resources[Retirement Date],"&gt;="&amp;V$139,[1]!Resources[Unique Key],$G170,[1]!Resources[Summer Rating],"&gt;"&amp;0),2),0)*V108/10^6</f>
        <v>3.7778999999999998</v>
      </c>
      <c r="W170" s="6">
        <f>IFERROR(ROUND(AVERAGEIFS([1]!Resources[Fixed O&amp;M Cost],[1]!Resources[COD],"&lt;="&amp;W$139,[1]!Resources[Retirement Date],"&gt;="&amp;W$139,[1]!Resources[Unique Key],$G170,[1]!Resources[Summer Rating],"&gt;"&amp;0),2),0)*W108/10^6</f>
        <v>3.7778999999999998</v>
      </c>
      <c r="X170" s="6">
        <f>IFERROR(ROUND(AVERAGEIFS([1]!Resources[Fixed O&amp;M Cost],[1]!Resources[COD],"&lt;="&amp;X$139,[1]!Resources[Retirement Date],"&gt;="&amp;X$139,[1]!Resources[Unique Key],$G170,[1]!Resources[Summer Rating],"&gt;"&amp;0),2),0)*X108/10^6</f>
        <v>3.7778999999999998</v>
      </c>
      <c r="Y170" s="6">
        <f>IFERROR(ROUND(AVERAGEIFS([1]!Resources[Fixed O&amp;M Cost],[1]!Resources[COD],"&lt;="&amp;Y$139,[1]!Resources[Retirement Date],"&gt;="&amp;Y$139,[1]!Resources[Unique Key],$G170,[1]!Resources[Summer Rating],"&gt;"&amp;0),2),0)*Y108/10^6</f>
        <v>3.7778999999999998</v>
      </c>
      <c r="Z170" s="6">
        <f>IFERROR(ROUND(AVERAGEIFS([1]!Resources[Fixed O&amp;M Cost],[1]!Resources[COD],"&lt;="&amp;Z$139,[1]!Resources[Retirement Date],"&gt;="&amp;Z$139,[1]!Resources[Unique Key],$G170,[1]!Resources[Summer Rating],"&gt;"&amp;0),2),0)*Z108/10^6</f>
        <v>3.7778999999999998</v>
      </c>
      <c r="AA170" s="6">
        <f>IFERROR(ROUND(AVERAGEIFS([1]!Resources[Fixed O&amp;M Cost],[1]!Resources[COD],"&lt;="&amp;AA$139,[1]!Resources[Retirement Date],"&gt;="&amp;AA$139,[1]!Resources[Unique Key],$G170,[1]!Resources[Summer Rating],"&gt;"&amp;0),2),0)*AA108/10^6</f>
        <v>3.7778999999999998</v>
      </c>
      <c r="AB170" s="6">
        <f>IFERROR(ROUND(AVERAGEIFS([1]!Resources[Fixed O&amp;M Cost],[1]!Resources[COD],"&lt;="&amp;AB$139,[1]!Resources[Retirement Date],"&gt;="&amp;AB$139,[1]!Resources[Unique Key],$G170,[1]!Resources[Summer Rating],"&gt;"&amp;0),2),0)*AB108/10^6</f>
        <v>3.7778999999999998</v>
      </c>
      <c r="AC170" s="6">
        <f>IFERROR(ROUND(AVERAGEIFS([1]!Resources[Fixed O&amp;M Cost],[1]!Resources[COD],"&lt;="&amp;AC$139,[1]!Resources[Retirement Date],"&gt;="&amp;AC$139,[1]!Resources[Unique Key],$G170,[1]!Resources[Summer Rating],"&gt;"&amp;0),2),0)*AC108/10^6</f>
        <v>3.7778999999999998</v>
      </c>
      <c r="AD170" s="6">
        <f>IFERROR(ROUND(AVERAGEIFS([1]!Resources[Fixed O&amp;M Cost],[1]!Resources[COD],"&lt;="&amp;AD$139,[1]!Resources[Retirement Date],"&gt;="&amp;AD$139,[1]!Resources[Unique Key],$G170,[1]!Resources[Summer Rating],"&gt;"&amp;0),2),0)*AD108/10^6</f>
        <v>3.7778999999999998</v>
      </c>
      <c r="AE170" s="6">
        <f>IFERROR(ROUND(AVERAGEIFS([1]!Resources[Fixed O&amp;M Cost],[1]!Resources[COD],"&lt;="&amp;AE$139,[1]!Resources[Retirement Date],"&gt;="&amp;AE$139,[1]!Resources[Unique Key],$G170,[1]!Resources[Summer Rating],"&gt;"&amp;0),2),0)*AE108/10^6</f>
        <v>3.7778999999999998</v>
      </c>
      <c r="AF170" s="6">
        <f>IFERROR(ROUND(AVERAGEIFS([1]!Resources[Fixed O&amp;M Cost],[1]!Resources[COD],"&lt;="&amp;AF$139,[1]!Resources[Retirement Date],"&gt;="&amp;AF$139,[1]!Resources[Unique Key],$G170,[1]!Resources[Summer Rating],"&gt;"&amp;0),2),0)*AF108/10^6</f>
        <v>3.7778999999999998</v>
      </c>
      <c r="AG170" s="6">
        <f>IFERROR(ROUND(AVERAGEIFS([1]!Resources[Fixed O&amp;M Cost],[1]!Resources[COD],"&lt;="&amp;AG$139,[1]!Resources[Retirement Date],"&gt;="&amp;AG$139,[1]!Resources[Unique Key],$G170,[1]!Resources[Summer Rating],"&gt;"&amp;0),2),0)*AG108/10^6</f>
        <v>3.7778999999999998</v>
      </c>
      <c r="AI170" s="5" t="s">
        <v>74</v>
      </c>
      <c r="AJ170" s="6" cm="1">
        <f t="array" ref="AJ170">IFERROR(INDEX(AJ$174:AJ$175,MATCH(_xlfn.TEXTAFTER(INDEX($F$78:$F$129,MATCH($AI170,$G$78:$G$129,0))," "),_xlfn.TEXTBEFORE($AI$174:$AI$175," - ")),0),0)</f>
        <v>92503.140684153317</v>
      </c>
      <c r="AK170" s="6" cm="1">
        <f t="array" ref="AK170">IFERROR(INDEX(AK$174:AK$175,MATCH(_xlfn.TEXTAFTER(INDEX($F$78:$F$129,MATCH($AI170,$G$78:$G$129,0))," "),_xlfn.TEXTBEFORE($AI$174:$AI$175," - ")),0),0)</f>
        <v>92503.140684153317</v>
      </c>
      <c r="AL170" s="6" cm="1">
        <f t="array" ref="AL170">IFERROR(INDEX(AL$174:AL$175,MATCH(_xlfn.TEXTAFTER(INDEX($F$78:$F$129,MATCH($AI170,$G$78:$G$129,0))," "),_xlfn.TEXTBEFORE($AI$174:$AI$175," - ")),0),0)</f>
        <v>92503.140684153317</v>
      </c>
      <c r="AM170" s="6" cm="1">
        <f t="array" ref="AM170">IFERROR(INDEX(AM$174:AM$175,MATCH(_xlfn.TEXTAFTER(INDEX($F$78:$F$129,MATCH($AI170,$G$78:$G$129,0))," "),_xlfn.TEXTBEFORE($AI$174:$AI$175," - ")),0),0)</f>
        <v>92503.140684153317</v>
      </c>
      <c r="AN170" s="6" cm="1">
        <f t="array" ref="AN170">IFERROR(INDEX(AN$174:AN$175,MATCH(_xlfn.TEXTAFTER(INDEX($F$78:$F$129,MATCH($AI170,$G$78:$G$129,0))," "),_xlfn.TEXTBEFORE($AI$174:$AI$175," - ")),0),0)</f>
        <v>92503.140684153317</v>
      </c>
      <c r="AO170" s="6" cm="1">
        <f t="array" ref="AO170">IFERROR(INDEX(AO$174:AO$175,MATCH(_xlfn.TEXTAFTER(INDEX($F$78:$F$129,MATCH($AI170,$G$78:$G$129,0))," "),_xlfn.TEXTBEFORE($AI$174:$AI$175," - ")),0),0)</f>
        <v>92503.140684153317</v>
      </c>
      <c r="AP170" s="6" cm="1">
        <f t="array" ref="AP170">IFERROR(INDEX(AP$174:AP$175,MATCH(_xlfn.TEXTAFTER(INDEX($F$78:$F$129,MATCH($AI170,$G$78:$G$129,0))," "),_xlfn.TEXTBEFORE($AI$174:$AI$175," - ")),0),0)</f>
        <v>92503.140684153317</v>
      </c>
      <c r="AQ170" s="6" cm="1">
        <f t="array" ref="AQ170">IFERROR(INDEX(AQ$174:AQ$175,MATCH(_xlfn.TEXTAFTER(INDEX($F$78:$F$129,MATCH($AI170,$G$78:$G$129,0))," "),_xlfn.TEXTBEFORE($AI$174:$AI$175," - ")),0),0)</f>
        <v>92503.140684153317</v>
      </c>
      <c r="AR170" s="6" cm="1">
        <f t="array" ref="AR170">IFERROR(INDEX(AR$174:AR$175,MATCH(_xlfn.TEXTAFTER(INDEX($F$78:$F$129,MATCH($AI170,$G$78:$G$129,0))," "),_xlfn.TEXTBEFORE($AI$174:$AI$175," - ")),0),0)</f>
        <v>92503.140684153317</v>
      </c>
      <c r="AS170" s="6" cm="1">
        <f t="array" ref="AS170">IFERROR(INDEX(AS$174:AS$175,MATCH(_xlfn.TEXTAFTER(INDEX($F$78:$F$129,MATCH($AI170,$G$78:$G$129,0))," "),_xlfn.TEXTBEFORE($AI$174:$AI$175," - ")),0),0)</f>
        <v>92503.140684153317</v>
      </c>
      <c r="AT170" s="6" cm="1">
        <f t="array" ref="AT170">IFERROR(INDEX(AT$174:AT$175,MATCH(_xlfn.TEXTAFTER(INDEX($F$78:$F$129,MATCH($AI170,$G$78:$G$129,0))," "),_xlfn.TEXTBEFORE($AI$174:$AI$175," - ")),0),0)</f>
        <v>92503.140684153317</v>
      </c>
      <c r="AU170" s="6" cm="1">
        <f t="array" ref="AU170">IFERROR(INDEX(AU$174:AU$175,MATCH(_xlfn.TEXTAFTER(INDEX($F$78:$F$129,MATCH($AI170,$G$78:$G$129,0))," "),_xlfn.TEXTBEFORE($AI$174:$AI$175," - ")),0),0)</f>
        <v>92503.140684153317</v>
      </c>
      <c r="AV170" s="6" cm="1">
        <f t="array" ref="AV170">IFERROR(INDEX(AV$174:AV$175,MATCH(_xlfn.TEXTAFTER(INDEX($F$78:$F$129,MATCH($AI170,$G$78:$G$129,0))," "),_xlfn.TEXTBEFORE($AI$174:$AI$175," - ")),0),0)</f>
        <v>92503.140684153317</v>
      </c>
      <c r="AW170" s="6" cm="1">
        <f t="array" ref="AW170">IFERROR(INDEX(AW$174:AW$175,MATCH(_xlfn.TEXTAFTER(INDEX($F$78:$F$129,MATCH($AI170,$G$78:$G$129,0))," "),_xlfn.TEXTBEFORE($AI$174:$AI$175," - ")),0),0)</f>
        <v>92503.140684153317</v>
      </c>
      <c r="AX170" s="6" cm="1">
        <f t="array" ref="AX170">IFERROR(INDEX(AX$174:AX$175,MATCH(_xlfn.TEXTAFTER(INDEX($F$78:$F$129,MATCH($AI170,$G$78:$G$129,0))," "),_xlfn.TEXTBEFORE($AI$174:$AI$175," - ")),0),0)</f>
        <v>92503.140684153317</v>
      </c>
      <c r="AY170" s="6" cm="1">
        <f t="array" ref="AY170">IFERROR(INDEX(AY$174:AY$175,MATCH(_xlfn.TEXTAFTER(INDEX($F$78:$F$129,MATCH($AI170,$G$78:$G$129,0))," "),_xlfn.TEXTBEFORE($AI$174:$AI$175," - ")),0),0)</f>
        <v>92503.140684153317</v>
      </c>
      <c r="AZ170" s="6" cm="1">
        <f t="array" ref="AZ170">IFERROR(INDEX(AZ$174:AZ$175,MATCH(_xlfn.TEXTAFTER(INDEX($F$78:$F$129,MATCH($AI170,$G$78:$G$129,0))," "),_xlfn.TEXTBEFORE($AI$174:$AI$175," - ")),0),0)</f>
        <v>92503.140684153317</v>
      </c>
      <c r="BA170" s="6" cm="1">
        <f t="array" ref="BA170">IFERROR(INDEX(BA$174:BA$175,MATCH(_xlfn.TEXTAFTER(INDEX($F$78:$F$129,MATCH($AI170,$G$78:$G$129,0))," "),_xlfn.TEXTBEFORE($AI$174:$AI$175," - ")),0),0)</f>
        <v>92503.140684153317</v>
      </c>
      <c r="BB170" s="6" cm="1">
        <f t="array" ref="BB170">IFERROR(INDEX(BB$174:BB$175,MATCH(_xlfn.TEXTAFTER(INDEX($F$78:$F$129,MATCH($AI170,$G$78:$G$129,0))," "),_xlfn.TEXTBEFORE($AI$174:$AI$175," - ")),0),0)</f>
        <v>92503.140684153317</v>
      </c>
      <c r="BC170" s="6" cm="1">
        <f t="array" ref="BC170">IFERROR(INDEX(BC$174:BC$175,MATCH(_xlfn.TEXTAFTER(INDEX($F$78:$F$129,MATCH($AI170,$G$78:$G$129,0))," "),_xlfn.TEXTBEFORE($AI$174:$AI$175," - ")),0),0)</f>
        <v>92503.140684153317</v>
      </c>
      <c r="BD170" s="6" cm="1">
        <f t="array" ref="BD170">IFERROR(INDEX(BD$174:BD$175,MATCH(_xlfn.TEXTAFTER(INDEX($F$78:$F$129,MATCH($AI170,$G$78:$G$129,0))," "),_xlfn.TEXTBEFORE($AI$174:$AI$175," - ")),0),0)</f>
        <v>92503.140684153317</v>
      </c>
      <c r="BE170" s="6" cm="1">
        <f t="array" ref="BE170">IFERROR(INDEX(BE$174:BE$175,MATCH(_xlfn.TEXTAFTER(INDEX($F$78:$F$129,MATCH($AI170,$G$78:$G$129,0))," "),_xlfn.TEXTBEFORE($AI$174:$AI$175," - ")),0),0)</f>
        <v>92503.140684153317</v>
      </c>
      <c r="BF170" s="6" cm="1">
        <f t="array" ref="BF170">IFERROR(INDEX(BF$174:BF$175,MATCH(_xlfn.TEXTAFTER(INDEX($F$78:$F$129,MATCH($AI170,$G$78:$G$129,0))," "),_xlfn.TEXTBEFORE($AI$174:$AI$175," - ")),0),0)</f>
        <v>92503.140684153317</v>
      </c>
      <c r="BG170" s="6" cm="1">
        <f t="array" ref="BG170">IFERROR(INDEX(BG$174:BG$175,MATCH(_xlfn.TEXTAFTER(INDEX($F$78:$F$129,MATCH($AI170,$G$78:$G$129,0))," "),_xlfn.TEXTBEFORE($AI$174:$AI$175," - ")),0),0)</f>
        <v>92503.140684153317</v>
      </c>
      <c r="BH170" s="6" cm="1">
        <f t="array" ref="BH170">IFERROR(INDEX(BH$174:BH$175,MATCH(_xlfn.TEXTAFTER(INDEX($F$78:$F$129,MATCH($AI170,$G$78:$G$129,0))," "),_xlfn.TEXTBEFORE($AI$174:$AI$175," - ")),0),0)</f>
        <v>92503.140684153317</v>
      </c>
      <c r="BI170" s="6" cm="1">
        <f t="array" ref="BI170">IFERROR(INDEX(BI$174:BI$175,MATCH(_xlfn.TEXTAFTER(INDEX($F$78:$F$129,MATCH($AI170,$G$78:$G$129,0))," "),_xlfn.TEXTBEFORE($AI$174:$AI$175," - ")),0),0)</f>
        <v>92503.140684153317</v>
      </c>
    </row>
    <row r="171" spans="7:61" ht="16" x14ac:dyDescent="0.2">
      <c r="G171" s="5" t="s">
        <v>75</v>
      </c>
      <c r="H171" s="6">
        <f>IFERROR(ROUND(AVERAGEIFS([1]!Resources[Fixed O&amp;M Cost],[1]!Resources[COD],"&lt;="&amp;H$139,[1]!Resources[Retirement Date],"&gt;="&amp;H$139,[1]!Resources[Unique Key],$G171,[1]!Resources[Summer Rating],"&gt;"&amp;0),2),0)*H109/10^6</f>
        <v>64.33</v>
      </c>
      <c r="I171" s="6">
        <f>IFERROR(ROUND(AVERAGEIFS([1]!Resources[Fixed O&amp;M Cost],[1]!Resources[COD],"&lt;="&amp;I$139,[1]!Resources[Retirement Date],"&gt;="&amp;I$139,[1]!Resources[Unique Key],$G171,[1]!Resources[Summer Rating],"&gt;"&amp;0),2),0)*I109/10^6</f>
        <v>64.33</v>
      </c>
      <c r="J171" s="6">
        <f>IFERROR(ROUND(AVERAGEIFS([1]!Resources[Fixed O&amp;M Cost],[1]!Resources[COD],"&lt;="&amp;J$139,[1]!Resources[Retirement Date],"&gt;="&amp;J$139,[1]!Resources[Unique Key],$G171,[1]!Resources[Summer Rating],"&gt;"&amp;0),2),0)*J109/10^6</f>
        <v>64.33</v>
      </c>
      <c r="K171" s="6">
        <f>IFERROR(ROUND(AVERAGEIFS([1]!Resources[Fixed O&amp;M Cost],[1]!Resources[COD],"&lt;="&amp;K$139,[1]!Resources[Retirement Date],"&gt;="&amp;K$139,[1]!Resources[Unique Key],$G171,[1]!Resources[Summer Rating],"&gt;"&amp;0),2),0)*K109/10^6</f>
        <v>64.33</v>
      </c>
      <c r="L171" s="6">
        <f>IFERROR(ROUND(AVERAGEIFS([1]!Resources[Fixed O&amp;M Cost],[1]!Resources[COD],"&lt;="&amp;L$139,[1]!Resources[Retirement Date],"&gt;="&amp;L$139,[1]!Resources[Unique Key],$G171,[1]!Resources[Summer Rating],"&gt;"&amp;0),2),0)*L109/10^6</f>
        <v>64.33</v>
      </c>
      <c r="M171" s="6">
        <f>IFERROR(ROUND(AVERAGEIFS([1]!Resources[Fixed O&amp;M Cost],[1]!Resources[COD],"&lt;="&amp;M$139,[1]!Resources[Retirement Date],"&gt;="&amp;M$139,[1]!Resources[Unique Key],$G171,[1]!Resources[Summer Rating],"&gt;"&amp;0),2),0)*M109/10^6</f>
        <v>64.33</v>
      </c>
      <c r="N171" s="6">
        <f>IFERROR(ROUND(AVERAGEIFS([1]!Resources[Fixed O&amp;M Cost],[1]!Resources[COD],"&lt;="&amp;N$139,[1]!Resources[Retirement Date],"&gt;="&amp;N$139,[1]!Resources[Unique Key],$G171,[1]!Resources[Summer Rating],"&gt;"&amp;0),2),0)*N109/10^6</f>
        <v>64.33</v>
      </c>
      <c r="O171" s="6">
        <f>IFERROR(ROUND(AVERAGEIFS([1]!Resources[Fixed O&amp;M Cost],[1]!Resources[COD],"&lt;="&amp;O$139,[1]!Resources[Retirement Date],"&gt;="&amp;O$139,[1]!Resources[Unique Key],$G171,[1]!Resources[Summer Rating],"&gt;"&amp;0),2),0)*O109/10^6</f>
        <v>64.33</v>
      </c>
      <c r="P171" s="6">
        <f>IFERROR(ROUND(AVERAGEIFS([1]!Resources[Fixed O&amp;M Cost],[1]!Resources[COD],"&lt;="&amp;P$139,[1]!Resources[Retirement Date],"&gt;="&amp;P$139,[1]!Resources[Unique Key],$G171,[1]!Resources[Summer Rating],"&gt;"&amp;0),2),0)*P109/10^6</f>
        <v>64.33</v>
      </c>
      <c r="Q171" s="6">
        <f>IFERROR(ROUND(AVERAGEIFS([1]!Resources[Fixed O&amp;M Cost],[1]!Resources[COD],"&lt;="&amp;Q$139,[1]!Resources[Retirement Date],"&gt;="&amp;Q$139,[1]!Resources[Unique Key],$G171,[1]!Resources[Summer Rating],"&gt;"&amp;0),2),0)*Q109/10^6</f>
        <v>64.33</v>
      </c>
      <c r="R171" s="6">
        <f>IFERROR(ROUND(AVERAGEIFS([1]!Resources[Fixed O&amp;M Cost],[1]!Resources[COD],"&lt;="&amp;R$139,[1]!Resources[Retirement Date],"&gt;="&amp;R$139,[1]!Resources[Unique Key],$G171,[1]!Resources[Summer Rating],"&gt;"&amp;0),2),0)*R109/10^6</f>
        <v>64.33</v>
      </c>
      <c r="S171" s="6">
        <f>IFERROR(ROUND(AVERAGEIFS([1]!Resources[Fixed O&amp;M Cost],[1]!Resources[COD],"&lt;="&amp;S$139,[1]!Resources[Retirement Date],"&gt;="&amp;S$139,[1]!Resources[Unique Key],$G171,[1]!Resources[Summer Rating],"&gt;"&amp;0),2),0)*S109/10^6</f>
        <v>64.33</v>
      </c>
      <c r="T171" s="6">
        <f>IFERROR(ROUND(AVERAGEIFS([1]!Resources[Fixed O&amp;M Cost],[1]!Resources[COD],"&lt;="&amp;T$139,[1]!Resources[Retirement Date],"&gt;="&amp;T$139,[1]!Resources[Unique Key],$G171,[1]!Resources[Summer Rating],"&gt;"&amp;0),2),0)*T109/10^6</f>
        <v>64.33</v>
      </c>
      <c r="U171" s="6">
        <f>IFERROR(ROUND(AVERAGEIFS([1]!Resources[Fixed O&amp;M Cost],[1]!Resources[COD],"&lt;="&amp;U$139,[1]!Resources[Retirement Date],"&gt;="&amp;U$139,[1]!Resources[Unique Key],$G171,[1]!Resources[Summer Rating],"&gt;"&amp;0),2),0)*U109/10^6</f>
        <v>64.33</v>
      </c>
      <c r="V171" s="6">
        <f>IFERROR(ROUND(AVERAGEIFS([1]!Resources[Fixed O&amp;M Cost],[1]!Resources[COD],"&lt;="&amp;V$139,[1]!Resources[Retirement Date],"&gt;="&amp;V$139,[1]!Resources[Unique Key],$G171,[1]!Resources[Summer Rating],"&gt;"&amp;0),2),0)*V109/10^6</f>
        <v>64.33</v>
      </c>
      <c r="W171" s="6">
        <f>IFERROR(ROUND(AVERAGEIFS([1]!Resources[Fixed O&amp;M Cost],[1]!Resources[COD],"&lt;="&amp;W$139,[1]!Resources[Retirement Date],"&gt;="&amp;W$139,[1]!Resources[Unique Key],$G171,[1]!Resources[Summer Rating],"&gt;"&amp;0),2),0)*W109/10^6</f>
        <v>64.33</v>
      </c>
      <c r="X171" s="6">
        <f>IFERROR(ROUND(AVERAGEIFS([1]!Resources[Fixed O&amp;M Cost],[1]!Resources[COD],"&lt;="&amp;X$139,[1]!Resources[Retirement Date],"&gt;="&amp;X$139,[1]!Resources[Unique Key],$G171,[1]!Resources[Summer Rating],"&gt;"&amp;0),2),0)*X109/10^6</f>
        <v>64.33</v>
      </c>
      <c r="Y171" s="6">
        <f>IFERROR(ROUND(AVERAGEIFS([1]!Resources[Fixed O&amp;M Cost],[1]!Resources[COD],"&lt;="&amp;Y$139,[1]!Resources[Retirement Date],"&gt;="&amp;Y$139,[1]!Resources[Unique Key],$G171,[1]!Resources[Summer Rating],"&gt;"&amp;0),2),0)*Y109/10^6</f>
        <v>64.33</v>
      </c>
      <c r="Z171" s="6">
        <f>IFERROR(ROUND(AVERAGEIFS([1]!Resources[Fixed O&amp;M Cost],[1]!Resources[COD],"&lt;="&amp;Z$139,[1]!Resources[Retirement Date],"&gt;="&amp;Z$139,[1]!Resources[Unique Key],$G171,[1]!Resources[Summer Rating],"&gt;"&amp;0),2),0)*Z109/10^6</f>
        <v>64.33</v>
      </c>
      <c r="AA171" s="6">
        <f>IFERROR(ROUND(AVERAGEIFS([1]!Resources[Fixed O&amp;M Cost],[1]!Resources[COD],"&lt;="&amp;AA$139,[1]!Resources[Retirement Date],"&gt;="&amp;AA$139,[1]!Resources[Unique Key],$G171,[1]!Resources[Summer Rating],"&gt;"&amp;0),2),0)*AA109/10^6</f>
        <v>64.33</v>
      </c>
      <c r="AB171" s="6">
        <f>IFERROR(ROUND(AVERAGEIFS([1]!Resources[Fixed O&amp;M Cost],[1]!Resources[COD],"&lt;="&amp;AB$139,[1]!Resources[Retirement Date],"&gt;="&amp;AB$139,[1]!Resources[Unique Key],$G171,[1]!Resources[Summer Rating],"&gt;"&amp;0),2),0)*AB109/10^6</f>
        <v>64.33</v>
      </c>
      <c r="AC171" s="6">
        <f>IFERROR(ROUND(AVERAGEIFS([1]!Resources[Fixed O&amp;M Cost],[1]!Resources[COD],"&lt;="&amp;AC$139,[1]!Resources[Retirement Date],"&gt;="&amp;AC$139,[1]!Resources[Unique Key],$G171,[1]!Resources[Summer Rating],"&gt;"&amp;0),2),0)*AC109/10^6</f>
        <v>64.33</v>
      </c>
      <c r="AD171" s="6">
        <f>IFERROR(ROUND(AVERAGEIFS([1]!Resources[Fixed O&amp;M Cost],[1]!Resources[COD],"&lt;="&amp;AD$139,[1]!Resources[Retirement Date],"&gt;="&amp;AD$139,[1]!Resources[Unique Key],$G171,[1]!Resources[Summer Rating],"&gt;"&amp;0),2),0)*AD109/10^6</f>
        <v>64.33</v>
      </c>
      <c r="AE171" s="6">
        <f>IFERROR(ROUND(AVERAGEIFS([1]!Resources[Fixed O&amp;M Cost],[1]!Resources[COD],"&lt;="&amp;AE$139,[1]!Resources[Retirement Date],"&gt;="&amp;AE$139,[1]!Resources[Unique Key],$G171,[1]!Resources[Summer Rating],"&gt;"&amp;0),2),0)*AE109/10^6</f>
        <v>64.33</v>
      </c>
      <c r="AF171" s="6">
        <f>IFERROR(ROUND(AVERAGEIFS([1]!Resources[Fixed O&amp;M Cost],[1]!Resources[COD],"&lt;="&amp;AF$139,[1]!Resources[Retirement Date],"&gt;="&amp;AF$139,[1]!Resources[Unique Key],$G171,[1]!Resources[Summer Rating],"&gt;"&amp;0),2),0)*AF109/10^6</f>
        <v>64.33</v>
      </c>
      <c r="AG171" s="6">
        <f>IFERROR(ROUND(AVERAGEIFS([1]!Resources[Fixed O&amp;M Cost],[1]!Resources[COD],"&lt;="&amp;AG$139,[1]!Resources[Retirement Date],"&gt;="&amp;AG$139,[1]!Resources[Unique Key],$G171,[1]!Resources[Summer Rating],"&gt;"&amp;0),2),0)*AG109/10^6</f>
        <v>64.33</v>
      </c>
      <c r="AI171" s="5" t="s">
        <v>75</v>
      </c>
      <c r="AJ171" s="6" cm="1">
        <f t="array" ref="AJ171">IFERROR(INDEX(AJ$174:AJ$175,MATCH(_xlfn.TEXTAFTER(INDEX($F$78:$F$129,MATCH($AI171,$G$78:$G$129,0))," "),_xlfn.TEXTBEFORE($AI$174:$AI$175," - ")),0),0)</f>
        <v>0</v>
      </c>
      <c r="AK171" s="6" cm="1">
        <f t="array" ref="AK171">IFERROR(INDEX(AK$174:AK$175,MATCH(_xlfn.TEXTAFTER(INDEX($F$78:$F$129,MATCH($AI171,$G$78:$G$129,0))," "),_xlfn.TEXTBEFORE($AI$174:$AI$175," - ")),0),0)</f>
        <v>0</v>
      </c>
      <c r="AL171" s="6" cm="1">
        <f t="array" ref="AL171">IFERROR(INDEX(AL$174:AL$175,MATCH(_xlfn.TEXTAFTER(INDEX($F$78:$F$129,MATCH($AI171,$G$78:$G$129,0))," "),_xlfn.TEXTBEFORE($AI$174:$AI$175," - ")),0),0)</f>
        <v>0</v>
      </c>
      <c r="AM171" s="6" cm="1">
        <f t="array" ref="AM171">IFERROR(INDEX(AM$174:AM$175,MATCH(_xlfn.TEXTAFTER(INDEX($F$78:$F$129,MATCH($AI171,$G$78:$G$129,0))," "),_xlfn.TEXTBEFORE($AI$174:$AI$175," - ")),0),0)</f>
        <v>0</v>
      </c>
      <c r="AN171" s="6" cm="1">
        <f t="array" ref="AN171">IFERROR(INDEX(AN$174:AN$175,MATCH(_xlfn.TEXTAFTER(INDEX($F$78:$F$129,MATCH($AI171,$G$78:$G$129,0))," "),_xlfn.TEXTBEFORE($AI$174:$AI$175," - ")),0),0)</f>
        <v>0</v>
      </c>
      <c r="AO171" s="6" cm="1">
        <f t="array" ref="AO171">IFERROR(INDEX(AO$174:AO$175,MATCH(_xlfn.TEXTAFTER(INDEX($F$78:$F$129,MATCH($AI171,$G$78:$G$129,0))," "),_xlfn.TEXTBEFORE($AI$174:$AI$175," - ")),0),0)</f>
        <v>0</v>
      </c>
      <c r="AP171" s="6" cm="1">
        <f t="array" ref="AP171">IFERROR(INDEX(AP$174:AP$175,MATCH(_xlfn.TEXTAFTER(INDEX($F$78:$F$129,MATCH($AI171,$G$78:$G$129,0))," "),_xlfn.TEXTBEFORE($AI$174:$AI$175," - ")),0),0)</f>
        <v>0</v>
      </c>
      <c r="AQ171" s="6" cm="1">
        <f t="array" ref="AQ171">IFERROR(INDEX(AQ$174:AQ$175,MATCH(_xlfn.TEXTAFTER(INDEX($F$78:$F$129,MATCH($AI171,$G$78:$G$129,0))," "),_xlfn.TEXTBEFORE($AI$174:$AI$175," - ")),0),0)</f>
        <v>0</v>
      </c>
      <c r="AR171" s="6" cm="1">
        <f t="array" ref="AR171">IFERROR(INDEX(AR$174:AR$175,MATCH(_xlfn.TEXTAFTER(INDEX($F$78:$F$129,MATCH($AI171,$G$78:$G$129,0))," "),_xlfn.TEXTBEFORE($AI$174:$AI$175," - ")),0),0)</f>
        <v>0</v>
      </c>
      <c r="AS171" s="6" cm="1">
        <f t="array" ref="AS171">IFERROR(INDEX(AS$174:AS$175,MATCH(_xlfn.TEXTAFTER(INDEX($F$78:$F$129,MATCH($AI171,$G$78:$G$129,0))," "),_xlfn.TEXTBEFORE($AI$174:$AI$175," - ")),0),0)</f>
        <v>0</v>
      </c>
      <c r="AT171" s="6" cm="1">
        <f t="array" ref="AT171">IFERROR(INDEX(AT$174:AT$175,MATCH(_xlfn.TEXTAFTER(INDEX($F$78:$F$129,MATCH($AI171,$G$78:$G$129,0))," "),_xlfn.TEXTBEFORE($AI$174:$AI$175," - ")),0),0)</f>
        <v>0</v>
      </c>
      <c r="AU171" s="6" cm="1">
        <f t="array" ref="AU171">IFERROR(INDEX(AU$174:AU$175,MATCH(_xlfn.TEXTAFTER(INDEX($F$78:$F$129,MATCH($AI171,$G$78:$G$129,0))," "),_xlfn.TEXTBEFORE($AI$174:$AI$175," - ")),0),0)</f>
        <v>0</v>
      </c>
      <c r="AV171" s="6" cm="1">
        <f t="array" ref="AV171">IFERROR(INDEX(AV$174:AV$175,MATCH(_xlfn.TEXTAFTER(INDEX($F$78:$F$129,MATCH($AI171,$G$78:$G$129,0))," "),_xlfn.TEXTBEFORE($AI$174:$AI$175," - ")),0),0)</f>
        <v>0</v>
      </c>
      <c r="AW171" s="6" cm="1">
        <f t="array" ref="AW171">IFERROR(INDEX(AW$174:AW$175,MATCH(_xlfn.TEXTAFTER(INDEX($F$78:$F$129,MATCH($AI171,$G$78:$G$129,0))," "),_xlfn.TEXTBEFORE($AI$174:$AI$175," - ")),0),0)</f>
        <v>0</v>
      </c>
      <c r="AX171" s="6" cm="1">
        <f t="array" ref="AX171">IFERROR(INDEX(AX$174:AX$175,MATCH(_xlfn.TEXTAFTER(INDEX($F$78:$F$129,MATCH($AI171,$G$78:$G$129,0))," "),_xlfn.TEXTBEFORE($AI$174:$AI$175," - ")),0),0)</f>
        <v>0</v>
      </c>
      <c r="AY171" s="6" cm="1">
        <f t="array" ref="AY171">IFERROR(INDEX(AY$174:AY$175,MATCH(_xlfn.TEXTAFTER(INDEX($F$78:$F$129,MATCH($AI171,$G$78:$G$129,0))," "),_xlfn.TEXTBEFORE($AI$174:$AI$175," - ")),0),0)</f>
        <v>0</v>
      </c>
      <c r="AZ171" s="6" cm="1">
        <f t="array" ref="AZ171">IFERROR(INDEX(AZ$174:AZ$175,MATCH(_xlfn.TEXTAFTER(INDEX($F$78:$F$129,MATCH($AI171,$G$78:$G$129,0))," "),_xlfn.TEXTBEFORE($AI$174:$AI$175," - ")),0),0)</f>
        <v>0</v>
      </c>
      <c r="BA171" s="6" cm="1">
        <f t="array" ref="BA171">IFERROR(INDEX(BA$174:BA$175,MATCH(_xlfn.TEXTAFTER(INDEX($F$78:$F$129,MATCH($AI171,$G$78:$G$129,0))," "),_xlfn.TEXTBEFORE($AI$174:$AI$175," - ")),0),0)</f>
        <v>0</v>
      </c>
      <c r="BB171" s="6" cm="1">
        <f t="array" ref="BB171">IFERROR(INDEX(BB$174:BB$175,MATCH(_xlfn.TEXTAFTER(INDEX($F$78:$F$129,MATCH($AI171,$G$78:$G$129,0))," "),_xlfn.TEXTBEFORE($AI$174:$AI$175," - ")),0),0)</f>
        <v>0</v>
      </c>
      <c r="BC171" s="6" cm="1">
        <f t="array" ref="BC171">IFERROR(INDEX(BC$174:BC$175,MATCH(_xlfn.TEXTAFTER(INDEX($F$78:$F$129,MATCH($AI171,$G$78:$G$129,0))," "),_xlfn.TEXTBEFORE($AI$174:$AI$175," - ")),0),0)</f>
        <v>0</v>
      </c>
      <c r="BD171" s="6" cm="1">
        <f t="array" ref="BD171">IFERROR(INDEX(BD$174:BD$175,MATCH(_xlfn.TEXTAFTER(INDEX($F$78:$F$129,MATCH($AI171,$G$78:$G$129,0))," "),_xlfn.TEXTBEFORE($AI$174:$AI$175," - ")),0),0)</f>
        <v>0</v>
      </c>
      <c r="BE171" s="6" cm="1">
        <f t="array" ref="BE171">IFERROR(INDEX(BE$174:BE$175,MATCH(_xlfn.TEXTAFTER(INDEX($F$78:$F$129,MATCH($AI171,$G$78:$G$129,0))," "),_xlfn.TEXTBEFORE($AI$174:$AI$175," - ")),0),0)</f>
        <v>0</v>
      </c>
      <c r="BF171" s="6" cm="1">
        <f t="array" ref="BF171">IFERROR(INDEX(BF$174:BF$175,MATCH(_xlfn.TEXTAFTER(INDEX($F$78:$F$129,MATCH($AI171,$G$78:$G$129,0))," "),_xlfn.TEXTBEFORE($AI$174:$AI$175," - ")),0),0)</f>
        <v>0</v>
      </c>
      <c r="BG171" s="6" cm="1">
        <f t="array" ref="BG171">IFERROR(INDEX(BG$174:BG$175,MATCH(_xlfn.TEXTAFTER(INDEX($F$78:$F$129,MATCH($AI171,$G$78:$G$129,0))," "),_xlfn.TEXTBEFORE($AI$174:$AI$175," - ")),0),0)</f>
        <v>0</v>
      </c>
      <c r="BH171" s="6" cm="1">
        <f t="array" ref="BH171">IFERROR(INDEX(BH$174:BH$175,MATCH(_xlfn.TEXTAFTER(INDEX($F$78:$F$129,MATCH($AI171,$G$78:$G$129,0))," "),_xlfn.TEXTBEFORE($AI$174:$AI$175," - ")),0),0)</f>
        <v>0</v>
      </c>
      <c r="BI171" s="6" cm="1">
        <f t="array" ref="BI171">IFERROR(INDEX(BI$174:BI$175,MATCH(_xlfn.TEXTAFTER(INDEX($F$78:$F$129,MATCH($AI171,$G$78:$G$129,0))," "),_xlfn.TEXTBEFORE($AI$174:$AI$175," - ")),0),0)</f>
        <v>0</v>
      </c>
    </row>
    <row r="172" spans="7:61" ht="16" x14ac:dyDescent="0.2">
      <c r="G172" s="5" t="s">
        <v>76</v>
      </c>
      <c r="H172" s="6">
        <f>IFERROR(ROUND(AVERAGEIFS([1]!Resources[Fixed O&amp;M Cost],[1]!Resources[COD],"&lt;="&amp;H$139,[1]!Resources[Retirement Date],"&gt;="&amp;H$139,[1]!Resources[Unique Key],$G172,[1]!Resources[Summer Rating],"&gt;"&amp;0),2),0)*H110/10^6</f>
        <v>24.517800000000001</v>
      </c>
      <c r="I172" s="6">
        <f>IFERROR(ROUND(AVERAGEIFS([1]!Resources[Fixed O&amp;M Cost],[1]!Resources[COD],"&lt;="&amp;I$139,[1]!Resources[Retirement Date],"&gt;="&amp;I$139,[1]!Resources[Unique Key],$G172,[1]!Resources[Summer Rating],"&gt;"&amp;0),2),0)*I110/10^6</f>
        <v>24.517800000000001</v>
      </c>
      <c r="J172" s="6">
        <f>IFERROR(ROUND(AVERAGEIFS([1]!Resources[Fixed O&amp;M Cost],[1]!Resources[COD],"&lt;="&amp;J$139,[1]!Resources[Retirement Date],"&gt;="&amp;J$139,[1]!Resources[Unique Key],$G172,[1]!Resources[Summer Rating],"&gt;"&amp;0),2),0)*J110/10^6</f>
        <v>24.517800000000001</v>
      </c>
      <c r="K172" s="6">
        <f>IFERROR(ROUND(AVERAGEIFS([1]!Resources[Fixed O&amp;M Cost],[1]!Resources[COD],"&lt;="&amp;K$139,[1]!Resources[Retirement Date],"&gt;="&amp;K$139,[1]!Resources[Unique Key],$G172,[1]!Resources[Summer Rating],"&gt;"&amp;0),2),0)*K110/10^6</f>
        <v>24.517800000000001</v>
      </c>
      <c r="L172" s="6">
        <f>IFERROR(ROUND(AVERAGEIFS([1]!Resources[Fixed O&amp;M Cost],[1]!Resources[COD],"&lt;="&amp;L$139,[1]!Resources[Retirement Date],"&gt;="&amp;L$139,[1]!Resources[Unique Key],$G172,[1]!Resources[Summer Rating],"&gt;"&amp;0),2),0)*L110/10^6</f>
        <v>24.517800000000001</v>
      </c>
      <c r="M172" s="6">
        <f>IFERROR(ROUND(AVERAGEIFS([1]!Resources[Fixed O&amp;M Cost],[1]!Resources[COD],"&lt;="&amp;M$139,[1]!Resources[Retirement Date],"&gt;="&amp;M$139,[1]!Resources[Unique Key],$G172,[1]!Resources[Summer Rating],"&gt;"&amp;0),2),0)*M110/10^6</f>
        <v>24.517800000000001</v>
      </c>
      <c r="N172" s="6">
        <f>IFERROR(ROUND(AVERAGEIFS([1]!Resources[Fixed O&amp;M Cost],[1]!Resources[COD],"&lt;="&amp;N$139,[1]!Resources[Retirement Date],"&gt;="&amp;N$139,[1]!Resources[Unique Key],$G172,[1]!Resources[Summer Rating],"&gt;"&amp;0),2),0)*N110/10^6</f>
        <v>24.517800000000001</v>
      </c>
      <c r="O172" s="6">
        <f>IFERROR(ROUND(AVERAGEIFS([1]!Resources[Fixed O&amp;M Cost],[1]!Resources[COD],"&lt;="&amp;O$139,[1]!Resources[Retirement Date],"&gt;="&amp;O$139,[1]!Resources[Unique Key],$G172,[1]!Resources[Summer Rating],"&gt;"&amp;0),2),0)*O110/10^6</f>
        <v>24.517800000000001</v>
      </c>
      <c r="P172" s="6">
        <f>IFERROR(ROUND(AVERAGEIFS([1]!Resources[Fixed O&amp;M Cost],[1]!Resources[COD],"&lt;="&amp;P$139,[1]!Resources[Retirement Date],"&gt;="&amp;P$139,[1]!Resources[Unique Key],$G172,[1]!Resources[Summer Rating],"&gt;"&amp;0),2),0)*P110/10^6</f>
        <v>24.517800000000001</v>
      </c>
      <c r="Q172" s="6">
        <f>IFERROR(ROUND(AVERAGEIFS([1]!Resources[Fixed O&amp;M Cost],[1]!Resources[COD],"&lt;="&amp;Q$139,[1]!Resources[Retirement Date],"&gt;="&amp;Q$139,[1]!Resources[Unique Key],$G172,[1]!Resources[Summer Rating],"&gt;"&amp;0),2),0)*Q110/10^6</f>
        <v>24.517800000000001</v>
      </c>
      <c r="R172" s="6">
        <f>IFERROR(ROUND(AVERAGEIFS([1]!Resources[Fixed O&amp;M Cost],[1]!Resources[COD],"&lt;="&amp;R$139,[1]!Resources[Retirement Date],"&gt;="&amp;R$139,[1]!Resources[Unique Key],$G172,[1]!Resources[Summer Rating],"&gt;"&amp;0),2),0)*R110/10^6</f>
        <v>24.517800000000001</v>
      </c>
      <c r="S172" s="6">
        <f>IFERROR(ROUND(AVERAGEIFS([1]!Resources[Fixed O&amp;M Cost],[1]!Resources[COD],"&lt;="&amp;S$139,[1]!Resources[Retirement Date],"&gt;="&amp;S$139,[1]!Resources[Unique Key],$G172,[1]!Resources[Summer Rating],"&gt;"&amp;0),2),0)*S110/10^6</f>
        <v>24.517800000000001</v>
      </c>
      <c r="T172" s="6">
        <f>IFERROR(ROUND(AVERAGEIFS([1]!Resources[Fixed O&amp;M Cost],[1]!Resources[COD],"&lt;="&amp;T$139,[1]!Resources[Retirement Date],"&gt;="&amp;T$139,[1]!Resources[Unique Key],$G172,[1]!Resources[Summer Rating],"&gt;"&amp;0),2),0)*T110/10^6</f>
        <v>24.517800000000001</v>
      </c>
      <c r="U172" s="6">
        <f>IFERROR(ROUND(AVERAGEIFS([1]!Resources[Fixed O&amp;M Cost],[1]!Resources[COD],"&lt;="&amp;U$139,[1]!Resources[Retirement Date],"&gt;="&amp;U$139,[1]!Resources[Unique Key],$G172,[1]!Resources[Summer Rating],"&gt;"&amp;0),2),0)*U110/10^6</f>
        <v>24.517800000000001</v>
      </c>
      <c r="V172" s="6">
        <f>IFERROR(ROUND(AVERAGEIFS([1]!Resources[Fixed O&amp;M Cost],[1]!Resources[COD],"&lt;="&amp;V$139,[1]!Resources[Retirement Date],"&gt;="&amp;V$139,[1]!Resources[Unique Key],$G172,[1]!Resources[Summer Rating],"&gt;"&amp;0),2),0)*V110/10^6</f>
        <v>24.517800000000001</v>
      </c>
      <c r="W172" s="6">
        <f>IFERROR(ROUND(AVERAGEIFS([1]!Resources[Fixed O&amp;M Cost],[1]!Resources[COD],"&lt;="&amp;W$139,[1]!Resources[Retirement Date],"&gt;="&amp;W$139,[1]!Resources[Unique Key],$G172,[1]!Resources[Summer Rating],"&gt;"&amp;0),2),0)*W110/10^6</f>
        <v>24.517800000000001</v>
      </c>
      <c r="X172" s="6">
        <f>IFERROR(ROUND(AVERAGEIFS([1]!Resources[Fixed O&amp;M Cost],[1]!Resources[COD],"&lt;="&amp;X$139,[1]!Resources[Retirement Date],"&gt;="&amp;X$139,[1]!Resources[Unique Key],$G172,[1]!Resources[Summer Rating],"&gt;"&amp;0),2),0)*X110/10^6</f>
        <v>24.517800000000001</v>
      </c>
      <c r="Y172" s="6">
        <f>IFERROR(ROUND(AVERAGEIFS([1]!Resources[Fixed O&amp;M Cost],[1]!Resources[COD],"&lt;="&amp;Y$139,[1]!Resources[Retirement Date],"&gt;="&amp;Y$139,[1]!Resources[Unique Key],$G172,[1]!Resources[Summer Rating],"&gt;"&amp;0),2),0)*Y110/10^6</f>
        <v>24.517800000000001</v>
      </c>
      <c r="Z172" s="6">
        <f>IFERROR(ROUND(AVERAGEIFS([1]!Resources[Fixed O&amp;M Cost],[1]!Resources[COD],"&lt;="&amp;Z$139,[1]!Resources[Retirement Date],"&gt;="&amp;Z$139,[1]!Resources[Unique Key],$G172,[1]!Resources[Summer Rating],"&gt;"&amp;0),2),0)*Z110/10^6</f>
        <v>24.517800000000001</v>
      </c>
      <c r="AA172" s="6">
        <f>IFERROR(ROUND(AVERAGEIFS([1]!Resources[Fixed O&amp;M Cost],[1]!Resources[COD],"&lt;="&amp;AA$139,[1]!Resources[Retirement Date],"&gt;="&amp;AA$139,[1]!Resources[Unique Key],$G172,[1]!Resources[Summer Rating],"&gt;"&amp;0),2),0)*AA110/10^6</f>
        <v>24.517800000000001</v>
      </c>
      <c r="AB172" s="6">
        <f>IFERROR(ROUND(AVERAGEIFS([1]!Resources[Fixed O&amp;M Cost],[1]!Resources[COD],"&lt;="&amp;AB$139,[1]!Resources[Retirement Date],"&gt;="&amp;AB$139,[1]!Resources[Unique Key],$G172,[1]!Resources[Summer Rating],"&gt;"&amp;0),2),0)*AB110/10^6</f>
        <v>24.517800000000001</v>
      </c>
      <c r="AC172" s="6">
        <f>IFERROR(ROUND(AVERAGEIFS([1]!Resources[Fixed O&amp;M Cost],[1]!Resources[COD],"&lt;="&amp;AC$139,[1]!Resources[Retirement Date],"&gt;="&amp;AC$139,[1]!Resources[Unique Key],$G172,[1]!Resources[Summer Rating],"&gt;"&amp;0),2),0)*AC110/10^6</f>
        <v>24.517800000000001</v>
      </c>
      <c r="AD172" s="6">
        <f>IFERROR(ROUND(AVERAGEIFS([1]!Resources[Fixed O&amp;M Cost],[1]!Resources[COD],"&lt;="&amp;AD$139,[1]!Resources[Retirement Date],"&gt;="&amp;AD$139,[1]!Resources[Unique Key],$G172,[1]!Resources[Summer Rating],"&gt;"&amp;0),2),0)*AD110/10^6</f>
        <v>24.517800000000001</v>
      </c>
      <c r="AE172" s="6">
        <f>IFERROR(ROUND(AVERAGEIFS([1]!Resources[Fixed O&amp;M Cost],[1]!Resources[COD],"&lt;="&amp;AE$139,[1]!Resources[Retirement Date],"&gt;="&amp;AE$139,[1]!Resources[Unique Key],$G172,[1]!Resources[Summer Rating],"&gt;"&amp;0),2),0)*AE110/10^6</f>
        <v>24.517800000000001</v>
      </c>
      <c r="AF172" s="6">
        <f>IFERROR(ROUND(AVERAGEIFS([1]!Resources[Fixed O&amp;M Cost],[1]!Resources[COD],"&lt;="&amp;AF$139,[1]!Resources[Retirement Date],"&gt;="&amp;AF$139,[1]!Resources[Unique Key],$G172,[1]!Resources[Summer Rating],"&gt;"&amp;0),2),0)*AF110/10^6</f>
        <v>24.517800000000001</v>
      </c>
      <c r="AG172" s="6">
        <f>IFERROR(ROUND(AVERAGEIFS([1]!Resources[Fixed O&amp;M Cost],[1]!Resources[COD],"&lt;="&amp;AG$139,[1]!Resources[Retirement Date],"&gt;="&amp;AG$139,[1]!Resources[Unique Key],$G172,[1]!Resources[Summer Rating],"&gt;"&amp;0),2),0)*AG110/10^6</f>
        <v>24.517800000000001</v>
      </c>
      <c r="AI172" s="5" t="s">
        <v>76</v>
      </c>
      <c r="AJ172" s="6" cm="1">
        <f t="array" ref="AJ172">IFERROR(INDEX(AJ$174:AJ$175,MATCH(_xlfn.TEXTAFTER(INDEX($F$78:$F$129,MATCH($AI172,$G$78:$G$129,0))," "),_xlfn.TEXTBEFORE($AI$174:$AI$175," - ")),0),0)</f>
        <v>92503.140684153317</v>
      </c>
      <c r="AK172" s="6" cm="1">
        <f t="array" ref="AK172">IFERROR(INDEX(AK$174:AK$175,MATCH(_xlfn.TEXTAFTER(INDEX($F$78:$F$129,MATCH($AI172,$G$78:$G$129,0))," "),_xlfn.TEXTBEFORE($AI$174:$AI$175," - ")),0),0)</f>
        <v>92503.140684153317</v>
      </c>
      <c r="AL172" s="6" cm="1">
        <f t="array" ref="AL172">IFERROR(INDEX(AL$174:AL$175,MATCH(_xlfn.TEXTAFTER(INDEX($F$78:$F$129,MATCH($AI172,$G$78:$G$129,0))," "),_xlfn.TEXTBEFORE($AI$174:$AI$175," - ")),0),0)</f>
        <v>92503.140684153317</v>
      </c>
      <c r="AM172" s="6" cm="1">
        <f t="array" ref="AM172">IFERROR(INDEX(AM$174:AM$175,MATCH(_xlfn.TEXTAFTER(INDEX($F$78:$F$129,MATCH($AI172,$G$78:$G$129,0))," "),_xlfn.TEXTBEFORE($AI$174:$AI$175," - ")),0),0)</f>
        <v>92503.140684153317</v>
      </c>
      <c r="AN172" s="6" cm="1">
        <f t="array" ref="AN172">IFERROR(INDEX(AN$174:AN$175,MATCH(_xlfn.TEXTAFTER(INDEX($F$78:$F$129,MATCH($AI172,$G$78:$G$129,0))," "),_xlfn.TEXTBEFORE($AI$174:$AI$175," - ")),0),0)</f>
        <v>92503.140684153317</v>
      </c>
      <c r="AO172" s="6" cm="1">
        <f t="array" ref="AO172">IFERROR(INDEX(AO$174:AO$175,MATCH(_xlfn.TEXTAFTER(INDEX($F$78:$F$129,MATCH($AI172,$G$78:$G$129,0))," "),_xlfn.TEXTBEFORE($AI$174:$AI$175," - ")),0),0)</f>
        <v>92503.140684153317</v>
      </c>
      <c r="AP172" s="6" cm="1">
        <f t="array" ref="AP172">IFERROR(INDEX(AP$174:AP$175,MATCH(_xlfn.TEXTAFTER(INDEX($F$78:$F$129,MATCH($AI172,$G$78:$G$129,0))," "),_xlfn.TEXTBEFORE($AI$174:$AI$175," - ")),0),0)</f>
        <v>92503.140684153317</v>
      </c>
      <c r="AQ172" s="6" cm="1">
        <f t="array" ref="AQ172">IFERROR(INDEX(AQ$174:AQ$175,MATCH(_xlfn.TEXTAFTER(INDEX($F$78:$F$129,MATCH($AI172,$G$78:$G$129,0))," "),_xlfn.TEXTBEFORE($AI$174:$AI$175," - ")),0),0)</f>
        <v>92503.140684153317</v>
      </c>
      <c r="AR172" s="6" cm="1">
        <f t="array" ref="AR172">IFERROR(INDEX(AR$174:AR$175,MATCH(_xlfn.TEXTAFTER(INDEX($F$78:$F$129,MATCH($AI172,$G$78:$G$129,0))," "),_xlfn.TEXTBEFORE($AI$174:$AI$175," - ")),0),0)</f>
        <v>92503.140684153317</v>
      </c>
      <c r="AS172" s="6" cm="1">
        <f t="array" ref="AS172">IFERROR(INDEX(AS$174:AS$175,MATCH(_xlfn.TEXTAFTER(INDEX($F$78:$F$129,MATCH($AI172,$G$78:$G$129,0))," "),_xlfn.TEXTBEFORE($AI$174:$AI$175," - ")),0),0)</f>
        <v>92503.140684153317</v>
      </c>
      <c r="AT172" s="6" cm="1">
        <f t="array" ref="AT172">IFERROR(INDEX(AT$174:AT$175,MATCH(_xlfn.TEXTAFTER(INDEX($F$78:$F$129,MATCH($AI172,$G$78:$G$129,0))," "),_xlfn.TEXTBEFORE($AI$174:$AI$175," - ")),0),0)</f>
        <v>92503.140684153317</v>
      </c>
      <c r="AU172" s="6" cm="1">
        <f t="array" ref="AU172">IFERROR(INDEX(AU$174:AU$175,MATCH(_xlfn.TEXTAFTER(INDEX($F$78:$F$129,MATCH($AI172,$G$78:$G$129,0))," "),_xlfn.TEXTBEFORE($AI$174:$AI$175," - ")),0),0)</f>
        <v>92503.140684153317</v>
      </c>
      <c r="AV172" s="6" cm="1">
        <f t="array" ref="AV172">IFERROR(INDEX(AV$174:AV$175,MATCH(_xlfn.TEXTAFTER(INDEX($F$78:$F$129,MATCH($AI172,$G$78:$G$129,0))," "),_xlfn.TEXTBEFORE($AI$174:$AI$175," - ")),0),0)</f>
        <v>92503.140684153317</v>
      </c>
      <c r="AW172" s="6" cm="1">
        <f t="array" ref="AW172">IFERROR(INDEX(AW$174:AW$175,MATCH(_xlfn.TEXTAFTER(INDEX($F$78:$F$129,MATCH($AI172,$G$78:$G$129,0))," "),_xlfn.TEXTBEFORE($AI$174:$AI$175," - ")),0),0)</f>
        <v>92503.140684153317</v>
      </c>
      <c r="AX172" s="6" cm="1">
        <f t="array" ref="AX172">IFERROR(INDEX(AX$174:AX$175,MATCH(_xlfn.TEXTAFTER(INDEX($F$78:$F$129,MATCH($AI172,$G$78:$G$129,0))," "),_xlfn.TEXTBEFORE($AI$174:$AI$175," - ")),0),0)</f>
        <v>92503.140684153317</v>
      </c>
      <c r="AY172" s="6" cm="1">
        <f t="array" ref="AY172">IFERROR(INDEX(AY$174:AY$175,MATCH(_xlfn.TEXTAFTER(INDEX($F$78:$F$129,MATCH($AI172,$G$78:$G$129,0))," "),_xlfn.TEXTBEFORE($AI$174:$AI$175," - ")),0),0)</f>
        <v>92503.140684153317</v>
      </c>
      <c r="AZ172" s="6" cm="1">
        <f t="array" ref="AZ172">IFERROR(INDEX(AZ$174:AZ$175,MATCH(_xlfn.TEXTAFTER(INDEX($F$78:$F$129,MATCH($AI172,$G$78:$G$129,0))," "),_xlfn.TEXTBEFORE($AI$174:$AI$175," - ")),0),0)</f>
        <v>92503.140684153317</v>
      </c>
      <c r="BA172" s="6" cm="1">
        <f t="array" ref="BA172">IFERROR(INDEX(BA$174:BA$175,MATCH(_xlfn.TEXTAFTER(INDEX($F$78:$F$129,MATCH($AI172,$G$78:$G$129,0))," "),_xlfn.TEXTBEFORE($AI$174:$AI$175," - ")),0),0)</f>
        <v>92503.140684153317</v>
      </c>
      <c r="BB172" s="6" cm="1">
        <f t="array" ref="BB172">IFERROR(INDEX(BB$174:BB$175,MATCH(_xlfn.TEXTAFTER(INDEX($F$78:$F$129,MATCH($AI172,$G$78:$G$129,0))," "),_xlfn.TEXTBEFORE($AI$174:$AI$175," - ")),0),0)</f>
        <v>92503.140684153317</v>
      </c>
      <c r="BC172" s="6" cm="1">
        <f t="array" ref="BC172">IFERROR(INDEX(BC$174:BC$175,MATCH(_xlfn.TEXTAFTER(INDEX($F$78:$F$129,MATCH($AI172,$G$78:$G$129,0))," "),_xlfn.TEXTBEFORE($AI$174:$AI$175," - ")),0),0)</f>
        <v>92503.140684153317</v>
      </c>
      <c r="BD172" s="6" cm="1">
        <f t="array" ref="BD172">IFERROR(INDEX(BD$174:BD$175,MATCH(_xlfn.TEXTAFTER(INDEX($F$78:$F$129,MATCH($AI172,$G$78:$G$129,0))," "),_xlfn.TEXTBEFORE($AI$174:$AI$175," - ")),0),0)</f>
        <v>92503.140684153317</v>
      </c>
      <c r="BE172" s="6" cm="1">
        <f t="array" ref="BE172">IFERROR(INDEX(BE$174:BE$175,MATCH(_xlfn.TEXTAFTER(INDEX($F$78:$F$129,MATCH($AI172,$G$78:$G$129,0))," "),_xlfn.TEXTBEFORE($AI$174:$AI$175," - ")),0),0)</f>
        <v>92503.140684153317</v>
      </c>
      <c r="BF172" s="6" cm="1">
        <f t="array" ref="BF172">IFERROR(INDEX(BF$174:BF$175,MATCH(_xlfn.TEXTAFTER(INDEX($F$78:$F$129,MATCH($AI172,$G$78:$G$129,0))," "),_xlfn.TEXTBEFORE($AI$174:$AI$175," - ")),0),0)</f>
        <v>92503.140684153317</v>
      </c>
      <c r="BG172" s="6" cm="1">
        <f t="array" ref="BG172">IFERROR(INDEX(BG$174:BG$175,MATCH(_xlfn.TEXTAFTER(INDEX($F$78:$F$129,MATCH($AI172,$G$78:$G$129,0))," "),_xlfn.TEXTBEFORE($AI$174:$AI$175," - ")),0),0)</f>
        <v>92503.140684153317</v>
      </c>
      <c r="BH172" s="6" cm="1">
        <f t="array" ref="BH172">IFERROR(INDEX(BH$174:BH$175,MATCH(_xlfn.TEXTAFTER(INDEX($F$78:$F$129,MATCH($AI172,$G$78:$G$129,0))," "),_xlfn.TEXTBEFORE($AI$174:$AI$175," - ")),0),0)</f>
        <v>92503.140684153317</v>
      </c>
      <c r="BI172" s="6" cm="1">
        <f t="array" ref="BI172">IFERROR(INDEX(BI$174:BI$175,MATCH(_xlfn.TEXTAFTER(INDEX($F$78:$F$129,MATCH($AI172,$G$78:$G$129,0))," "),_xlfn.TEXTBEFORE($AI$174:$AI$175," - ")),0),0)</f>
        <v>92503.140684153317</v>
      </c>
    </row>
    <row r="173" spans="7:61" ht="16" x14ac:dyDescent="0.2">
      <c r="G173" s="5" t="s">
        <v>77</v>
      </c>
      <c r="H173" s="6">
        <f>IFERROR(ROUND(AVERAGEIFS([1]!Resources[Fixed O&amp;M Cost],[1]!Resources[COD],"&lt;="&amp;H$139,[1]!Resources[Retirement Date],"&gt;="&amp;H$139,[1]!Resources[Unique Key],$G173,[1]!Resources[Summer Rating],"&gt;"&amp;0),2),0)*H111/10^6</f>
        <v>0</v>
      </c>
      <c r="I173" s="6">
        <f>IFERROR(ROUND(AVERAGEIFS([1]!Resources[Fixed O&amp;M Cost],[1]!Resources[COD],"&lt;="&amp;I$139,[1]!Resources[Retirement Date],"&gt;="&amp;I$139,[1]!Resources[Unique Key],$G173,[1]!Resources[Summer Rating],"&gt;"&amp;0),2),0)*I111/10^6</f>
        <v>0</v>
      </c>
      <c r="J173" s="6">
        <f>IFERROR(ROUND(AVERAGEIFS([1]!Resources[Fixed O&amp;M Cost],[1]!Resources[COD],"&lt;="&amp;J$139,[1]!Resources[Retirement Date],"&gt;="&amp;J$139,[1]!Resources[Unique Key],$G173,[1]!Resources[Summer Rating],"&gt;"&amp;0),2),0)*J111/10^6</f>
        <v>0</v>
      </c>
      <c r="K173" s="6">
        <f>IFERROR(ROUND(AVERAGEIFS([1]!Resources[Fixed O&amp;M Cost],[1]!Resources[COD],"&lt;="&amp;K$139,[1]!Resources[Retirement Date],"&gt;="&amp;K$139,[1]!Resources[Unique Key],$G173,[1]!Resources[Summer Rating],"&gt;"&amp;0),2),0)*K111/10^6</f>
        <v>0</v>
      </c>
      <c r="L173" s="6">
        <f>IFERROR(ROUND(AVERAGEIFS([1]!Resources[Fixed O&amp;M Cost],[1]!Resources[COD],"&lt;="&amp;L$139,[1]!Resources[Retirement Date],"&gt;="&amp;L$139,[1]!Resources[Unique Key],$G173,[1]!Resources[Summer Rating],"&gt;"&amp;0),2),0)*L111/10^6</f>
        <v>0</v>
      </c>
      <c r="M173" s="6">
        <f>IFERROR(ROUND(AVERAGEIFS([1]!Resources[Fixed O&amp;M Cost],[1]!Resources[COD],"&lt;="&amp;M$139,[1]!Resources[Retirement Date],"&gt;="&amp;M$139,[1]!Resources[Unique Key],$G173,[1]!Resources[Summer Rating],"&gt;"&amp;0),2),0)*M111/10^6</f>
        <v>0</v>
      </c>
      <c r="N173" s="6">
        <f>IFERROR(ROUND(AVERAGEIFS([1]!Resources[Fixed O&amp;M Cost],[1]!Resources[COD],"&lt;="&amp;N$139,[1]!Resources[Retirement Date],"&gt;="&amp;N$139,[1]!Resources[Unique Key],$G173,[1]!Resources[Summer Rating],"&gt;"&amp;0),2),0)*N111/10^6</f>
        <v>0</v>
      </c>
      <c r="O173" s="6">
        <f>IFERROR(ROUND(AVERAGEIFS([1]!Resources[Fixed O&amp;M Cost],[1]!Resources[COD],"&lt;="&amp;O$139,[1]!Resources[Retirement Date],"&gt;="&amp;O$139,[1]!Resources[Unique Key],$G173,[1]!Resources[Summer Rating],"&gt;"&amp;0),2),0)*O111/10^6</f>
        <v>0</v>
      </c>
      <c r="P173" s="6">
        <f>IFERROR(ROUND(AVERAGEIFS([1]!Resources[Fixed O&amp;M Cost],[1]!Resources[COD],"&lt;="&amp;P$139,[1]!Resources[Retirement Date],"&gt;="&amp;P$139,[1]!Resources[Unique Key],$G173,[1]!Resources[Summer Rating],"&gt;"&amp;0),2),0)*P111/10^6</f>
        <v>0</v>
      </c>
      <c r="Q173" s="6">
        <f>IFERROR(ROUND(AVERAGEIFS([1]!Resources[Fixed O&amp;M Cost],[1]!Resources[COD],"&lt;="&amp;Q$139,[1]!Resources[Retirement Date],"&gt;="&amp;Q$139,[1]!Resources[Unique Key],$G173,[1]!Resources[Summer Rating],"&gt;"&amp;0),2),0)*Q111/10^6</f>
        <v>0</v>
      </c>
      <c r="R173" s="6">
        <f>IFERROR(ROUND(AVERAGEIFS([1]!Resources[Fixed O&amp;M Cost],[1]!Resources[COD],"&lt;="&amp;R$139,[1]!Resources[Retirement Date],"&gt;="&amp;R$139,[1]!Resources[Unique Key],$G173,[1]!Resources[Summer Rating],"&gt;"&amp;0),2),0)*R111/10^6</f>
        <v>0</v>
      </c>
      <c r="S173" s="6">
        <f>IFERROR(ROUND(AVERAGEIFS([1]!Resources[Fixed O&amp;M Cost],[1]!Resources[COD],"&lt;="&amp;S$139,[1]!Resources[Retirement Date],"&gt;="&amp;S$139,[1]!Resources[Unique Key],$G173,[1]!Resources[Summer Rating],"&gt;"&amp;0),2),0)*S111/10^6</f>
        <v>0</v>
      </c>
      <c r="T173" s="6">
        <f>IFERROR(ROUND(AVERAGEIFS([1]!Resources[Fixed O&amp;M Cost],[1]!Resources[COD],"&lt;="&amp;T$139,[1]!Resources[Retirement Date],"&gt;="&amp;T$139,[1]!Resources[Unique Key],$G173,[1]!Resources[Summer Rating],"&gt;"&amp;0),2),0)*T111/10^6</f>
        <v>0</v>
      </c>
      <c r="U173" s="6">
        <f>IFERROR(ROUND(AVERAGEIFS([1]!Resources[Fixed O&amp;M Cost],[1]!Resources[COD],"&lt;="&amp;U$139,[1]!Resources[Retirement Date],"&gt;="&amp;U$139,[1]!Resources[Unique Key],$G173,[1]!Resources[Summer Rating],"&gt;"&amp;0),2),0)*U111/10^6</f>
        <v>0</v>
      </c>
      <c r="V173" s="6">
        <f>IFERROR(ROUND(AVERAGEIFS([1]!Resources[Fixed O&amp;M Cost],[1]!Resources[COD],"&lt;="&amp;V$139,[1]!Resources[Retirement Date],"&gt;="&amp;V$139,[1]!Resources[Unique Key],$G173,[1]!Resources[Summer Rating],"&gt;"&amp;0),2),0)*V111/10^6</f>
        <v>0</v>
      </c>
      <c r="W173" s="6">
        <f>IFERROR(ROUND(AVERAGEIFS([1]!Resources[Fixed O&amp;M Cost],[1]!Resources[COD],"&lt;="&amp;W$139,[1]!Resources[Retirement Date],"&gt;="&amp;W$139,[1]!Resources[Unique Key],$G173,[1]!Resources[Summer Rating],"&gt;"&amp;0),2),0)*W111/10^6</f>
        <v>0</v>
      </c>
      <c r="X173" s="6">
        <f>IFERROR(ROUND(AVERAGEIFS([1]!Resources[Fixed O&amp;M Cost],[1]!Resources[COD],"&lt;="&amp;X$139,[1]!Resources[Retirement Date],"&gt;="&amp;X$139,[1]!Resources[Unique Key],$G173,[1]!Resources[Summer Rating],"&gt;"&amp;0),2),0)*X111/10^6</f>
        <v>0</v>
      </c>
      <c r="Y173" s="6">
        <f>IFERROR(ROUND(AVERAGEIFS([1]!Resources[Fixed O&amp;M Cost],[1]!Resources[COD],"&lt;="&amp;Y$139,[1]!Resources[Retirement Date],"&gt;="&amp;Y$139,[1]!Resources[Unique Key],$G173,[1]!Resources[Summer Rating],"&gt;"&amp;0),2),0)*Y111/10^6</f>
        <v>0</v>
      </c>
      <c r="Z173" s="6">
        <f>IFERROR(ROUND(AVERAGEIFS([1]!Resources[Fixed O&amp;M Cost],[1]!Resources[COD],"&lt;="&amp;Z$139,[1]!Resources[Retirement Date],"&gt;="&amp;Z$139,[1]!Resources[Unique Key],$G173,[1]!Resources[Summer Rating],"&gt;"&amp;0),2),0)*Z111/10^6</f>
        <v>0</v>
      </c>
      <c r="AA173" s="6">
        <f>IFERROR(ROUND(AVERAGEIFS([1]!Resources[Fixed O&amp;M Cost],[1]!Resources[COD],"&lt;="&amp;AA$139,[1]!Resources[Retirement Date],"&gt;="&amp;AA$139,[1]!Resources[Unique Key],$G173,[1]!Resources[Summer Rating],"&gt;"&amp;0),2),0)*AA111/10^6</f>
        <v>0</v>
      </c>
      <c r="AB173" s="6">
        <f>IFERROR(ROUND(AVERAGEIFS([1]!Resources[Fixed O&amp;M Cost],[1]!Resources[COD],"&lt;="&amp;AB$139,[1]!Resources[Retirement Date],"&gt;="&amp;AB$139,[1]!Resources[Unique Key],$G173,[1]!Resources[Summer Rating],"&gt;"&amp;0),2),0)*AB111/10^6</f>
        <v>0</v>
      </c>
      <c r="AC173" s="6">
        <f>IFERROR(ROUND(AVERAGEIFS([1]!Resources[Fixed O&amp;M Cost],[1]!Resources[COD],"&lt;="&amp;AC$139,[1]!Resources[Retirement Date],"&gt;="&amp;AC$139,[1]!Resources[Unique Key],$G173,[1]!Resources[Summer Rating],"&gt;"&amp;0),2),0)*AC111/10^6</f>
        <v>0</v>
      </c>
      <c r="AD173" s="6">
        <f>IFERROR(ROUND(AVERAGEIFS([1]!Resources[Fixed O&amp;M Cost],[1]!Resources[COD],"&lt;="&amp;AD$139,[1]!Resources[Retirement Date],"&gt;="&amp;AD$139,[1]!Resources[Unique Key],$G173,[1]!Resources[Summer Rating],"&gt;"&amp;0),2),0)*AD111/10^6</f>
        <v>0</v>
      </c>
      <c r="AE173" s="6">
        <f>IFERROR(ROUND(AVERAGEIFS([1]!Resources[Fixed O&amp;M Cost],[1]!Resources[COD],"&lt;="&amp;AE$139,[1]!Resources[Retirement Date],"&gt;="&amp;AE$139,[1]!Resources[Unique Key],$G173,[1]!Resources[Summer Rating],"&gt;"&amp;0),2),0)*AE111/10^6</f>
        <v>0</v>
      </c>
      <c r="AF173" s="6">
        <f>IFERROR(ROUND(AVERAGEIFS([1]!Resources[Fixed O&amp;M Cost],[1]!Resources[COD],"&lt;="&amp;AF$139,[1]!Resources[Retirement Date],"&gt;="&amp;AF$139,[1]!Resources[Unique Key],$G173,[1]!Resources[Summer Rating],"&gt;"&amp;0),2),0)*AF111/10^6</f>
        <v>0</v>
      </c>
      <c r="AG173" s="6">
        <f>IFERROR(ROUND(AVERAGEIFS([1]!Resources[Fixed O&amp;M Cost],[1]!Resources[COD],"&lt;="&amp;AG$139,[1]!Resources[Retirement Date],"&gt;="&amp;AG$139,[1]!Resources[Unique Key],$G173,[1]!Resources[Summer Rating],"&gt;"&amp;0),2),0)*AG111/10^6</f>
        <v>0</v>
      </c>
      <c r="AI173" s="5" t="s">
        <v>77</v>
      </c>
      <c r="AJ173" s="6">
        <f>IFERROR(INDEX('[1]Technology Defaults'!$B$18:$AA$31,MATCH($AI173,'[1]Technology Defaults'!$A$18:$A$31,0),MATCH(AJ$139,'[1]Technology Defaults'!$B$17:$AA$17,0)),0)</f>
        <v>999000</v>
      </c>
      <c r="AK173" s="6">
        <f>IFERROR(INDEX('[1]Technology Defaults'!$B$18:$AA$31,MATCH($AI173,'[1]Technology Defaults'!$A$18:$A$31,0),MATCH(AK$139,'[1]Technology Defaults'!$B$17:$AA$17,0)),0)</f>
        <v>999000</v>
      </c>
      <c r="AL173" s="6">
        <f>IFERROR(INDEX('[1]Technology Defaults'!$B$18:$AA$31,MATCH($AI173,'[1]Technology Defaults'!$A$18:$A$31,0),MATCH(AL$139,'[1]Technology Defaults'!$B$17:$AA$17,0)),0)</f>
        <v>999000</v>
      </c>
      <c r="AM173" s="6">
        <f>IFERROR(INDEX('[1]Technology Defaults'!$B$18:$AA$31,MATCH($AI173,'[1]Technology Defaults'!$A$18:$A$31,0),MATCH(AM$139,'[1]Technology Defaults'!$B$17:$AA$17,0)),0)</f>
        <v>999000</v>
      </c>
      <c r="AN173" s="6">
        <f>IFERROR(INDEX('[1]Technology Defaults'!$B$18:$AA$31,MATCH($AI173,'[1]Technology Defaults'!$A$18:$A$31,0),MATCH(AN$139,'[1]Technology Defaults'!$B$17:$AA$17,0)),0)</f>
        <v>999000</v>
      </c>
      <c r="AO173" s="6">
        <f>IFERROR(INDEX('[1]Technology Defaults'!$B$18:$AA$31,MATCH($AI173,'[1]Technology Defaults'!$A$18:$A$31,0),MATCH(AO$139,'[1]Technology Defaults'!$B$17:$AA$17,0)),0)</f>
        <v>999000</v>
      </c>
      <c r="AP173" s="6">
        <f>IFERROR(INDEX('[1]Technology Defaults'!$B$18:$AA$31,MATCH($AI173,'[1]Technology Defaults'!$A$18:$A$31,0),MATCH(AP$139,'[1]Technology Defaults'!$B$17:$AA$17,0)),0)</f>
        <v>999000</v>
      </c>
      <c r="AQ173" s="6">
        <f>IFERROR(INDEX('[1]Technology Defaults'!$B$18:$AA$31,MATCH($AI173,'[1]Technology Defaults'!$A$18:$A$31,0),MATCH(AQ$139,'[1]Technology Defaults'!$B$17:$AA$17,0)),0)</f>
        <v>999000</v>
      </c>
      <c r="AR173" s="6">
        <f>IFERROR(INDEX('[1]Technology Defaults'!$B$18:$AA$31,MATCH($AI173,'[1]Technology Defaults'!$A$18:$A$31,0),MATCH(AR$139,'[1]Technology Defaults'!$B$17:$AA$17,0)),0)</f>
        <v>999000</v>
      </c>
      <c r="AS173" s="6">
        <f>IFERROR(INDEX('[1]Technology Defaults'!$B$18:$AA$31,MATCH($AI173,'[1]Technology Defaults'!$A$18:$A$31,0),MATCH(AS$139,'[1]Technology Defaults'!$B$17:$AA$17,0)),0)</f>
        <v>999000</v>
      </c>
      <c r="AT173" s="6">
        <f>IFERROR(INDEX('[1]Technology Defaults'!$B$18:$AA$31,MATCH($AI173,'[1]Technology Defaults'!$A$18:$A$31,0),MATCH(AT$139,'[1]Technology Defaults'!$B$17:$AA$17,0)),0)</f>
        <v>273761.21188365849</v>
      </c>
      <c r="AU173" s="6">
        <f>IFERROR(INDEX('[1]Technology Defaults'!$B$18:$AA$31,MATCH($AI173,'[1]Technology Defaults'!$A$18:$A$31,0),MATCH(AU$139,'[1]Technology Defaults'!$B$17:$AA$17,0)),0)</f>
        <v>269848.32903271867</v>
      </c>
      <c r="AV173" s="6">
        <f>IFERROR(INDEX('[1]Technology Defaults'!$B$18:$AA$31,MATCH($AI173,'[1]Technology Defaults'!$A$18:$A$31,0),MATCH(AV$139,'[1]Technology Defaults'!$B$17:$AA$17,0)),0)</f>
        <v>265968.74731242529</v>
      </c>
      <c r="AW173" s="6">
        <f>IFERROR(INDEX('[1]Technology Defaults'!$B$18:$AA$31,MATCH($AI173,'[1]Technology Defaults'!$A$18:$A$31,0),MATCH(AW$139,'[1]Technology Defaults'!$B$17:$AA$17,0)),0)</f>
        <v>262420.3268357811</v>
      </c>
      <c r="AX173" s="6">
        <f>IFERROR(INDEX('[1]Technology Defaults'!$B$18:$AA$31,MATCH($AI173,'[1]Technology Defaults'!$A$18:$A$31,0),MATCH(AX$139,'[1]Technology Defaults'!$B$17:$AA$17,0)),0)</f>
        <v>258265.70244385357</v>
      </c>
      <c r="AY173" s="6">
        <f>IFERROR(INDEX('[1]Technology Defaults'!$B$18:$AA$31,MATCH($AI173,'[1]Technology Defaults'!$A$18:$A$31,0),MATCH(AY$139,'[1]Technology Defaults'!$B$17:$AA$17,0)),0)</f>
        <v>254663.01345800809</v>
      </c>
      <c r="AZ173" s="6">
        <f>IFERROR(INDEX('[1]Technology Defaults'!$B$18:$AA$31,MATCH($AI173,'[1]Technology Defaults'!$A$18:$A$31,0),MATCH(AZ$139,'[1]Technology Defaults'!$B$17:$AA$17,0)),0)</f>
        <v>251440.20403657225</v>
      </c>
      <c r="BA173" s="6">
        <f>IFERROR(INDEX('[1]Technology Defaults'!$B$18:$AA$31,MATCH($AI173,'[1]Technology Defaults'!$A$18:$A$31,0),MATCH(BA$139,'[1]Technology Defaults'!$B$17:$AA$17,0)),0)</f>
        <v>247628.45795278065</v>
      </c>
      <c r="BB173" s="6">
        <f>IFERROR(INDEX('[1]Technology Defaults'!$B$18:$AA$31,MATCH($AI173,'[1]Technology Defaults'!$A$18:$A$31,0),MATCH(BB$139,'[1]Technology Defaults'!$B$17:$AA$17,0)),0)</f>
        <v>244263.81038229557</v>
      </c>
      <c r="BC173" s="6">
        <f>IFERROR(INDEX('[1]Technology Defaults'!$B$18:$AA$31,MATCH($AI173,'[1]Technology Defaults'!$A$18:$A$31,0),MATCH(BC$139,'[1]Technology Defaults'!$B$17:$AA$17,0)),0)</f>
        <v>240621.6533897582</v>
      </c>
      <c r="BD173" s="6">
        <f>IFERROR(INDEX('[1]Technology Defaults'!$B$18:$AA$31,MATCH($AI173,'[1]Technology Defaults'!$A$18:$A$31,0),MATCH(BD$139,'[1]Technology Defaults'!$B$17:$AA$17,0)),0)</f>
        <v>236740.83829425569</v>
      </c>
      <c r="BE173" s="6">
        <f>IFERROR(INDEX('[1]Technology Defaults'!$B$18:$AA$31,MATCH($AI173,'[1]Technology Defaults'!$A$18:$A$31,0),MATCH(BE$139,'[1]Technology Defaults'!$B$17:$AA$17,0)),0)</f>
        <v>232940.19258734607</v>
      </c>
      <c r="BF173" s="6">
        <f>IFERROR(INDEX('[1]Technology Defaults'!$B$18:$AA$31,MATCH($AI173,'[1]Technology Defaults'!$A$18:$A$31,0),MATCH(BF$139,'[1]Technology Defaults'!$B$17:$AA$17,0)),0)</f>
        <v>229338.73697670974</v>
      </c>
      <c r="BG173" s="6">
        <f>IFERROR(INDEX('[1]Technology Defaults'!$B$18:$AA$31,MATCH($AI173,'[1]Technology Defaults'!$A$18:$A$31,0),MATCH(BG$139,'[1]Technology Defaults'!$B$17:$AA$17,0)),0)</f>
        <v>225642.31147497101</v>
      </c>
      <c r="BH173" s="6">
        <f>IFERROR(INDEX('[1]Technology Defaults'!$B$18:$AA$31,MATCH($AI173,'[1]Technology Defaults'!$A$18:$A$31,0),MATCH(BH$139,'[1]Technology Defaults'!$B$17:$AA$17,0)),0)</f>
        <v>221593.75735102789</v>
      </c>
      <c r="BI173" s="6">
        <f>IFERROR(INDEX('[1]Technology Defaults'!$B$18:$AA$31,MATCH($AI173,'[1]Technology Defaults'!$A$18:$A$31,0),MATCH(BI$139,'[1]Technology Defaults'!$B$17:$AA$17,0)),0)</f>
        <v>215495.33362952393</v>
      </c>
    </row>
    <row r="174" spans="7:61" ht="16" x14ac:dyDescent="0.2">
      <c r="G174" s="5" t="s">
        <v>78</v>
      </c>
      <c r="H174" s="6">
        <f>IFERROR(ROUND(AVERAGEIFS([1]!Resources[Fixed O&amp;M Cost],[1]!Resources[COD],"&lt;="&amp;H$139,[1]!Resources[Retirement Date],"&gt;="&amp;H$139,[1]!Resources[Unique Key],$G174,[1]!Resources[Summer Rating],"&gt;"&amp;0),2),0)*H112/10^6</f>
        <v>0</v>
      </c>
      <c r="I174" s="6">
        <f>IFERROR(ROUND(AVERAGEIFS([1]!Resources[Fixed O&amp;M Cost],[1]!Resources[COD],"&lt;="&amp;I$139,[1]!Resources[Retirement Date],"&gt;="&amp;I$139,[1]!Resources[Unique Key],$G174,[1]!Resources[Summer Rating],"&gt;"&amp;0),2),0)*I112/10^6</f>
        <v>0</v>
      </c>
      <c r="J174" s="6">
        <f>IFERROR(ROUND(AVERAGEIFS([1]!Resources[Fixed O&amp;M Cost],[1]!Resources[COD],"&lt;="&amp;J$139,[1]!Resources[Retirement Date],"&gt;="&amp;J$139,[1]!Resources[Unique Key],$G174,[1]!Resources[Summer Rating],"&gt;"&amp;0),2),0)*J112/10^6</f>
        <v>0</v>
      </c>
      <c r="K174" s="6">
        <f>IFERROR(ROUND(AVERAGEIFS([1]!Resources[Fixed O&amp;M Cost],[1]!Resources[COD],"&lt;="&amp;K$139,[1]!Resources[Retirement Date],"&gt;="&amp;K$139,[1]!Resources[Unique Key],$G174,[1]!Resources[Summer Rating],"&gt;"&amp;0),2),0)*K112/10^6</f>
        <v>0</v>
      </c>
      <c r="L174" s="6">
        <f>IFERROR(ROUND(AVERAGEIFS([1]!Resources[Fixed O&amp;M Cost],[1]!Resources[COD],"&lt;="&amp;L$139,[1]!Resources[Retirement Date],"&gt;="&amp;L$139,[1]!Resources[Unique Key],$G174,[1]!Resources[Summer Rating],"&gt;"&amp;0),2),0)*L112/10^6</f>
        <v>0</v>
      </c>
      <c r="M174" s="6">
        <f>IFERROR(ROUND(AVERAGEIFS([1]!Resources[Fixed O&amp;M Cost],[1]!Resources[COD],"&lt;="&amp;M$139,[1]!Resources[Retirement Date],"&gt;="&amp;M$139,[1]!Resources[Unique Key],$G174,[1]!Resources[Summer Rating],"&gt;"&amp;0),2),0)*M112/10^6</f>
        <v>0</v>
      </c>
      <c r="N174" s="6">
        <f>IFERROR(ROUND(AVERAGEIFS([1]!Resources[Fixed O&amp;M Cost],[1]!Resources[COD],"&lt;="&amp;N$139,[1]!Resources[Retirement Date],"&gt;="&amp;N$139,[1]!Resources[Unique Key],$G174,[1]!Resources[Summer Rating],"&gt;"&amp;0),2),0)*N112/10^6</f>
        <v>0</v>
      </c>
      <c r="O174" s="6">
        <f>IFERROR(ROUND(AVERAGEIFS([1]!Resources[Fixed O&amp;M Cost],[1]!Resources[COD],"&lt;="&amp;O$139,[1]!Resources[Retirement Date],"&gt;="&amp;O$139,[1]!Resources[Unique Key],$G174,[1]!Resources[Summer Rating],"&gt;"&amp;0),2),0)*O112/10^6</f>
        <v>0</v>
      </c>
      <c r="P174" s="6">
        <f>IFERROR(ROUND(AVERAGEIFS([1]!Resources[Fixed O&amp;M Cost],[1]!Resources[COD],"&lt;="&amp;P$139,[1]!Resources[Retirement Date],"&gt;="&amp;P$139,[1]!Resources[Unique Key],$G174,[1]!Resources[Summer Rating],"&gt;"&amp;0),2),0)*P112/10^6</f>
        <v>0</v>
      </c>
      <c r="Q174" s="6">
        <f>IFERROR(ROUND(AVERAGEIFS([1]!Resources[Fixed O&amp;M Cost],[1]!Resources[COD],"&lt;="&amp;Q$139,[1]!Resources[Retirement Date],"&gt;="&amp;Q$139,[1]!Resources[Unique Key],$G174,[1]!Resources[Summer Rating],"&gt;"&amp;0),2),0)*Q112/10^6</f>
        <v>0</v>
      </c>
      <c r="R174" s="6">
        <f>IFERROR(ROUND(AVERAGEIFS([1]!Resources[Fixed O&amp;M Cost],[1]!Resources[COD],"&lt;="&amp;R$139,[1]!Resources[Retirement Date],"&gt;="&amp;R$139,[1]!Resources[Unique Key],$G174,[1]!Resources[Summer Rating],"&gt;"&amp;0),2),0)*R112/10^6</f>
        <v>0</v>
      </c>
      <c r="S174" s="6">
        <f>IFERROR(ROUND(AVERAGEIFS([1]!Resources[Fixed O&amp;M Cost],[1]!Resources[COD],"&lt;="&amp;S$139,[1]!Resources[Retirement Date],"&gt;="&amp;S$139,[1]!Resources[Unique Key],$G174,[1]!Resources[Summer Rating],"&gt;"&amp;0),2),0)*S112/10^6</f>
        <v>0</v>
      </c>
      <c r="T174" s="6">
        <f>IFERROR(ROUND(AVERAGEIFS([1]!Resources[Fixed O&amp;M Cost],[1]!Resources[COD],"&lt;="&amp;T$139,[1]!Resources[Retirement Date],"&gt;="&amp;T$139,[1]!Resources[Unique Key],$G174,[1]!Resources[Summer Rating],"&gt;"&amp;0),2),0)*T112/10^6</f>
        <v>0</v>
      </c>
      <c r="U174" s="6">
        <f>IFERROR(ROUND(AVERAGEIFS([1]!Resources[Fixed O&amp;M Cost],[1]!Resources[COD],"&lt;="&amp;U$139,[1]!Resources[Retirement Date],"&gt;="&amp;U$139,[1]!Resources[Unique Key],$G174,[1]!Resources[Summer Rating],"&gt;"&amp;0),2),0)*U112/10^6</f>
        <v>0</v>
      </c>
      <c r="V174" s="6">
        <f>IFERROR(ROUND(AVERAGEIFS([1]!Resources[Fixed O&amp;M Cost],[1]!Resources[COD],"&lt;="&amp;V$139,[1]!Resources[Retirement Date],"&gt;="&amp;V$139,[1]!Resources[Unique Key],$G174,[1]!Resources[Summer Rating],"&gt;"&amp;0),2),0)*V112/10^6</f>
        <v>0</v>
      </c>
      <c r="W174" s="6">
        <f>IFERROR(ROUND(AVERAGEIFS([1]!Resources[Fixed O&amp;M Cost],[1]!Resources[COD],"&lt;="&amp;W$139,[1]!Resources[Retirement Date],"&gt;="&amp;W$139,[1]!Resources[Unique Key],$G174,[1]!Resources[Summer Rating],"&gt;"&amp;0),2),0)*W112/10^6</f>
        <v>0</v>
      </c>
      <c r="X174" s="6">
        <f>IFERROR(ROUND(AVERAGEIFS([1]!Resources[Fixed O&amp;M Cost],[1]!Resources[COD],"&lt;="&amp;X$139,[1]!Resources[Retirement Date],"&gt;="&amp;X$139,[1]!Resources[Unique Key],$G174,[1]!Resources[Summer Rating],"&gt;"&amp;0),2),0)*X112/10^6</f>
        <v>0</v>
      </c>
      <c r="Y174" s="6">
        <f>IFERROR(ROUND(AVERAGEIFS([1]!Resources[Fixed O&amp;M Cost],[1]!Resources[COD],"&lt;="&amp;Y$139,[1]!Resources[Retirement Date],"&gt;="&amp;Y$139,[1]!Resources[Unique Key],$G174,[1]!Resources[Summer Rating],"&gt;"&amp;0),2),0)*Y112/10^6</f>
        <v>0</v>
      </c>
      <c r="Z174" s="6">
        <f>IFERROR(ROUND(AVERAGEIFS([1]!Resources[Fixed O&amp;M Cost],[1]!Resources[COD],"&lt;="&amp;Z$139,[1]!Resources[Retirement Date],"&gt;="&amp;Z$139,[1]!Resources[Unique Key],$G174,[1]!Resources[Summer Rating],"&gt;"&amp;0),2),0)*Z112/10^6</f>
        <v>0</v>
      </c>
      <c r="AA174" s="6">
        <f>IFERROR(ROUND(AVERAGEIFS([1]!Resources[Fixed O&amp;M Cost],[1]!Resources[COD],"&lt;="&amp;AA$139,[1]!Resources[Retirement Date],"&gt;="&amp;AA$139,[1]!Resources[Unique Key],$G174,[1]!Resources[Summer Rating],"&gt;"&amp;0),2),0)*AA112/10^6</f>
        <v>0</v>
      </c>
      <c r="AB174" s="6">
        <f>IFERROR(ROUND(AVERAGEIFS([1]!Resources[Fixed O&amp;M Cost],[1]!Resources[COD],"&lt;="&amp;AB$139,[1]!Resources[Retirement Date],"&gt;="&amp;AB$139,[1]!Resources[Unique Key],$G174,[1]!Resources[Summer Rating],"&gt;"&amp;0),2),0)*AB112/10^6</f>
        <v>0</v>
      </c>
      <c r="AC174" s="6">
        <f>IFERROR(ROUND(AVERAGEIFS([1]!Resources[Fixed O&amp;M Cost],[1]!Resources[COD],"&lt;="&amp;AC$139,[1]!Resources[Retirement Date],"&gt;="&amp;AC$139,[1]!Resources[Unique Key],$G174,[1]!Resources[Summer Rating],"&gt;"&amp;0),2),0)*AC112/10^6</f>
        <v>0</v>
      </c>
      <c r="AD174" s="6">
        <f>IFERROR(ROUND(AVERAGEIFS([1]!Resources[Fixed O&amp;M Cost],[1]!Resources[COD],"&lt;="&amp;AD$139,[1]!Resources[Retirement Date],"&gt;="&amp;AD$139,[1]!Resources[Unique Key],$G174,[1]!Resources[Summer Rating],"&gt;"&amp;0),2),0)*AD112/10^6</f>
        <v>0</v>
      </c>
      <c r="AE174" s="6">
        <f>IFERROR(ROUND(AVERAGEIFS([1]!Resources[Fixed O&amp;M Cost],[1]!Resources[COD],"&lt;="&amp;AE$139,[1]!Resources[Retirement Date],"&gt;="&amp;AE$139,[1]!Resources[Unique Key],$G174,[1]!Resources[Summer Rating],"&gt;"&amp;0),2),0)*AE112/10^6</f>
        <v>0</v>
      </c>
      <c r="AF174" s="6">
        <f>IFERROR(ROUND(AVERAGEIFS([1]!Resources[Fixed O&amp;M Cost],[1]!Resources[COD],"&lt;="&amp;AF$139,[1]!Resources[Retirement Date],"&gt;="&amp;AF$139,[1]!Resources[Unique Key],$G174,[1]!Resources[Summer Rating],"&gt;"&amp;0),2),0)*AF112/10^6</f>
        <v>0</v>
      </c>
      <c r="AG174" s="6">
        <f>IFERROR(ROUND(AVERAGEIFS([1]!Resources[Fixed O&amp;M Cost],[1]!Resources[COD],"&lt;="&amp;AG$139,[1]!Resources[Retirement Date],"&gt;="&amp;AG$139,[1]!Resources[Unique Key],$G174,[1]!Resources[Summer Rating],"&gt;"&amp;0),2),0)*AG112/10^6</f>
        <v>0</v>
      </c>
      <c r="AI174" s="5" t="s">
        <v>78</v>
      </c>
      <c r="AJ174" s="6">
        <f>IFERROR(INDEX('[1]Technology Defaults'!$B$18:$AA$31,MATCH($AI174,'[1]Technology Defaults'!$A$18:$A$31,0),MATCH(AJ$139,'[1]Technology Defaults'!$B$17:$AA$17,0)),0)</f>
        <v>135671.27300342487</v>
      </c>
      <c r="AK174" s="6">
        <f>IFERROR(INDEX('[1]Technology Defaults'!$B$18:$AA$31,MATCH($AI174,'[1]Technology Defaults'!$A$18:$A$31,0),MATCH(AK$139,'[1]Technology Defaults'!$B$17:$AA$17,0)),0)</f>
        <v>135671.27300342487</v>
      </c>
      <c r="AL174" s="6">
        <f>IFERROR(INDEX('[1]Technology Defaults'!$B$18:$AA$31,MATCH($AI174,'[1]Technology Defaults'!$A$18:$A$31,0),MATCH(AL$139,'[1]Technology Defaults'!$B$17:$AA$17,0)),0)</f>
        <v>135671.27300342487</v>
      </c>
      <c r="AM174" s="6">
        <f>IFERROR(INDEX('[1]Technology Defaults'!$B$18:$AA$31,MATCH($AI174,'[1]Technology Defaults'!$A$18:$A$31,0),MATCH(AM$139,'[1]Technology Defaults'!$B$17:$AA$17,0)),0)</f>
        <v>135671.27300342487</v>
      </c>
      <c r="AN174" s="6">
        <f>IFERROR(INDEX('[1]Technology Defaults'!$B$18:$AA$31,MATCH($AI174,'[1]Technology Defaults'!$A$18:$A$31,0),MATCH(AN$139,'[1]Technology Defaults'!$B$17:$AA$17,0)),0)</f>
        <v>135671.27300342487</v>
      </c>
      <c r="AO174" s="6">
        <f>IFERROR(INDEX('[1]Technology Defaults'!$B$18:$AA$31,MATCH($AI174,'[1]Technology Defaults'!$A$18:$A$31,0),MATCH(AO$139,'[1]Technology Defaults'!$B$17:$AA$17,0)),0)</f>
        <v>135671.27300342487</v>
      </c>
      <c r="AP174" s="6">
        <f>IFERROR(INDEX('[1]Technology Defaults'!$B$18:$AA$31,MATCH($AI174,'[1]Technology Defaults'!$A$18:$A$31,0),MATCH(AP$139,'[1]Technology Defaults'!$B$17:$AA$17,0)),0)</f>
        <v>135671.27300342487</v>
      </c>
      <c r="AQ174" s="6">
        <f>IFERROR(INDEX('[1]Technology Defaults'!$B$18:$AA$31,MATCH($AI174,'[1]Technology Defaults'!$A$18:$A$31,0),MATCH(AQ$139,'[1]Technology Defaults'!$B$17:$AA$17,0)),0)</f>
        <v>135671.27300342487</v>
      </c>
      <c r="AR174" s="6">
        <f>IFERROR(INDEX('[1]Technology Defaults'!$B$18:$AA$31,MATCH($AI174,'[1]Technology Defaults'!$A$18:$A$31,0),MATCH(AR$139,'[1]Technology Defaults'!$B$17:$AA$17,0)),0)</f>
        <v>135671.27300342487</v>
      </c>
      <c r="AS174" s="6">
        <f>IFERROR(INDEX('[1]Technology Defaults'!$B$18:$AA$31,MATCH($AI174,'[1]Technology Defaults'!$A$18:$A$31,0),MATCH(AS$139,'[1]Technology Defaults'!$B$17:$AA$17,0)),0)</f>
        <v>135671.27300342487</v>
      </c>
      <c r="AT174" s="6">
        <f>IFERROR(INDEX('[1]Technology Defaults'!$B$18:$AA$31,MATCH($AI174,'[1]Technology Defaults'!$A$18:$A$31,0),MATCH(AT$139,'[1]Technology Defaults'!$B$17:$AA$17,0)),0)</f>
        <v>135671.27300342487</v>
      </c>
      <c r="AU174" s="6">
        <f>IFERROR(INDEX('[1]Technology Defaults'!$B$18:$AA$31,MATCH($AI174,'[1]Technology Defaults'!$A$18:$A$31,0),MATCH(AU$139,'[1]Technology Defaults'!$B$17:$AA$17,0)),0)</f>
        <v>135671.27300342487</v>
      </c>
      <c r="AV174" s="6">
        <f>IFERROR(INDEX('[1]Technology Defaults'!$B$18:$AA$31,MATCH($AI174,'[1]Technology Defaults'!$A$18:$A$31,0),MATCH(AV$139,'[1]Technology Defaults'!$B$17:$AA$17,0)),0)</f>
        <v>135671.27300342487</v>
      </c>
      <c r="AW174" s="6">
        <f>IFERROR(INDEX('[1]Technology Defaults'!$B$18:$AA$31,MATCH($AI174,'[1]Technology Defaults'!$A$18:$A$31,0),MATCH(AW$139,'[1]Technology Defaults'!$B$17:$AA$17,0)),0)</f>
        <v>135671.27300342487</v>
      </c>
      <c r="AX174" s="6">
        <f>IFERROR(INDEX('[1]Technology Defaults'!$B$18:$AA$31,MATCH($AI174,'[1]Technology Defaults'!$A$18:$A$31,0),MATCH(AX$139,'[1]Technology Defaults'!$B$17:$AA$17,0)),0)</f>
        <v>135671.27300342487</v>
      </c>
      <c r="AY174" s="6">
        <f>IFERROR(INDEX('[1]Technology Defaults'!$B$18:$AA$31,MATCH($AI174,'[1]Technology Defaults'!$A$18:$A$31,0),MATCH(AY$139,'[1]Technology Defaults'!$B$17:$AA$17,0)),0)</f>
        <v>135671.27300342487</v>
      </c>
      <c r="AZ174" s="6">
        <f>IFERROR(INDEX('[1]Technology Defaults'!$B$18:$AA$31,MATCH($AI174,'[1]Technology Defaults'!$A$18:$A$31,0),MATCH(AZ$139,'[1]Technology Defaults'!$B$17:$AA$17,0)),0)</f>
        <v>135671.27300342487</v>
      </c>
      <c r="BA174" s="6">
        <f>IFERROR(INDEX('[1]Technology Defaults'!$B$18:$AA$31,MATCH($AI174,'[1]Technology Defaults'!$A$18:$A$31,0),MATCH(BA$139,'[1]Technology Defaults'!$B$17:$AA$17,0)),0)</f>
        <v>135671.27300342487</v>
      </c>
      <c r="BB174" s="6">
        <f>IFERROR(INDEX('[1]Technology Defaults'!$B$18:$AA$31,MATCH($AI174,'[1]Technology Defaults'!$A$18:$A$31,0),MATCH(BB$139,'[1]Technology Defaults'!$B$17:$AA$17,0)),0)</f>
        <v>135671.27300342487</v>
      </c>
      <c r="BC174" s="6">
        <f>IFERROR(INDEX('[1]Technology Defaults'!$B$18:$AA$31,MATCH($AI174,'[1]Technology Defaults'!$A$18:$A$31,0),MATCH(BC$139,'[1]Technology Defaults'!$B$17:$AA$17,0)),0)</f>
        <v>135671.27300342487</v>
      </c>
      <c r="BD174" s="6">
        <f>IFERROR(INDEX('[1]Technology Defaults'!$B$18:$AA$31,MATCH($AI174,'[1]Technology Defaults'!$A$18:$A$31,0),MATCH(BD$139,'[1]Technology Defaults'!$B$17:$AA$17,0)),0)</f>
        <v>135671.27300342487</v>
      </c>
      <c r="BE174" s="6">
        <f>IFERROR(INDEX('[1]Technology Defaults'!$B$18:$AA$31,MATCH($AI174,'[1]Technology Defaults'!$A$18:$A$31,0),MATCH(BE$139,'[1]Technology Defaults'!$B$17:$AA$17,0)),0)</f>
        <v>135671.27300342487</v>
      </c>
      <c r="BF174" s="6">
        <f>IFERROR(INDEX('[1]Technology Defaults'!$B$18:$AA$31,MATCH($AI174,'[1]Technology Defaults'!$A$18:$A$31,0),MATCH(BF$139,'[1]Technology Defaults'!$B$17:$AA$17,0)),0)</f>
        <v>135671.27300342487</v>
      </c>
      <c r="BG174" s="6">
        <f>IFERROR(INDEX('[1]Technology Defaults'!$B$18:$AA$31,MATCH($AI174,'[1]Technology Defaults'!$A$18:$A$31,0),MATCH(BG$139,'[1]Technology Defaults'!$B$17:$AA$17,0)),0)</f>
        <v>135671.27300342487</v>
      </c>
      <c r="BH174" s="6">
        <f>IFERROR(INDEX('[1]Technology Defaults'!$B$18:$AA$31,MATCH($AI174,'[1]Technology Defaults'!$A$18:$A$31,0),MATCH(BH$139,'[1]Technology Defaults'!$B$17:$AA$17,0)),0)</f>
        <v>135671.27300342487</v>
      </c>
      <c r="BI174" s="6">
        <f>IFERROR(INDEX('[1]Technology Defaults'!$B$18:$AA$31,MATCH($AI174,'[1]Technology Defaults'!$A$18:$A$31,0),MATCH(BI$139,'[1]Technology Defaults'!$B$17:$AA$17,0)),0)</f>
        <v>135671.27300342487</v>
      </c>
    </row>
    <row r="175" spans="7:61" ht="16" x14ac:dyDescent="0.2">
      <c r="G175" s="5" t="s">
        <v>79</v>
      </c>
      <c r="H175" s="6">
        <f>IFERROR(ROUND(AVERAGEIFS([1]!Resources[Fixed O&amp;M Cost],[1]!Resources[COD],"&lt;="&amp;H$139,[1]!Resources[Retirement Date],"&gt;="&amp;H$139,[1]!Resources[Unique Key],$G175,[1]!Resources[Summer Rating],"&gt;"&amp;0),2),0)*H113/10^6</f>
        <v>0</v>
      </c>
      <c r="I175" s="6">
        <f>IFERROR(ROUND(AVERAGEIFS([1]!Resources[Fixed O&amp;M Cost],[1]!Resources[COD],"&lt;="&amp;I$139,[1]!Resources[Retirement Date],"&gt;="&amp;I$139,[1]!Resources[Unique Key],$G175,[1]!Resources[Summer Rating],"&gt;"&amp;0),2),0)*I113/10^6</f>
        <v>0</v>
      </c>
      <c r="J175" s="6">
        <f>IFERROR(ROUND(AVERAGEIFS([1]!Resources[Fixed O&amp;M Cost],[1]!Resources[COD],"&lt;="&amp;J$139,[1]!Resources[Retirement Date],"&gt;="&amp;J$139,[1]!Resources[Unique Key],$G175,[1]!Resources[Summer Rating],"&gt;"&amp;0),2),0)*J113/10^6</f>
        <v>0</v>
      </c>
      <c r="K175" s="6">
        <f>IFERROR(ROUND(AVERAGEIFS([1]!Resources[Fixed O&amp;M Cost],[1]!Resources[COD],"&lt;="&amp;K$139,[1]!Resources[Retirement Date],"&gt;="&amp;K$139,[1]!Resources[Unique Key],$G175,[1]!Resources[Summer Rating],"&gt;"&amp;0),2),0)*K113/10^6</f>
        <v>0</v>
      </c>
      <c r="L175" s="6">
        <f>IFERROR(ROUND(AVERAGEIFS([1]!Resources[Fixed O&amp;M Cost],[1]!Resources[COD],"&lt;="&amp;L$139,[1]!Resources[Retirement Date],"&gt;="&amp;L$139,[1]!Resources[Unique Key],$G175,[1]!Resources[Summer Rating],"&gt;"&amp;0),2),0)*L113/10^6</f>
        <v>0</v>
      </c>
      <c r="M175" s="6">
        <f>IFERROR(ROUND(AVERAGEIFS([1]!Resources[Fixed O&amp;M Cost],[1]!Resources[COD],"&lt;="&amp;M$139,[1]!Resources[Retirement Date],"&gt;="&amp;M$139,[1]!Resources[Unique Key],$G175,[1]!Resources[Summer Rating],"&gt;"&amp;0),2),0)*M113/10^6</f>
        <v>0</v>
      </c>
      <c r="N175" s="6">
        <f>IFERROR(ROUND(AVERAGEIFS([1]!Resources[Fixed O&amp;M Cost],[1]!Resources[COD],"&lt;="&amp;N$139,[1]!Resources[Retirement Date],"&gt;="&amp;N$139,[1]!Resources[Unique Key],$G175,[1]!Resources[Summer Rating],"&gt;"&amp;0),2),0)*N113/10^6</f>
        <v>0</v>
      </c>
      <c r="O175" s="6">
        <f>IFERROR(ROUND(AVERAGEIFS([1]!Resources[Fixed O&amp;M Cost],[1]!Resources[COD],"&lt;="&amp;O$139,[1]!Resources[Retirement Date],"&gt;="&amp;O$139,[1]!Resources[Unique Key],$G175,[1]!Resources[Summer Rating],"&gt;"&amp;0),2),0)*O113/10^6</f>
        <v>0</v>
      </c>
      <c r="P175" s="6">
        <f>IFERROR(ROUND(AVERAGEIFS([1]!Resources[Fixed O&amp;M Cost],[1]!Resources[COD],"&lt;="&amp;P$139,[1]!Resources[Retirement Date],"&gt;="&amp;P$139,[1]!Resources[Unique Key],$G175,[1]!Resources[Summer Rating],"&gt;"&amp;0),2),0)*P113/10^6</f>
        <v>0</v>
      </c>
      <c r="Q175" s="6">
        <f>IFERROR(ROUND(AVERAGEIFS([1]!Resources[Fixed O&amp;M Cost],[1]!Resources[COD],"&lt;="&amp;Q$139,[1]!Resources[Retirement Date],"&gt;="&amp;Q$139,[1]!Resources[Unique Key],$G175,[1]!Resources[Summer Rating],"&gt;"&amp;0),2),0)*Q113/10^6</f>
        <v>0</v>
      </c>
      <c r="R175" s="6">
        <f>IFERROR(ROUND(AVERAGEIFS([1]!Resources[Fixed O&amp;M Cost],[1]!Resources[COD],"&lt;="&amp;R$139,[1]!Resources[Retirement Date],"&gt;="&amp;R$139,[1]!Resources[Unique Key],$G175,[1]!Resources[Summer Rating],"&gt;"&amp;0),2),0)*R113/10^6</f>
        <v>0</v>
      </c>
      <c r="S175" s="6">
        <f>IFERROR(ROUND(AVERAGEIFS([1]!Resources[Fixed O&amp;M Cost],[1]!Resources[COD],"&lt;="&amp;S$139,[1]!Resources[Retirement Date],"&gt;="&amp;S$139,[1]!Resources[Unique Key],$G175,[1]!Resources[Summer Rating],"&gt;"&amp;0),2),0)*S113/10^6</f>
        <v>0</v>
      </c>
      <c r="T175" s="6">
        <f>IFERROR(ROUND(AVERAGEIFS([1]!Resources[Fixed O&amp;M Cost],[1]!Resources[COD],"&lt;="&amp;T$139,[1]!Resources[Retirement Date],"&gt;="&amp;T$139,[1]!Resources[Unique Key],$G175,[1]!Resources[Summer Rating],"&gt;"&amp;0),2),0)*T113/10^6</f>
        <v>0</v>
      </c>
      <c r="U175" s="6">
        <f>IFERROR(ROUND(AVERAGEIFS([1]!Resources[Fixed O&amp;M Cost],[1]!Resources[COD],"&lt;="&amp;U$139,[1]!Resources[Retirement Date],"&gt;="&amp;U$139,[1]!Resources[Unique Key],$G175,[1]!Resources[Summer Rating],"&gt;"&amp;0),2),0)*U113/10^6</f>
        <v>0</v>
      </c>
      <c r="V175" s="6">
        <f>IFERROR(ROUND(AVERAGEIFS([1]!Resources[Fixed O&amp;M Cost],[1]!Resources[COD],"&lt;="&amp;V$139,[1]!Resources[Retirement Date],"&gt;="&amp;V$139,[1]!Resources[Unique Key],$G175,[1]!Resources[Summer Rating],"&gt;"&amp;0),2),0)*V113/10^6</f>
        <v>0</v>
      </c>
      <c r="W175" s="6">
        <f>IFERROR(ROUND(AVERAGEIFS([1]!Resources[Fixed O&amp;M Cost],[1]!Resources[COD],"&lt;="&amp;W$139,[1]!Resources[Retirement Date],"&gt;="&amp;W$139,[1]!Resources[Unique Key],$G175,[1]!Resources[Summer Rating],"&gt;"&amp;0),2),0)*W113/10^6</f>
        <v>0</v>
      </c>
      <c r="X175" s="6">
        <f>IFERROR(ROUND(AVERAGEIFS([1]!Resources[Fixed O&amp;M Cost],[1]!Resources[COD],"&lt;="&amp;X$139,[1]!Resources[Retirement Date],"&gt;="&amp;X$139,[1]!Resources[Unique Key],$G175,[1]!Resources[Summer Rating],"&gt;"&amp;0),2),0)*X113/10^6</f>
        <v>0</v>
      </c>
      <c r="Y175" s="6">
        <f>IFERROR(ROUND(AVERAGEIFS([1]!Resources[Fixed O&amp;M Cost],[1]!Resources[COD],"&lt;="&amp;Y$139,[1]!Resources[Retirement Date],"&gt;="&amp;Y$139,[1]!Resources[Unique Key],$G175,[1]!Resources[Summer Rating],"&gt;"&amp;0),2),0)*Y113/10^6</f>
        <v>0</v>
      </c>
      <c r="Z175" s="6">
        <f>IFERROR(ROUND(AVERAGEIFS([1]!Resources[Fixed O&amp;M Cost],[1]!Resources[COD],"&lt;="&amp;Z$139,[1]!Resources[Retirement Date],"&gt;="&amp;Z$139,[1]!Resources[Unique Key],$G175,[1]!Resources[Summer Rating],"&gt;"&amp;0),2),0)*Z113/10^6</f>
        <v>0</v>
      </c>
      <c r="AA175" s="6">
        <f>IFERROR(ROUND(AVERAGEIFS([1]!Resources[Fixed O&amp;M Cost],[1]!Resources[COD],"&lt;="&amp;AA$139,[1]!Resources[Retirement Date],"&gt;="&amp;AA$139,[1]!Resources[Unique Key],$G175,[1]!Resources[Summer Rating],"&gt;"&amp;0),2),0)*AA113/10^6</f>
        <v>0</v>
      </c>
      <c r="AB175" s="6">
        <f>IFERROR(ROUND(AVERAGEIFS([1]!Resources[Fixed O&amp;M Cost],[1]!Resources[COD],"&lt;="&amp;AB$139,[1]!Resources[Retirement Date],"&gt;="&amp;AB$139,[1]!Resources[Unique Key],$G175,[1]!Resources[Summer Rating],"&gt;"&amp;0),2),0)*AB113/10^6</f>
        <v>0</v>
      </c>
      <c r="AC175" s="6">
        <f>IFERROR(ROUND(AVERAGEIFS([1]!Resources[Fixed O&amp;M Cost],[1]!Resources[COD],"&lt;="&amp;AC$139,[1]!Resources[Retirement Date],"&gt;="&amp;AC$139,[1]!Resources[Unique Key],$G175,[1]!Resources[Summer Rating],"&gt;"&amp;0),2),0)*AC113/10^6</f>
        <v>0</v>
      </c>
      <c r="AD175" s="6">
        <f>IFERROR(ROUND(AVERAGEIFS([1]!Resources[Fixed O&amp;M Cost],[1]!Resources[COD],"&lt;="&amp;AD$139,[1]!Resources[Retirement Date],"&gt;="&amp;AD$139,[1]!Resources[Unique Key],$G175,[1]!Resources[Summer Rating],"&gt;"&amp;0),2),0)*AD113/10^6</f>
        <v>0</v>
      </c>
      <c r="AE175" s="6">
        <f>IFERROR(ROUND(AVERAGEIFS([1]!Resources[Fixed O&amp;M Cost],[1]!Resources[COD],"&lt;="&amp;AE$139,[1]!Resources[Retirement Date],"&gt;="&amp;AE$139,[1]!Resources[Unique Key],$G175,[1]!Resources[Summer Rating],"&gt;"&amp;0),2),0)*AE113/10^6</f>
        <v>0</v>
      </c>
      <c r="AF175" s="6">
        <f>IFERROR(ROUND(AVERAGEIFS([1]!Resources[Fixed O&amp;M Cost],[1]!Resources[COD],"&lt;="&amp;AF$139,[1]!Resources[Retirement Date],"&gt;="&amp;AF$139,[1]!Resources[Unique Key],$G175,[1]!Resources[Summer Rating],"&gt;"&amp;0),2),0)*AF113/10^6</f>
        <v>0</v>
      </c>
      <c r="AG175" s="6">
        <f>IFERROR(ROUND(AVERAGEIFS([1]!Resources[Fixed O&amp;M Cost],[1]!Resources[COD],"&lt;="&amp;AG$139,[1]!Resources[Retirement Date],"&gt;="&amp;AG$139,[1]!Resources[Unique Key],$G175,[1]!Resources[Summer Rating],"&gt;"&amp;0),2),0)*AG113/10^6</f>
        <v>0</v>
      </c>
      <c r="AI175" s="5" t="s">
        <v>79</v>
      </c>
      <c r="AJ175" s="6">
        <f>IFERROR(INDEX('[1]Technology Defaults'!$B$18:$AA$31,MATCH($AI175,'[1]Technology Defaults'!$A$18:$A$31,0),MATCH(AJ$139,'[1]Technology Defaults'!$B$17:$AA$17,0)),0)</f>
        <v>92503.140684153317</v>
      </c>
      <c r="AK175" s="6">
        <f>IFERROR(INDEX('[1]Technology Defaults'!$B$18:$AA$31,MATCH($AI175,'[1]Technology Defaults'!$A$18:$A$31,0),MATCH(AK$139,'[1]Technology Defaults'!$B$17:$AA$17,0)),0)</f>
        <v>92503.140684153317</v>
      </c>
      <c r="AL175" s="6">
        <f>IFERROR(INDEX('[1]Technology Defaults'!$B$18:$AA$31,MATCH($AI175,'[1]Technology Defaults'!$A$18:$A$31,0),MATCH(AL$139,'[1]Technology Defaults'!$B$17:$AA$17,0)),0)</f>
        <v>92503.140684153317</v>
      </c>
      <c r="AM175" s="6">
        <f>IFERROR(INDEX('[1]Technology Defaults'!$B$18:$AA$31,MATCH($AI175,'[1]Technology Defaults'!$A$18:$A$31,0),MATCH(AM$139,'[1]Technology Defaults'!$B$17:$AA$17,0)),0)</f>
        <v>92503.140684153317</v>
      </c>
      <c r="AN175" s="6">
        <f>IFERROR(INDEX('[1]Technology Defaults'!$B$18:$AA$31,MATCH($AI175,'[1]Technology Defaults'!$A$18:$A$31,0),MATCH(AN$139,'[1]Technology Defaults'!$B$17:$AA$17,0)),0)</f>
        <v>92503.140684153317</v>
      </c>
      <c r="AO175" s="6">
        <f>IFERROR(INDEX('[1]Technology Defaults'!$B$18:$AA$31,MATCH($AI175,'[1]Technology Defaults'!$A$18:$A$31,0),MATCH(AO$139,'[1]Technology Defaults'!$B$17:$AA$17,0)),0)</f>
        <v>92503.140684153317</v>
      </c>
      <c r="AP175" s="6">
        <f>IFERROR(INDEX('[1]Technology Defaults'!$B$18:$AA$31,MATCH($AI175,'[1]Technology Defaults'!$A$18:$A$31,0),MATCH(AP$139,'[1]Technology Defaults'!$B$17:$AA$17,0)),0)</f>
        <v>92503.140684153317</v>
      </c>
      <c r="AQ175" s="6">
        <f>IFERROR(INDEX('[1]Technology Defaults'!$B$18:$AA$31,MATCH($AI175,'[1]Technology Defaults'!$A$18:$A$31,0),MATCH(AQ$139,'[1]Technology Defaults'!$B$17:$AA$17,0)),0)</f>
        <v>92503.140684153317</v>
      </c>
      <c r="AR175" s="6">
        <f>IFERROR(INDEX('[1]Technology Defaults'!$B$18:$AA$31,MATCH($AI175,'[1]Technology Defaults'!$A$18:$A$31,0),MATCH(AR$139,'[1]Technology Defaults'!$B$17:$AA$17,0)),0)</f>
        <v>92503.140684153317</v>
      </c>
      <c r="AS175" s="6">
        <f>IFERROR(INDEX('[1]Technology Defaults'!$B$18:$AA$31,MATCH($AI175,'[1]Technology Defaults'!$A$18:$A$31,0),MATCH(AS$139,'[1]Technology Defaults'!$B$17:$AA$17,0)),0)</f>
        <v>92503.140684153317</v>
      </c>
      <c r="AT175" s="6">
        <f>IFERROR(INDEX('[1]Technology Defaults'!$B$18:$AA$31,MATCH($AI175,'[1]Technology Defaults'!$A$18:$A$31,0),MATCH(AT$139,'[1]Technology Defaults'!$B$17:$AA$17,0)),0)</f>
        <v>92503.140684153317</v>
      </c>
      <c r="AU175" s="6">
        <f>IFERROR(INDEX('[1]Technology Defaults'!$B$18:$AA$31,MATCH($AI175,'[1]Technology Defaults'!$A$18:$A$31,0),MATCH(AU$139,'[1]Technology Defaults'!$B$17:$AA$17,0)),0)</f>
        <v>92503.140684153317</v>
      </c>
      <c r="AV175" s="6">
        <f>IFERROR(INDEX('[1]Technology Defaults'!$B$18:$AA$31,MATCH($AI175,'[1]Technology Defaults'!$A$18:$A$31,0),MATCH(AV$139,'[1]Technology Defaults'!$B$17:$AA$17,0)),0)</f>
        <v>92503.140684153317</v>
      </c>
      <c r="AW175" s="6">
        <f>IFERROR(INDEX('[1]Technology Defaults'!$B$18:$AA$31,MATCH($AI175,'[1]Technology Defaults'!$A$18:$A$31,0),MATCH(AW$139,'[1]Technology Defaults'!$B$17:$AA$17,0)),0)</f>
        <v>92503.140684153317</v>
      </c>
      <c r="AX175" s="6">
        <f>IFERROR(INDEX('[1]Technology Defaults'!$B$18:$AA$31,MATCH($AI175,'[1]Technology Defaults'!$A$18:$A$31,0),MATCH(AX$139,'[1]Technology Defaults'!$B$17:$AA$17,0)),0)</f>
        <v>92503.140684153317</v>
      </c>
      <c r="AY175" s="6">
        <f>IFERROR(INDEX('[1]Technology Defaults'!$B$18:$AA$31,MATCH($AI175,'[1]Technology Defaults'!$A$18:$A$31,0),MATCH(AY$139,'[1]Technology Defaults'!$B$17:$AA$17,0)),0)</f>
        <v>92503.140684153317</v>
      </c>
      <c r="AZ175" s="6">
        <f>IFERROR(INDEX('[1]Technology Defaults'!$B$18:$AA$31,MATCH($AI175,'[1]Technology Defaults'!$A$18:$A$31,0),MATCH(AZ$139,'[1]Technology Defaults'!$B$17:$AA$17,0)),0)</f>
        <v>92503.140684153317</v>
      </c>
      <c r="BA175" s="6">
        <f>IFERROR(INDEX('[1]Technology Defaults'!$B$18:$AA$31,MATCH($AI175,'[1]Technology Defaults'!$A$18:$A$31,0),MATCH(BA$139,'[1]Technology Defaults'!$B$17:$AA$17,0)),0)</f>
        <v>92503.140684153317</v>
      </c>
      <c r="BB175" s="6">
        <f>IFERROR(INDEX('[1]Technology Defaults'!$B$18:$AA$31,MATCH($AI175,'[1]Technology Defaults'!$A$18:$A$31,0),MATCH(BB$139,'[1]Technology Defaults'!$B$17:$AA$17,0)),0)</f>
        <v>92503.140684153317</v>
      </c>
      <c r="BC175" s="6">
        <f>IFERROR(INDEX('[1]Technology Defaults'!$B$18:$AA$31,MATCH($AI175,'[1]Technology Defaults'!$A$18:$A$31,0),MATCH(BC$139,'[1]Technology Defaults'!$B$17:$AA$17,0)),0)</f>
        <v>92503.140684153317</v>
      </c>
      <c r="BD175" s="6">
        <f>IFERROR(INDEX('[1]Technology Defaults'!$B$18:$AA$31,MATCH($AI175,'[1]Technology Defaults'!$A$18:$A$31,0),MATCH(BD$139,'[1]Technology Defaults'!$B$17:$AA$17,0)),0)</f>
        <v>92503.140684153317</v>
      </c>
      <c r="BE175" s="6">
        <f>IFERROR(INDEX('[1]Technology Defaults'!$B$18:$AA$31,MATCH($AI175,'[1]Technology Defaults'!$A$18:$A$31,0),MATCH(BE$139,'[1]Technology Defaults'!$B$17:$AA$17,0)),0)</f>
        <v>92503.140684153317</v>
      </c>
      <c r="BF175" s="6">
        <f>IFERROR(INDEX('[1]Technology Defaults'!$B$18:$AA$31,MATCH($AI175,'[1]Technology Defaults'!$A$18:$A$31,0),MATCH(BF$139,'[1]Technology Defaults'!$B$17:$AA$17,0)),0)</f>
        <v>92503.140684153317</v>
      </c>
      <c r="BG175" s="6">
        <f>IFERROR(INDEX('[1]Technology Defaults'!$B$18:$AA$31,MATCH($AI175,'[1]Technology Defaults'!$A$18:$A$31,0),MATCH(BG$139,'[1]Technology Defaults'!$B$17:$AA$17,0)),0)</f>
        <v>92503.140684153317</v>
      </c>
      <c r="BH175" s="6">
        <f>IFERROR(INDEX('[1]Technology Defaults'!$B$18:$AA$31,MATCH($AI175,'[1]Technology Defaults'!$A$18:$A$31,0),MATCH(BH$139,'[1]Technology Defaults'!$B$17:$AA$17,0)),0)</f>
        <v>92503.140684153317</v>
      </c>
      <c r="BI175" s="6">
        <f>IFERROR(INDEX('[1]Technology Defaults'!$B$18:$AA$31,MATCH($AI175,'[1]Technology Defaults'!$A$18:$A$31,0),MATCH(BI$139,'[1]Technology Defaults'!$B$17:$AA$17,0)),0)</f>
        <v>92503.140684153317</v>
      </c>
    </row>
    <row r="176" spans="7:61" ht="16" x14ac:dyDescent="0.2">
      <c r="G176" s="5" t="s">
        <v>80</v>
      </c>
      <c r="H176" s="6">
        <f>IFERROR(ROUND(AVERAGEIFS([1]!Resources[Fixed O&amp;M Cost],[1]!Resources[COD],"&lt;="&amp;H$139,[1]!Resources[Retirement Date],"&gt;="&amp;H$139,[1]!Resources[Unique Key],$G176,[1]!Resources[Summer Rating],"&gt;"&amp;0),2),0)*H114/10^6</f>
        <v>0</v>
      </c>
      <c r="I176" s="6">
        <f>IFERROR(ROUND(AVERAGEIFS([1]!Resources[Fixed O&amp;M Cost],[1]!Resources[COD],"&lt;="&amp;I$139,[1]!Resources[Retirement Date],"&gt;="&amp;I$139,[1]!Resources[Unique Key],$G176,[1]!Resources[Summer Rating],"&gt;"&amp;0),2),0)*I114/10^6</f>
        <v>0</v>
      </c>
      <c r="J176" s="6">
        <f>IFERROR(ROUND(AVERAGEIFS([1]!Resources[Fixed O&amp;M Cost],[1]!Resources[COD],"&lt;="&amp;J$139,[1]!Resources[Retirement Date],"&gt;="&amp;J$139,[1]!Resources[Unique Key],$G176,[1]!Resources[Summer Rating],"&gt;"&amp;0),2),0)*J114/10^6</f>
        <v>0</v>
      </c>
      <c r="K176" s="6">
        <f>IFERROR(ROUND(AVERAGEIFS([1]!Resources[Fixed O&amp;M Cost],[1]!Resources[COD],"&lt;="&amp;K$139,[1]!Resources[Retirement Date],"&gt;="&amp;K$139,[1]!Resources[Unique Key],$G176,[1]!Resources[Summer Rating],"&gt;"&amp;0),2),0)*K114/10^6</f>
        <v>0</v>
      </c>
      <c r="L176" s="6">
        <f>IFERROR(ROUND(AVERAGEIFS([1]!Resources[Fixed O&amp;M Cost],[1]!Resources[COD],"&lt;="&amp;L$139,[1]!Resources[Retirement Date],"&gt;="&amp;L$139,[1]!Resources[Unique Key],$G176,[1]!Resources[Summer Rating],"&gt;"&amp;0),2),0)*L114/10^6</f>
        <v>0</v>
      </c>
      <c r="M176" s="6">
        <f>IFERROR(ROUND(AVERAGEIFS([1]!Resources[Fixed O&amp;M Cost],[1]!Resources[COD],"&lt;="&amp;M$139,[1]!Resources[Retirement Date],"&gt;="&amp;M$139,[1]!Resources[Unique Key],$G176,[1]!Resources[Summer Rating],"&gt;"&amp;0),2),0)*M114/10^6</f>
        <v>0</v>
      </c>
      <c r="N176" s="6">
        <f>IFERROR(ROUND(AVERAGEIFS([1]!Resources[Fixed O&amp;M Cost],[1]!Resources[COD],"&lt;="&amp;N$139,[1]!Resources[Retirement Date],"&gt;="&amp;N$139,[1]!Resources[Unique Key],$G176,[1]!Resources[Summer Rating],"&gt;"&amp;0),2),0)*N114/10^6</f>
        <v>0</v>
      </c>
      <c r="O176" s="6">
        <f>IFERROR(ROUND(AVERAGEIFS([1]!Resources[Fixed O&amp;M Cost],[1]!Resources[COD],"&lt;="&amp;O$139,[1]!Resources[Retirement Date],"&gt;="&amp;O$139,[1]!Resources[Unique Key],$G176,[1]!Resources[Summer Rating],"&gt;"&amp;0),2),0)*O114/10^6</f>
        <v>0</v>
      </c>
      <c r="P176" s="6">
        <f>IFERROR(ROUND(AVERAGEIFS([1]!Resources[Fixed O&amp;M Cost],[1]!Resources[COD],"&lt;="&amp;P$139,[1]!Resources[Retirement Date],"&gt;="&amp;P$139,[1]!Resources[Unique Key],$G176,[1]!Resources[Summer Rating],"&gt;"&amp;0),2),0)*P114/10^6</f>
        <v>0</v>
      </c>
      <c r="Q176" s="6">
        <f>IFERROR(ROUND(AVERAGEIFS([1]!Resources[Fixed O&amp;M Cost],[1]!Resources[COD],"&lt;="&amp;Q$139,[1]!Resources[Retirement Date],"&gt;="&amp;Q$139,[1]!Resources[Unique Key],$G176,[1]!Resources[Summer Rating],"&gt;"&amp;0),2),0)*Q114/10^6</f>
        <v>0</v>
      </c>
      <c r="R176" s="6">
        <f>IFERROR(ROUND(AVERAGEIFS([1]!Resources[Fixed O&amp;M Cost],[1]!Resources[COD],"&lt;="&amp;R$139,[1]!Resources[Retirement Date],"&gt;="&amp;R$139,[1]!Resources[Unique Key],$G176,[1]!Resources[Summer Rating],"&gt;"&amp;0),2),0)*R114/10^6</f>
        <v>0</v>
      </c>
      <c r="S176" s="6">
        <f>IFERROR(ROUND(AVERAGEIFS([1]!Resources[Fixed O&amp;M Cost],[1]!Resources[COD],"&lt;="&amp;S$139,[1]!Resources[Retirement Date],"&gt;="&amp;S$139,[1]!Resources[Unique Key],$G176,[1]!Resources[Summer Rating],"&gt;"&amp;0),2),0)*S114/10^6</f>
        <v>0</v>
      </c>
      <c r="T176" s="6">
        <f>IFERROR(ROUND(AVERAGEIFS([1]!Resources[Fixed O&amp;M Cost],[1]!Resources[COD],"&lt;="&amp;T$139,[1]!Resources[Retirement Date],"&gt;="&amp;T$139,[1]!Resources[Unique Key],$G176,[1]!Resources[Summer Rating],"&gt;"&amp;0),2),0)*T114/10^6</f>
        <v>0</v>
      </c>
      <c r="U176" s="6">
        <f>IFERROR(ROUND(AVERAGEIFS([1]!Resources[Fixed O&amp;M Cost],[1]!Resources[COD],"&lt;="&amp;U$139,[1]!Resources[Retirement Date],"&gt;="&amp;U$139,[1]!Resources[Unique Key],$G176,[1]!Resources[Summer Rating],"&gt;"&amp;0),2),0)*U114/10^6</f>
        <v>0</v>
      </c>
      <c r="V176" s="6">
        <f>IFERROR(ROUND(AVERAGEIFS([1]!Resources[Fixed O&amp;M Cost],[1]!Resources[COD],"&lt;="&amp;V$139,[1]!Resources[Retirement Date],"&gt;="&amp;V$139,[1]!Resources[Unique Key],$G176,[1]!Resources[Summer Rating],"&gt;"&amp;0),2),0)*V114/10^6</f>
        <v>0</v>
      </c>
      <c r="W176" s="6">
        <f>IFERROR(ROUND(AVERAGEIFS([1]!Resources[Fixed O&amp;M Cost],[1]!Resources[COD],"&lt;="&amp;W$139,[1]!Resources[Retirement Date],"&gt;="&amp;W$139,[1]!Resources[Unique Key],$G176,[1]!Resources[Summer Rating],"&gt;"&amp;0),2),0)*W114/10^6</f>
        <v>0</v>
      </c>
      <c r="X176" s="6">
        <f>IFERROR(ROUND(AVERAGEIFS([1]!Resources[Fixed O&amp;M Cost],[1]!Resources[COD],"&lt;="&amp;X$139,[1]!Resources[Retirement Date],"&gt;="&amp;X$139,[1]!Resources[Unique Key],$G176,[1]!Resources[Summer Rating],"&gt;"&amp;0),2),0)*X114/10^6</f>
        <v>0</v>
      </c>
      <c r="Y176" s="6">
        <f>IFERROR(ROUND(AVERAGEIFS([1]!Resources[Fixed O&amp;M Cost],[1]!Resources[COD],"&lt;="&amp;Y$139,[1]!Resources[Retirement Date],"&gt;="&amp;Y$139,[1]!Resources[Unique Key],$G176,[1]!Resources[Summer Rating],"&gt;"&amp;0),2),0)*Y114/10^6</f>
        <v>0</v>
      </c>
      <c r="Z176" s="6">
        <f>IFERROR(ROUND(AVERAGEIFS([1]!Resources[Fixed O&amp;M Cost],[1]!Resources[COD],"&lt;="&amp;Z$139,[1]!Resources[Retirement Date],"&gt;="&amp;Z$139,[1]!Resources[Unique Key],$G176,[1]!Resources[Summer Rating],"&gt;"&amp;0),2),0)*Z114/10^6</f>
        <v>0</v>
      </c>
      <c r="AA176" s="6">
        <f>IFERROR(ROUND(AVERAGEIFS([1]!Resources[Fixed O&amp;M Cost],[1]!Resources[COD],"&lt;="&amp;AA$139,[1]!Resources[Retirement Date],"&gt;="&amp;AA$139,[1]!Resources[Unique Key],$G176,[1]!Resources[Summer Rating],"&gt;"&amp;0),2),0)*AA114/10^6</f>
        <v>0</v>
      </c>
      <c r="AB176" s="6">
        <f>IFERROR(ROUND(AVERAGEIFS([1]!Resources[Fixed O&amp;M Cost],[1]!Resources[COD],"&lt;="&amp;AB$139,[1]!Resources[Retirement Date],"&gt;="&amp;AB$139,[1]!Resources[Unique Key],$G176,[1]!Resources[Summer Rating],"&gt;"&amp;0),2),0)*AB114/10^6</f>
        <v>0</v>
      </c>
      <c r="AC176" s="6">
        <f>IFERROR(ROUND(AVERAGEIFS([1]!Resources[Fixed O&amp;M Cost],[1]!Resources[COD],"&lt;="&amp;AC$139,[1]!Resources[Retirement Date],"&gt;="&amp;AC$139,[1]!Resources[Unique Key],$G176,[1]!Resources[Summer Rating],"&gt;"&amp;0),2),0)*AC114/10^6</f>
        <v>0</v>
      </c>
      <c r="AD176" s="6">
        <f>IFERROR(ROUND(AVERAGEIFS([1]!Resources[Fixed O&amp;M Cost],[1]!Resources[COD],"&lt;="&amp;AD$139,[1]!Resources[Retirement Date],"&gt;="&amp;AD$139,[1]!Resources[Unique Key],$G176,[1]!Resources[Summer Rating],"&gt;"&amp;0),2),0)*AD114/10^6</f>
        <v>0</v>
      </c>
      <c r="AE176" s="6">
        <f>IFERROR(ROUND(AVERAGEIFS([1]!Resources[Fixed O&amp;M Cost],[1]!Resources[COD],"&lt;="&amp;AE$139,[1]!Resources[Retirement Date],"&gt;="&amp;AE$139,[1]!Resources[Unique Key],$G176,[1]!Resources[Summer Rating],"&gt;"&amp;0),2),0)*AE114/10^6</f>
        <v>0</v>
      </c>
      <c r="AF176" s="6">
        <f>IFERROR(ROUND(AVERAGEIFS([1]!Resources[Fixed O&amp;M Cost],[1]!Resources[COD],"&lt;="&amp;AF$139,[1]!Resources[Retirement Date],"&gt;="&amp;AF$139,[1]!Resources[Unique Key],$G176,[1]!Resources[Summer Rating],"&gt;"&amp;0),2),0)*AF114/10^6</f>
        <v>0</v>
      </c>
      <c r="AG176" s="6">
        <f>IFERROR(ROUND(AVERAGEIFS([1]!Resources[Fixed O&amp;M Cost],[1]!Resources[COD],"&lt;="&amp;AG$139,[1]!Resources[Retirement Date],"&gt;="&amp;AG$139,[1]!Resources[Unique Key],$G176,[1]!Resources[Summer Rating],"&gt;"&amp;0),2),0)*AG114/10^6</f>
        <v>0</v>
      </c>
      <c r="AI176" s="5" t="s">
        <v>80</v>
      </c>
      <c r="AJ176" s="6">
        <f>IFERROR(INDEX('[1]Technology Defaults'!$B$18:$AA$31,MATCH($AI176,'[1]Technology Defaults'!$A$18:$A$31,0),MATCH(AJ$139,'[1]Technology Defaults'!$B$17:$AA$17,0)),0)</f>
        <v>0</v>
      </c>
      <c r="AK176" s="6">
        <f>IFERROR(INDEX('[1]Technology Defaults'!$B$18:$AA$31,MATCH($AI176,'[1]Technology Defaults'!$A$18:$A$31,0),MATCH(AK$139,'[1]Technology Defaults'!$B$17:$AA$17,0)),0)</f>
        <v>0</v>
      </c>
      <c r="AL176" s="6">
        <f>IFERROR(INDEX('[1]Technology Defaults'!$B$18:$AA$31,MATCH($AI176,'[1]Technology Defaults'!$A$18:$A$31,0),MATCH(AL$139,'[1]Technology Defaults'!$B$17:$AA$17,0)),0)</f>
        <v>0</v>
      </c>
      <c r="AM176" s="6">
        <f>IFERROR(INDEX('[1]Technology Defaults'!$B$18:$AA$31,MATCH($AI176,'[1]Technology Defaults'!$A$18:$A$31,0),MATCH(AM$139,'[1]Technology Defaults'!$B$17:$AA$17,0)),0)</f>
        <v>0</v>
      </c>
      <c r="AN176" s="6">
        <f>IFERROR(INDEX('[1]Technology Defaults'!$B$18:$AA$31,MATCH($AI176,'[1]Technology Defaults'!$A$18:$A$31,0),MATCH(AN$139,'[1]Technology Defaults'!$B$17:$AA$17,0)),0)</f>
        <v>0</v>
      </c>
      <c r="AO176" s="6">
        <f>IFERROR(INDEX('[1]Technology Defaults'!$B$18:$AA$31,MATCH($AI176,'[1]Technology Defaults'!$A$18:$A$31,0),MATCH(AO$139,'[1]Technology Defaults'!$B$17:$AA$17,0)),0)</f>
        <v>0</v>
      </c>
      <c r="AP176" s="6">
        <f>IFERROR(INDEX('[1]Technology Defaults'!$B$18:$AA$31,MATCH($AI176,'[1]Technology Defaults'!$A$18:$A$31,0),MATCH(AP$139,'[1]Technology Defaults'!$B$17:$AA$17,0)),0)</f>
        <v>0</v>
      </c>
      <c r="AQ176" s="6">
        <f>IFERROR(INDEX('[1]Technology Defaults'!$B$18:$AA$31,MATCH($AI176,'[1]Technology Defaults'!$A$18:$A$31,0),MATCH(AQ$139,'[1]Technology Defaults'!$B$17:$AA$17,0)),0)</f>
        <v>0</v>
      </c>
      <c r="AR176" s="6">
        <f>IFERROR(INDEX('[1]Technology Defaults'!$B$18:$AA$31,MATCH($AI176,'[1]Technology Defaults'!$A$18:$A$31,0),MATCH(AR$139,'[1]Technology Defaults'!$B$17:$AA$17,0)),0)</f>
        <v>0</v>
      </c>
      <c r="AS176" s="6">
        <f>IFERROR(INDEX('[1]Technology Defaults'!$B$18:$AA$31,MATCH($AI176,'[1]Technology Defaults'!$A$18:$A$31,0),MATCH(AS$139,'[1]Technology Defaults'!$B$17:$AA$17,0)),0)</f>
        <v>0</v>
      </c>
      <c r="AT176" s="6">
        <f>IFERROR(INDEX('[1]Technology Defaults'!$B$18:$AA$31,MATCH($AI176,'[1]Technology Defaults'!$A$18:$A$31,0),MATCH(AT$139,'[1]Technology Defaults'!$B$17:$AA$17,0)),0)</f>
        <v>0</v>
      </c>
      <c r="AU176" s="6">
        <f>IFERROR(INDEX('[1]Technology Defaults'!$B$18:$AA$31,MATCH($AI176,'[1]Technology Defaults'!$A$18:$A$31,0),MATCH(AU$139,'[1]Technology Defaults'!$B$17:$AA$17,0)),0)</f>
        <v>0</v>
      </c>
      <c r="AV176" s="6">
        <f>IFERROR(INDEX('[1]Technology Defaults'!$B$18:$AA$31,MATCH($AI176,'[1]Technology Defaults'!$A$18:$A$31,0),MATCH(AV$139,'[1]Technology Defaults'!$B$17:$AA$17,0)),0)</f>
        <v>0</v>
      </c>
      <c r="AW176" s="6">
        <f>IFERROR(INDEX('[1]Technology Defaults'!$B$18:$AA$31,MATCH($AI176,'[1]Technology Defaults'!$A$18:$A$31,0),MATCH(AW$139,'[1]Technology Defaults'!$B$17:$AA$17,0)),0)</f>
        <v>0</v>
      </c>
      <c r="AX176" s="6">
        <f>IFERROR(INDEX('[1]Technology Defaults'!$B$18:$AA$31,MATCH($AI176,'[1]Technology Defaults'!$A$18:$A$31,0),MATCH(AX$139,'[1]Technology Defaults'!$B$17:$AA$17,0)),0)</f>
        <v>0</v>
      </c>
      <c r="AY176" s="6">
        <f>IFERROR(INDEX('[1]Technology Defaults'!$B$18:$AA$31,MATCH($AI176,'[1]Technology Defaults'!$A$18:$A$31,0),MATCH(AY$139,'[1]Technology Defaults'!$B$17:$AA$17,0)),0)</f>
        <v>0</v>
      </c>
      <c r="AZ176" s="6">
        <f>IFERROR(INDEX('[1]Technology Defaults'!$B$18:$AA$31,MATCH($AI176,'[1]Technology Defaults'!$A$18:$A$31,0),MATCH(AZ$139,'[1]Technology Defaults'!$B$17:$AA$17,0)),0)</f>
        <v>0</v>
      </c>
      <c r="BA176" s="6">
        <f>IFERROR(INDEX('[1]Technology Defaults'!$B$18:$AA$31,MATCH($AI176,'[1]Technology Defaults'!$A$18:$A$31,0),MATCH(BA$139,'[1]Technology Defaults'!$B$17:$AA$17,0)),0)</f>
        <v>0</v>
      </c>
      <c r="BB176" s="6">
        <f>IFERROR(INDEX('[1]Technology Defaults'!$B$18:$AA$31,MATCH($AI176,'[1]Technology Defaults'!$A$18:$A$31,0),MATCH(BB$139,'[1]Technology Defaults'!$B$17:$AA$17,0)),0)</f>
        <v>0</v>
      </c>
      <c r="BC176" s="6">
        <f>IFERROR(INDEX('[1]Technology Defaults'!$B$18:$AA$31,MATCH($AI176,'[1]Technology Defaults'!$A$18:$A$31,0),MATCH(BC$139,'[1]Technology Defaults'!$B$17:$AA$17,0)),0)</f>
        <v>0</v>
      </c>
      <c r="BD176" s="6">
        <f>IFERROR(INDEX('[1]Technology Defaults'!$B$18:$AA$31,MATCH($AI176,'[1]Technology Defaults'!$A$18:$A$31,0),MATCH(BD$139,'[1]Technology Defaults'!$B$17:$AA$17,0)),0)</f>
        <v>0</v>
      </c>
      <c r="BE176" s="6">
        <f>IFERROR(INDEX('[1]Technology Defaults'!$B$18:$AA$31,MATCH($AI176,'[1]Technology Defaults'!$A$18:$A$31,0),MATCH(BE$139,'[1]Technology Defaults'!$B$17:$AA$17,0)),0)</f>
        <v>0</v>
      </c>
      <c r="BF176" s="6">
        <f>IFERROR(INDEX('[1]Technology Defaults'!$B$18:$AA$31,MATCH($AI176,'[1]Technology Defaults'!$A$18:$A$31,0),MATCH(BF$139,'[1]Technology Defaults'!$B$17:$AA$17,0)),0)</f>
        <v>0</v>
      </c>
      <c r="BG176" s="6">
        <f>IFERROR(INDEX('[1]Technology Defaults'!$B$18:$AA$31,MATCH($AI176,'[1]Technology Defaults'!$A$18:$A$31,0),MATCH(BG$139,'[1]Technology Defaults'!$B$17:$AA$17,0)),0)</f>
        <v>0</v>
      </c>
      <c r="BH176" s="6">
        <f>IFERROR(INDEX('[1]Technology Defaults'!$B$18:$AA$31,MATCH($AI176,'[1]Technology Defaults'!$A$18:$A$31,0),MATCH(BH$139,'[1]Technology Defaults'!$B$17:$AA$17,0)),0)</f>
        <v>0</v>
      </c>
      <c r="BI176" s="6">
        <f>IFERROR(INDEX('[1]Technology Defaults'!$B$18:$AA$31,MATCH($AI176,'[1]Technology Defaults'!$A$18:$A$31,0),MATCH(BI$139,'[1]Technology Defaults'!$B$17:$AA$17,0)),0)</f>
        <v>0</v>
      </c>
    </row>
    <row r="177" spans="7:61" ht="16" x14ac:dyDescent="0.2">
      <c r="G177" s="5" t="s">
        <v>81</v>
      </c>
      <c r="H177" s="6">
        <f>IFERROR(ROUND(AVERAGEIFS([1]!Resources[Fixed O&amp;M Cost],[1]!Resources[COD],"&lt;="&amp;H$139,[1]!Resources[Retirement Date],"&gt;="&amp;H$139,[1]!Resources[Unique Key],$G177,[1]!Resources[Summer Rating],"&gt;"&amp;0),2),0)*H115/10^6</f>
        <v>6.8316252999999998</v>
      </c>
      <c r="I177" s="6">
        <f>IFERROR(ROUND(AVERAGEIFS([1]!Resources[Fixed O&amp;M Cost],[1]!Resources[COD],"&lt;="&amp;I$139,[1]!Resources[Retirement Date],"&gt;="&amp;I$139,[1]!Resources[Unique Key],$G177,[1]!Resources[Summer Rating],"&gt;"&amp;0),2),0)*I115/10^6</f>
        <v>9.351745300000001</v>
      </c>
      <c r="J177" s="6">
        <f>IFERROR(ROUND(AVERAGEIFS([1]!Resources[Fixed O&amp;M Cost],[1]!Resources[COD],"&lt;="&amp;J$139,[1]!Resources[Retirement Date],"&gt;="&amp;J$139,[1]!Resources[Unique Key],$G177,[1]!Resources[Summer Rating],"&gt;"&amp;0),2),0)*J115/10^6</f>
        <v>17.122115300000001</v>
      </c>
      <c r="K177" s="6">
        <f>IFERROR(ROUND(AVERAGEIFS([1]!Resources[Fixed O&amp;M Cost],[1]!Resources[COD],"&lt;="&amp;K$139,[1]!Resources[Retirement Date],"&gt;="&amp;K$139,[1]!Resources[Unique Key],$G177,[1]!Resources[Summer Rating],"&gt;"&amp;0),2),0)*K115/10^6</f>
        <v>28.672665300000002</v>
      </c>
      <c r="L177" s="6">
        <f>IFERROR(ROUND(AVERAGEIFS([1]!Resources[Fixed O&amp;M Cost],[1]!Resources[COD],"&lt;="&amp;L$139,[1]!Resources[Retirement Date],"&gt;="&amp;L$139,[1]!Resources[Unique Key],$G177,[1]!Resources[Summer Rating],"&gt;"&amp;0),2),0)*L115/10^6</f>
        <v>31.822815300000002</v>
      </c>
      <c r="M177" s="6">
        <f>IFERROR(ROUND(AVERAGEIFS([1]!Resources[Fixed O&amp;M Cost],[1]!Resources[COD],"&lt;="&amp;M$139,[1]!Resources[Retirement Date],"&gt;="&amp;M$139,[1]!Resources[Unique Key],$G177,[1]!Resources[Summer Rating],"&gt;"&amp;0),2),0)*M115/10^6</f>
        <v>31.822815300000002</v>
      </c>
      <c r="N177" s="6">
        <f>IFERROR(ROUND(AVERAGEIFS([1]!Resources[Fixed O&amp;M Cost],[1]!Resources[COD],"&lt;="&amp;N$139,[1]!Resources[Retirement Date],"&gt;="&amp;N$139,[1]!Resources[Unique Key],$G177,[1]!Resources[Summer Rating],"&gt;"&amp;0),2),0)*N115/10^6</f>
        <v>32.872865300000001</v>
      </c>
      <c r="O177" s="6">
        <f>IFERROR(ROUND(AVERAGEIFS([1]!Resources[Fixed O&amp;M Cost],[1]!Resources[COD],"&lt;="&amp;O$139,[1]!Resources[Retirement Date],"&gt;="&amp;O$139,[1]!Resources[Unique Key],$G177,[1]!Resources[Summer Rating],"&gt;"&amp;0),2),0)*O115/10^6</f>
        <v>32.872865300000001</v>
      </c>
      <c r="P177" s="6">
        <f>IFERROR(ROUND(AVERAGEIFS([1]!Resources[Fixed O&amp;M Cost],[1]!Resources[COD],"&lt;="&amp;P$139,[1]!Resources[Retirement Date],"&gt;="&amp;P$139,[1]!Resources[Unique Key],$G177,[1]!Resources[Summer Rating],"&gt;"&amp;0),2),0)*P115/10^6</f>
        <v>33.9229153</v>
      </c>
      <c r="Q177" s="6">
        <f>IFERROR(ROUND(AVERAGEIFS([1]!Resources[Fixed O&amp;M Cost],[1]!Resources[COD],"&lt;="&amp;Q$139,[1]!Resources[Retirement Date],"&gt;="&amp;Q$139,[1]!Resources[Unique Key],$G177,[1]!Resources[Summer Rating],"&gt;"&amp;0),2),0)*Q115/10^6</f>
        <v>33.9229153</v>
      </c>
      <c r="R177" s="6">
        <f>IFERROR(ROUND(AVERAGEIFS([1]!Resources[Fixed O&amp;M Cost],[1]!Resources[COD],"&lt;="&amp;R$139,[1]!Resources[Retirement Date],"&gt;="&amp;R$139,[1]!Resources[Unique Key],$G177,[1]!Resources[Summer Rating],"&gt;"&amp;0),2),0)*R115/10^6</f>
        <v>44.423415300000002</v>
      </c>
      <c r="S177" s="6">
        <f>IFERROR(ROUND(AVERAGEIFS([1]!Resources[Fixed O&amp;M Cost],[1]!Resources[COD],"&lt;="&amp;S$139,[1]!Resources[Retirement Date],"&gt;="&amp;S$139,[1]!Resources[Unique Key],$G177,[1]!Resources[Summer Rating],"&gt;"&amp;0),2),0)*S115/10^6</f>
        <v>45.473465300000008</v>
      </c>
      <c r="T177" s="6">
        <f>IFERROR(ROUND(AVERAGEIFS([1]!Resources[Fixed O&amp;M Cost],[1]!Resources[COD],"&lt;="&amp;T$139,[1]!Resources[Retirement Date],"&gt;="&amp;T$139,[1]!Resources[Unique Key],$G177,[1]!Resources[Summer Rating],"&gt;"&amp;0),2),0)*T115/10^6</f>
        <v>45.473465300000008</v>
      </c>
      <c r="U177" s="6">
        <f>IFERROR(ROUND(AVERAGEIFS([1]!Resources[Fixed O&amp;M Cost],[1]!Resources[COD],"&lt;="&amp;U$139,[1]!Resources[Retirement Date],"&gt;="&amp;U$139,[1]!Resources[Unique Key],$G177,[1]!Resources[Summer Rating],"&gt;"&amp;0),2),0)*U115/10^6</f>
        <v>45.473465300000008</v>
      </c>
      <c r="V177" s="6">
        <f>IFERROR(ROUND(AVERAGEIFS([1]!Resources[Fixed O&amp;M Cost],[1]!Resources[COD],"&lt;="&amp;V$139,[1]!Resources[Retirement Date],"&gt;="&amp;V$139,[1]!Resources[Unique Key],$G177,[1]!Resources[Summer Rating],"&gt;"&amp;0),2),0)*V115/10^6</f>
        <v>46.523515300000007</v>
      </c>
      <c r="W177" s="6">
        <f>IFERROR(ROUND(AVERAGEIFS([1]!Resources[Fixed O&amp;M Cost],[1]!Resources[COD],"&lt;="&amp;W$139,[1]!Resources[Retirement Date],"&gt;="&amp;W$139,[1]!Resources[Unique Key],$G177,[1]!Resources[Summer Rating],"&gt;"&amp;0),2),0)*W115/10^6</f>
        <v>46.523515300000007</v>
      </c>
      <c r="X177" s="6">
        <f>IFERROR(ROUND(AVERAGEIFS([1]!Resources[Fixed O&amp;M Cost],[1]!Resources[COD],"&lt;="&amp;X$139,[1]!Resources[Retirement Date],"&gt;="&amp;X$139,[1]!Resources[Unique Key],$G177,[1]!Resources[Summer Rating],"&gt;"&amp;0),2),0)*X115/10^6</f>
        <v>46.523515300000007</v>
      </c>
      <c r="Y177" s="6">
        <f>IFERROR(ROUND(AVERAGEIFS([1]!Resources[Fixed O&amp;M Cost],[1]!Resources[COD],"&lt;="&amp;Y$139,[1]!Resources[Retirement Date],"&gt;="&amp;Y$139,[1]!Resources[Unique Key],$G177,[1]!Resources[Summer Rating],"&gt;"&amp;0),2),0)*Y115/10^6</f>
        <v>46.523515300000007</v>
      </c>
      <c r="Z177" s="6">
        <f>IFERROR(ROUND(AVERAGEIFS([1]!Resources[Fixed O&amp;M Cost],[1]!Resources[COD],"&lt;="&amp;Z$139,[1]!Resources[Retirement Date],"&gt;="&amp;Z$139,[1]!Resources[Unique Key],$G177,[1]!Resources[Summer Rating],"&gt;"&amp;0),2),0)*Z115/10^6</f>
        <v>46.523515300000007</v>
      </c>
      <c r="AA177" s="6">
        <f>IFERROR(ROUND(AVERAGEIFS([1]!Resources[Fixed O&amp;M Cost],[1]!Resources[COD],"&lt;="&amp;AA$139,[1]!Resources[Retirement Date],"&gt;="&amp;AA$139,[1]!Resources[Unique Key],$G177,[1]!Resources[Summer Rating],"&gt;"&amp;0),2),0)*AA115/10^6</f>
        <v>46.523515300000007</v>
      </c>
      <c r="AB177" s="6">
        <f>IFERROR(ROUND(AVERAGEIFS([1]!Resources[Fixed O&amp;M Cost],[1]!Resources[COD],"&lt;="&amp;AB$139,[1]!Resources[Retirement Date],"&gt;="&amp;AB$139,[1]!Resources[Unique Key],$G177,[1]!Resources[Summer Rating],"&gt;"&amp;0),2),0)*AB115/10^6</f>
        <v>46.523515300000007</v>
      </c>
      <c r="AC177" s="6">
        <f>IFERROR(ROUND(AVERAGEIFS([1]!Resources[Fixed O&amp;M Cost],[1]!Resources[COD],"&lt;="&amp;AC$139,[1]!Resources[Retirement Date],"&gt;="&amp;AC$139,[1]!Resources[Unique Key],$G177,[1]!Resources[Summer Rating],"&gt;"&amp;0),2),0)*AC115/10^6</f>
        <v>46.523515300000007</v>
      </c>
      <c r="AD177" s="6">
        <f>IFERROR(ROUND(AVERAGEIFS([1]!Resources[Fixed O&amp;M Cost],[1]!Resources[COD],"&lt;="&amp;AD$139,[1]!Resources[Retirement Date],"&gt;="&amp;AD$139,[1]!Resources[Unique Key],$G177,[1]!Resources[Summer Rating],"&gt;"&amp;0),2),0)*AD115/10^6</f>
        <v>46.523515300000007</v>
      </c>
      <c r="AE177" s="6">
        <f>IFERROR(ROUND(AVERAGEIFS([1]!Resources[Fixed O&amp;M Cost],[1]!Resources[COD],"&lt;="&amp;AE$139,[1]!Resources[Retirement Date],"&gt;="&amp;AE$139,[1]!Resources[Unique Key],$G177,[1]!Resources[Summer Rating],"&gt;"&amp;0),2),0)*AE115/10^6</f>
        <v>46.523515300000007</v>
      </c>
      <c r="AF177" s="6">
        <f>IFERROR(ROUND(AVERAGEIFS([1]!Resources[Fixed O&amp;M Cost],[1]!Resources[COD],"&lt;="&amp;AF$139,[1]!Resources[Retirement Date],"&gt;="&amp;AF$139,[1]!Resources[Unique Key],$G177,[1]!Resources[Summer Rating],"&gt;"&amp;0),2),0)*AF115/10^6</f>
        <v>46.523515300000007</v>
      </c>
      <c r="AG177" s="6">
        <f>IFERROR(ROUND(AVERAGEIFS([1]!Resources[Fixed O&amp;M Cost],[1]!Resources[COD],"&lt;="&amp;AG$139,[1]!Resources[Retirement Date],"&gt;="&amp;AG$139,[1]!Resources[Unique Key],$G177,[1]!Resources[Summer Rating],"&gt;"&amp;0),2),0)*AG115/10^6</f>
        <v>46.523515300000007</v>
      </c>
      <c r="AI177" s="5" t="s">
        <v>81</v>
      </c>
      <c r="AJ177" s="13">
        <f>AJ183</f>
        <v>59031.774600479548</v>
      </c>
      <c r="AK177" s="13">
        <f t="shared" ref="AK177:BI177" si="38">AK183</f>
        <v>55406.428663091931</v>
      </c>
      <c r="AL177" s="13">
        <f t="shared" si="38"/>
        <v>51781.082788348838</v>
      </c>
      <c r="AM177" s="13">
        <f t="shared" si="38"/>
        <v>48155.736850961192</v>
      </c>
      <c r="AN177" s="13">
        <f t="shared" si="38"/>
        <v>44530.390913573581</v>
      </c>
      <c r="AO177" s="13">
        <f t="shared" si="38"/>
        <v>40905.044976185949</v>
      </c>
      <c r="AP177" s="13">
        <f t="shared" si="38"/>
        <v>37279.699101442842</v>
      </c>
      <c r="AQ177" s="13">
        <f t="shared" si="38"/>
        <v>33654.353164055225</v>
      </c>
      <c r="AR177" s="13">
        <f t="shared" si="38"/>
        <v>30029.007226667589</v>
      </c>
      <c r="AS177" s="13">
        <f t="shared" si="38"/>
        <v>26403.661351924489</v>
      </c>
      <c r="AT177" s="13">
        <f t="shared" si="38"/>
        <v>22778.31541453685</v>
      </c>
      <c r="AU177" s="13">
        <f t="shared" si="38"/>
        <v>21891.165290256027</v>
      </c>
      <c r="AV177" s="13">
        <f t="shared" si="38"/>
        <v>21004.015228619737</v>
      </c>
      <c r="AW177" s="13">
        <f t="shared" si="38"/>
        <v>20116.8651043389</v>
      </c>
      <c r="AX177" s="13">
        <f t="shared" si="38"/>
        <v>19229.71504270261</v>
      </c>
      <c r="AY177" s="13">
        <f t="shared" si="38"/>
        <v>18342.564918421795</v>
      </c>
      <c r="AZ177" s="13">
        <f t="shared" si="38"/>
        <v>17455.414856785494</v>
      </c>
      <c r="BA177" s="13">
        <f t="shared" si="38"/>
        <v>16568.264732504675</v>
      </c>
      <c r="BB177" s="13">
        <f t="shared" si="38"/>
        <v>15681.114670868383</v>
      </c>
      <c r="BC177" s="13">
        <f t="shared" si="38"/>
        <v>14793.964546587553</v>
      </c>
      <c r="BD177" s="13">
        <f t="shared" si="38"/>
        <v>13906.814484951263</v>
      </c>
      <c r="BE177" s="13">
        <f t="shared" si="38"/>
        <v>13019.66436067044</v>
      </c>
      <c r="BF177" s="13">
        <f t="shared" si="38"/>
        <v>12132.51423638961</v>
      </c>
      <c r="BG177" s="13">
        <f t="shared" si="38"/>
        <v>11245.364174753327</v>
      </c>
      <c r="BH177" s="13">
        <f t="shared" si="38"/>
        <v>10358.214050472498</v>
      </c>
      <c r="BI177" s="13">
        <f t="shared" si="38"/>
        <v>9471.0639888362002</v>
      </c>
    </row>
    <row r="178" spans="7:61" ht="16" x14ac:dyDescent="0.2">
      <c r="G178" s="5" t="s">
        <v>82</v>
      </c>
      <c r="H178" s="6">
        <f>IFERROR(ROUND(AVERAGEIFS([1]!Resources[Fixed O&amp;M Cost],[1]!Resources[COD],"&lt;="&amp;H$139,[1]!Resources[Retirement Date],"&gt;="&amp;H$139,[1]!Resources[Unique Key],$G178,[1]!Resources[Summer Rating],"&gt;"&amp;0),2),0)*H116/10^6</f>
        <v>2.8124999999999999E-3</v>
      </c>
      <c r="I178" s="6">
        <f>IFERROR(ROUND(AVERAGEIFS([1]!Resources[Fixed O&amp;M Cost],[1]!Resources[COD],"&lt;="&amp;I$139,[1]!Resources[Retirement Date],"&gt;="&amp;I$139,[1]!Resources[Unique Key],$G178,[1]!Resources[Summer Rating],"&gt;"&amp;0),2),0)*I116/10^6</f>
        <v>6.2528125000000001</v>
      </c>
      <c r="J178" s="6">
        <f>IFERROR(ROUND(AVERAGEIFS([1]!Resources[Fixed O&amp;M Cost],[1]!Resources[COD],"&lt;="&amp;J$139,[1]!Resources[Retirement Date],"&gt;="&amp;J$139,[1]!Resources[Unique Key],$G178,[1]!Resources[Summer Rating],"&gt;"&amp;0),2),0)*J116/10^6</f>
        <v>12.502812499999999</v>
      </c>
      <c r="K178" s="6">
        <f>IFERROR(ROUND(AVERAGEIFS([1]!Resources[Fixed O&amp;M Cost],[1]!Resources[COD],"&lt;="&amp;K$139,[1]!Resources[Retirement Date],"&gt;="&amp;K$139,[1]!Resources[Unique Key],$G178,[1]!Resources[Summer Rating],"&gt;"&amp;0),2),0)*K116/10^6</f>
        <v>15.627812499999999</v>
      </c>
      <c r="L178" s="6">
        <f>IFERROR(ROUND(AVERAGEIFS([1]!Resources[Fixed O&amp;M Cost],[1]!Resources[COD],"&lt;="&amp;L$139,[1]!Resources[Retirement Date],"&gt;="&amp;L$139,[1]!Resources[Unique Key],$G178,[1]!Resources[Summer Rating],"&gt;"&amp;0),2),0)*L116/10^6</f>
        <v>15.627812499999999</v>
      </c>
      <c r="M178" s="6">
        <f>IFERROR(ROUND(AVERAGEIFS([1]!Resources[Fixed O&amp;M Cost],[1]!Resources[COD],"&lt;="&amp;M$139,[1]!Resources[Retirement Date],"&gt;="&amp;M$139,[1]!Resources[Unique Key],$G178,[1]!Resources[Summer Rating],"&gt;"&amp;0),2),0)*M116/10^6</f>
        <v>18.752812500000001</v>
      </c>
      <c r="N178" s="6">
        <f>IFERROR(ROUND(AVERAGEIFS([1]!Resources[Fixed O&amp;M Cost],[1]!Resources[COD],"&lt;="&amp;N$139,[1]!Resources[Retirement Date],"&gt;="&amp;N$139,[1]!Resources[Unique Key],$G178,[1]!Resources[Summer Rating],"&gt;"&amp;0),2),0)*N116/10^6</f>
        <v>21.877812500000001</v>
      </c>
      <c r="O178" s="6">
        <f>IFERROR(ROUND(AVERAGEIFS([1]!Resources[Fixed O&amp;M Cost],[1]!Resources[COD],"&lt;="&amp;O$139,[1]!Resources[Retirement Date],"&gt;="&amp;O$139,[1]!Resources[Unique Key],$G178,[1]!Resources[Summer Rating],"&gt;"&amp;0),2),0)*O116/10^6</f>
        <v>21.877812500000001</v>
      </c>
      <c r="P178" s="6">
        <f>IFERROR(ROUND(AVERAGEIFS([1]!Resources[Fixed O&amp;M Cost],[1]!Resources[COD],"&lt;="&amp;P$139,[1]!Resources[Retirement Date],"&gt;="&amp;P$139,[1]!Resources[Unique Key],$G178,[1]!Resources[Summer Rating],"&gt;"&amp;0),2),0)*P116/10^6</f>
        <v>21.877812500000001</v>
      </c>
      <c r="Q178" s="6">
        <f>IFERROR(ROUND(AVERAGEIFS([1]!Resources[Fixed O&amp;M Cost],[1]!Resources[COD],"&lt;="&amp;Q$139,[1]!Resources[Retirement Date],"&gt;="&amp;Q$139,[1]!Resources[Unique Key],$G178,[1]!Resources[Summer Rating],"&gt;"&amp;0),2),0)*Q116/10^6</f>
        <v>21.877812500000001</v>
      </c>
      <c r="R178" s="6">
        <f>IFERROR(ROUND(AVERAGEIFS([1]!Resources[Fixed O&amp;M Cost],[1]!Resources[COD],"&lt;="&amp;R$139,[1]!Resources[Retirement Date],"&gt;="&amp;R$139,[1]!Resources[Unique Key],$G178,[1]!Resources[Summer Rating],"&gt;"&amp;0),2),0)*R116/10^6</f>
        <v>21.877812500000001</v>
      </c>
      <c r="S178" s="6">
        <f>IFERROR(ROUND(AVERAGEIFS([1]!Resources[Fixed O&amp;M Cost],[1]!Resources[COD],"&lt;="&amp;S$139,[1]!Resources[Retirement Date],"&gt;="&amp;S$139,[1]!Resources[Unique Key],$G178,[1]!Resources[Summer Rating],"&gt;"&amp;0),2),0)*S116/10^6</f>
        <v>21.877812500000001</v>
      </c>
      <c r="T178" s="6">
        <f>IFERROR(ROUND(AVERAGEIFS([1]!Resources[Fixed O&amp;M Cost],[1]!Resources[COD],"&lt;="&amp;T$139,[1]!Resources[Retirement Date],"&gt;="&amp;T$139,[1]!Resources[Unique Key],$G178,[1]!Resources[Summer Rating],"&gt;"&amp;0),2),0)*T116/10^6</f>
        <v>21.877812500000001</v>
      </c>
      <c r="U178" s="6">
        <f>IFERROR(ROUND(AVERAGEIFS([1]!Resources[Fixed O&amp;M Cost],[1]!Resources[COD],"&lt;="&amp;U$139,[1]!Resources[Retirement Date],"&gt;="&amp;U$139,[1]!Resources[Unique Key],$G178,[1]!Resources[Summer Rating],"&gt;"&amp;0),2),0)*U116/10^6</f>
        <v>21.877812500000001</v>
      </c>
      <c r="V178" s="6">
        <f>IFERROR(ROUND(AVERAGEIFS([1]!Resources[Fixed O&amp;M Cost],[1]!Resources[COD],"&lt;="&amp;V$139,[1]!Resources[Retirement Date],"&gt;="&amp;V$139,[1]!Resources[Unique Key],$G178,[1]!Resources[Summer Rating],"&gt;"&amp;0),2),0)*V116/10^6</f>
        <v>21.877812500000001</v>
      </c>
      <c r="W178" s="6">
        <f>IFERROR(ROUND(AVERAGEIFS([1]!Resources[Fixed O&amp;M Cost],[1]!Resources[COD],"&lt;="&amp;W$139,[1]!Resources[Retirement Date],"&gt;="&amp;W$139,[1]!Resources[Unique Key],$G178,[1]!Resources[Summer Rating],"&gt;"&amp;0),2),0)*W116/10^6</f>
        <v>21.877812500000001</v>
      </c>
      <c r="X178" s="6">
        <f>IFERROR(ROUND(AVERAGEIFS([1]!Resources[Fixed O&amp;M Cost],[1]!Resources[COD],"&lt;="&amp;X$139,[1]!Resources[Retirement Date],"&gt;="&amp;X$139,[1]!Resources[Unique Key],$G178,[1]!Resources[Summer Rating],"&gt;"&amp;0),2),0)*X116/10^6</f>
        <v>21.877812500000001</v>
      </c>
      <c r="Y178" s="6">
        <f>IFERROR(ROUND(AVERAGEIFS([1]!Resources[Fixed O&amp;M Cost],[1]!Resources[COD],"&lt;="&amp;Y$139,[1]!Resources[Retirement Date],"&gt;="&amp;Y$139,[1]!Resources[Unique Key],$G178,[1]!Resources[Summer Rating],"&gt;"&amp;0),2),0)*Y116/10^6</f>
        <v>21.877812500000001</v>
      </c>
      <c r="Z178" s="6">
        <f>IFERROR(ROUND(AVERAGEIFS([1]!Resources[Fixed O&amp;M Cost],[1]!Resources[COD],"&lt;="&amp;Z$139,[1]!Resources[Retirement Date],"&gt;="&amp;Z$139,[1]!Resources[Unique Key],$G178,[1]!Resources[Summer Rating],"&gt;"&amp;0),2),0)*Z116/10^6</f>
        <v>21.877812500000001</v>
      </c>
      <c r="AA178" s="6">
        <f>IFERROR(ROUND(AVERAGEIFS([1]!Resources[Fixed O&amp;M Cost],[1]!Resources[COD],"&lt;="&amp;AA$139,[1]!Resources[Retirement Date],"&gt;="&amp;AA$139,[1]!Resources[Unique Key],$G178,[1]!Resources[Summer Rating],"&gt;"&amp;0),2),0)*AA116/10^6</f>
        <v>21.877812500000001</v>
      </c>
      <c r="AB178" s="6">
        <f>IFERROR(ROUND(AVERAGEIFS([1]!Resources[Fixed O&amp;M Cost],[1]!Resources[COD],"&lt;="&amp;AB$139,[1]!Resources[Retirement Date],"&gt;="&amp;AB$139,[1]!Resources[Unique Key],$G178,[1]!Resources[Summer Rating],"&gt;"&amp;0),2),0)*AB116/10^6</f>
        <v>21.877812500000001</v>
      </c>
      <c r="AC178" s="6">
        <f>IFERROR(ROUND(AVERAGEIFS([1]!Resources[Fixed O&amp;M Cost],[1]!Resources[COD],"&lt;="&amp;AC$139,[1]!Resources[Retirement Date],"&gt;="&amp;AC$139,[1]!Resources[Unique Key],$G178,[1]!Resources[Summer Rating],"&gt;"&amp;0),2),0)*AC116/10^6</f>
        <v>21.877812500000001</v>
      </c>
      <c r="AD178" s="6">
        <f>IFERROR(ROUND(AVERAGEIFS([1]!Resources[Fixed O&amp;M Cost],[1]!Resources[COD],"&lt;="&amp;AD$139,[1]!Resources[Retirement Date],"&gt;="&amp;AD$139,[1]!Resources[Unique Key],$G178,[1]!Resources[Summer Rating],"&gt;"&amp;0),2),0)*AD116/10^6</f>
        <v>21.877812500000001</v>
      </c>
      <c r="AE178" s="6">
        <f>IFERROR(ROUND(AVERAGEIFS([1]!Resources[Fixed O&amp;M Cost],[1]!Resources[COD],"&lt;="&amp;AE$139,[1]!Resources[Retirement Date],"&gt;="&amp;AE$139,[1]!Resources[Unique Key],$G178,[1]!Resources[Summer Rating],"&gt;"&amp;0),2),0)*AE116/10^6</f>
        <v>21.877812500000001</v>
      </c>
      <c r="AF178" s="6">
        <f>IFERROR(ROUND(AVERAGEIFS([1]!Resources[Fixed O&amp;M Cost],[1]!Resources[COD],"&lt;="&amp;AF$139,[1]!Resources[Retirement Date],"&gt;="&amp;AF$139,[1]!Resources[Unique Key],$G178,[1]!Resources[Summer Rating],"&gt;"&amp;0),2),0)*AF116/10^6</f>
        <v>21.877812500000001</v>
      </c>
      <c r="AG178" s="6">
        <f>IFERROR(ROUND(AVERAGEIFS([1]!Resources[Fixed O&amp;M Cost],[1]!Resources[COD],"&lt;="&amp;AG$139,[1]!Resources[Retirement Date],"&gt;="&amp;AG$139,[1]!Resources[Unique Key],$G178,[1]!Resources[Summer Rating],"&gt;"&amp;0),2),0)*AG116/10^6</f>
        <v>21.877812500000001</v>
      </c>
      <c r="AI178" s="5" t="s">
        <v>82</v>
      </c>
      <c r="AJ178" s="13">
        <f t="shared" ref="AJ178:BI178" si="39">AJ179</f>
        <v>58639.633326728173</v>
      </c>
      <c r="AK178" s="13">
        <f t="shared" si="39"/>
        <v>56637.424485979536</v>
      </c>
      <c r="AL178" s="13">
        <f t="shared" si="39"/>
        <v>54635.215645230928</v>
      </c>
      <c r="AM178" s="13">
        <f t="shared" si="39"/>
        <v>52633.00680448232</v>
      </c>
      <c r="AN178" s="13">
        <f t="shared" si="39"/>
        <v>50630.797963733683</v>
      </c>
      <c r="AO178" s="13">
        <f t="shared" si="39"/>
        <v>48628.589122985075</v>
      </c>
      <c r="AP178" s="13">
        <f t="shared" si="39"/>
        <v>47718.330916240448</v>
      </c>
      <c r="AQ178" s="13">
        <f t="shared" si="39"/>
        <v>46808.072647371671</v>
      </c>
      <c r="AR178" s="13">
        <f t="shared" si="39"/>
        <v>45897.814440627073</v>
      </c>
      <c r="AS178" s="13">
        <f t="shared" si="39"/>
        <v>44987.556233882417</v>
      </c>
      <c r="AT178" s="13">
        <f t="shared" si="39"/>
        <v>44077.298027137811</v>
      </c>
      <c r="AU178" s="13">
        <f t="shared" si="39"/>
        <v>43167.039820393184</v>
      </c>
      <c r="AV178" s="13">
        <f t="shared" si="39"/>
        <v>42256.781613648556</v>
      </c>
      <c r="AW178" s="13">
        <f t="shared" si="39"/>
        <v>41346.52334477978</v>
      </c>
      <c r="AX178" s="13">
        <f t="shared" si="39"/>
        <v>40436.265138035182</v>
      </c>
      <c r="AY178" s="13">
        <f t="shared" si="39"/>
        <v>39526.006931290525</v>
      </c>
      <c r="AZ178" s="13">
        <f t="shared" si="39"/>
        <v>38615.748724545898</v>
      </c>
      <c r="BA178" s="13">
        <f t="shared" si="39"/>
        <v>37705.490517801292</v>
      </c>
      <c r="BB178" s="13">
        <f t="shared" si="39"/>
        <v>36795.232311056665</v>
      </c>
      <c r="BC178" s="13">
        <f t="shared" si="39"/>
        <v>35884.974042187889</v>
      </c>
      <c r="BD178" s="13">
        <f t="shared" si="39"/>
        <v>34974.71583544329</v>
      </c>
      <c r="BE178" s="13">
        <f t="shared" si="39"/>
        <v>34064.457628698663</v>
      </c>
      <c r="BF178" s="13">
        <f t="shared" si="39"/>
        <v>33154.199421954007</v>
      </c>
      <c r="BG178" s="13">
        <f t="shared" si="39"/>
        <v>32243.941215209405</v>
      </c>
      <c r="BH178" s="13">
        <f t="shared" si="39"/>
        <v>31333.683008464759</v>
      </c>
      <c r="BI178" s="13">
        <f t="shared" si="39"/>
        <v>30423.424739596001</v>
      </c>
    </row>
    <row r="179" spans="7:61" ht="16" x14ac:dyDescent="0.2">
      <c r="G179" s="5" t="s">
        <v>83</v>
      </c>
      <c r="H179" s="6">
        <f>IFERROR(ROUND(AVERAGEIFS([1]!Resources[Fixed O&amp;M Cost],[1]!Resources[COD],"&lt;="&amp;H$139,[1]!Resources[Retirement Date],"&gt;="&amp;H$139,[1]!Resources[Unique Key],$G179,[1]!Resources[Summer Rating],"&gt;"&amp;0),2),0)*H117/10^6</f>
        <v>0</v>
      </c>
      <c r="I179" s="6">
        <f>IFERROR(ROUND(AVERAGEIFS([1]!Resources[Fixed O&amp;M Cost],[1]!Resources[COD],"&lt;="&amp;I$139,[1]!Resources[Retirement Date],"&gt;="&amp;I$139,[1]!Resources[Unique Key],$G179,[1]!Resources[Summer Rating],"&gt;"&amp;0),2),0)*I117/10^6</f>
        <v>0</v>
      </c>
      <c r="J179" s="6">
        <f>IFERROR(ROUND(AVERAGEIFS([1]!Resources[Fixed O&amp;M Cost],[1]!Resources[COD],"&lt;="&amp;J$139,[1]!Resources[Retirement Date],"&gt;="&amp;J$139,[1]!Resources[Unique Key],$G179,[1]!Resources[Summer Rating],"&gt;"&amp;0),2),0)*J117/10^6</f>
        <v>0</v>
      </c>
      <c r="K179" s="6">
        <f>IFERROR(ROUND(AVERAGEIFS([1]!Resources[Fixed O&amp;M Cost],[1]!Resources[COD],"&lt;="&amp;K$139,[1]!Resources[Retirement Date],"&gt;="&amp;K$139,[1]!Resources[Unique Key],$G179,[1]!Resources[Summer Rating],"&gt;"&amp;0),2),0)*K117/10^6</f>
        <v>0</v>
      </c>
      <c r="L179" s="6">
        <f>IFERROR(ROUND(AVERAGEIFS([1]!Resources[Fixed O&amp;M Cost],[1]!Resources[COD],"&lt;="&amp;L$139,[1]!Resources[Retirement Date],"&gt;="&amp;L$139,[1]!Resources[Unique Key],$G179,[1]!Resources[Summer Rating],"&gt;"&amp;0),2),0)*L117/10^6</f>
        <v>0</v>
      </c>
      <c r="M179" s="6">
        <f>IFERROR(ROUND(AVERAGEIFS([1]!Resources[Fixed O&amp;M Cost],[1]!Resources[COD],"&lt;="&amp;M$139,[1]!Resources[Retirement Date],"&gt;="&amp;M$139,[1]!Resources[Unique Key],$G179,[1]!Resources[Summer Rating],"&gt;"&amp;0),2),0)*M117/10^6</f>
        <v>0</v>
      </c>
      <c r="N179" s="6">
        <f>IFERROR(ROUND(AVERAGEIFS([1]!Resources[Fixed O&amp;M Cost],[1]!Resources[COD],"&lt;="&amp;N$139,[1]!Resources[Retirement Date],"&gt;="&amp;N$139,[1]!Resources[Unique Key],$G179,[1]!Resources[Summer Rating],"&gt;"&amp;0),2),0)*N117/10^6</f>
        <v>0</v>
      </c>
      <c r="O179" s="6">
        <f>IFERROR(ROUND(AVERAGEIFS([1]!Resources[Fixed O&amp;M Cost],[1]!Resources[COD],"&lt;="&amp;O$139,[1]!Resources[Retirement Date],"&gt;="&amp;O$139,[1]!Resources[Unique Key],$G179,[1]!Resources[Summer Rating],"&gt;"&amp;0),2),0)*O117/10^6</f>
        <v>0</v>
      </c>
      <c r="P179" s="6">
        <f>IFERROR(ROUND(AVERAGEIFS([1]!Resources[Fixed O&amp;M Cost],[1]!Resources[COD],"&lt;="&amp;P$139,[1]!Resources[Retirement Date],"&gt;="&amp;P$139,[1]!Resources[Unique Key],$G179,[1]!Resources[Summer Rating],"&gt;"&amp;0),2),0)*P117/10^6</f>
        <v>0</v>
      </c>
      <c r="Q179" s="6">
        <f>IFERROR(ROUND(AVERAGEIFS([1]!Resources[Fixed O&amp;M Cost],[1]!Resources[COD],"&lt;="&amp;Q$139,[1]!Resources[Retirement Date],"&gt;="&amp;Q$139,[1]!Resources[Unique Key],$G179,[1]!Resources[Summer Rating],"&gt;"&amp;0),2),0)*Q117/10^6</f>
        <v>0</v>
      </c>
      <c r="R179" s="6">
        <f>IFERROR(ROUND(AVERAGEIFS([1]!Resources[Fixed O&amp;M Cost],[1]!Resources[COD],"&lt;="&amp;R$139,[1]!Resources[Retirement Date],"&gt;="&amp;R$139,[1]!Resources[Unique Key],$G179,[1]!Resources[Summer Rating],"&gt;"&amp;0),2),0)*R117/10^6</f>
        <v>0</v>
      </c>
      <c r="S179" s="6">
        <f>IFERROR(ROUND(AVERAGEIFS([1]!Resources[Fixed O&amp;M Cost],[1]!Resources[COD],"&lt;="&amp;S$139,[1]!Resources[Retirement Date],"&gt;="&amp;S$139,[1]!Resources[Unique Key],$G179,[1]!Resources[Summer Rating],"&gt;"&amp;0),2),0)*S117/10^6</f>
        <v>0</v>
      </c>
      <c r="T179" s="6">
        <f>IFERROR(ROUND(AVERAGEIFS([1]!Resources[Fixed O&amp;M Cost],[1]!Resources[COD],"&lt;="&amp;T$139,[1]!Resources[Retirement Date],"&gt;="&amp;T$139,[1]!Resources[Unique Key],$G179,[1]!Resources[Summer Rating],"&gt;"&amp;0),2),0)*T117/10^6</f>
        <v>0</v>
      </c>
      <c r="U179" s="6">
        <f>IFERROR(ROUND(AVERAGEIFS([1]!Resources[Fixed O&amp;M Cost],[1]!Resources[COD],"&lt;="&amp;U$139,[1]!Resources[Retirement Date],"&gt;="&amp;U$139,[1]!Resources[Unique Key],$G179,[1]!Resources[Summer Rating],"&gt;"&amp;0),2),0)*U117/10^6</f>
        <v>0</v>
      </c>
      <c r="V179" s="6">
        <f>IFERROR(ROUND(AVERAGEIFS([1]!Resources[Fixed O&amp;M Cost],[1]!Resources[COD],"&lt;="&amp;V$139,[1]!Resources[Retirement Date],"&gt;="&amp;V$139,[1]!Resources[Unique Key],$G179,[1]!Resources[Summer Rating],"&gt;"&amp;0),2),0)*V117/10^6</f>
        <v>0</v>
      </c>
      <c r="W179" s="6">
        <f>IFERROR(ROUND(AVERAGEIFS([1]!Resources[Fixed O&amp;M Cost],[1]!Resources[COD],"&lt;="&amp;W$139,[1]!Resources[Retirement Date],"&gt;="&amp;W$139,[1]!Resources[Unique Key],$G179,[1]!Resources[Summer Rating],"&gt;"&amp;0),2),0)*W117/10^6</f>
        <v>0</v>
      </c>
      <c r="X179" s="6">
        <f>IFERROR(ROUND(AVERAGEIFS([1]!Resources[Fixed O&amp;M Cost],[1]!Resources[COD],"&lt;="&amp;X$139,[1]!Resources[Retirement Date],"&gt;="&amp;X$139,[1]!Resources[Unique Key],$G179,[1]!Resources[Summer Rating],"&gt;"&amp;0),2),0)*X117/10^6</f>
        <v>0</v>
      </c>
      <c r="Y179" s="6">
        <f>IFERROR(ROUND(AVERAGEIFS([1]!Resources[Fixed O&amp;M Cost],[1]!Resources[COD],"&lt;="&amp;Y$139,[1]!Resources[Retirement Date],"&gt;="&amp;Y$139,[1]!Resources[Unique Key],$G179,[1]!Resources[Summer Rating],"&gt;"&amp;0),2),0)*Y117/10^6</f>
        <v>0</v>
      </c>
      <c r="Z179" s="6">
        <f>IFERROR(ROUND(AVERAGEIFS([1]!Resources[Fixed O&amp;M Cost],[1]!Resources[COD],"&lt;="&amp;Z$139,[1]!Resources[Retirement Date],"&gt;="&amp;Z$139,[1]!Resources[Unique Key],$G179,[1]!Resources[Summer Rating],"&gt;"&amp;0),2),0)*Z117/10^6</f>
        <v>0</v>
      </c>
      <c r="AA179" s="6">
        <f>IFERROR(ROUND(AVERAGEIFS([1]!Resources[Fixed O&amp;M Cost],[1]!Resources[COD],"&lt;="&amp;AA$139,[1]!Resources[Retirement Date],"&gt;="&amp;AA$139,[1]!Resources[Unique Key],$G179,[1]!Resources[Summer Rating],"&gt;"&amp;0),2),0)*AA117/10^6</f>
        <v>0</v>
      </c>
      <c r="AB179" s="6">
        <f>IFERROR(ROUND(AVERAGEIFS([1]!Resources[Fixed O&amp;M Cost],[1]!Resources[COD],"&lt;="&amp;AB$139,[1]!Resources[Retirement Date],"&gt;="&amp;AB$139,[1]!Resources[Unique Key],$G179,[1]!Resources[Summer Rating],"&gt;"&amp;0),2),0)*AB117/10^6</f>
        <v>0</v>
      </c>
      <c r="AC179" s="6">
        <f>IFERROR(ROUND(AVERAGEIFS([1]!Resources[Fixed O&amp;M Cost],[1]!Resources[COD],"&lt;="&amp;AC$139,[1]!Resources[Retirement Date],"&gt;="&amp;AC$139,[1]!Resources[Unique Key],$G179,[1]!Resources[Summer Rating],"&gt;"&amp;0),2),0)*AC117/10^6</f>
        <v>0</v>
      </c>
      <c r="AD179" s="6">
        <f>IFERROR(ROUND(AVERAGEIFS([1]!Resources[Fixed O&amp;M Cost],[1]!Resources[COD],"&lt;="&amp;AD$139,[1]!Resources[Retirement Date],"&gt;="&amp;AD$139,[1]!Resources[Unique Key],$G179,[1]!Resources[Summer Rating],"&gt;"&amp;0),2),0)*AD117/10^6</f>
        <v>0</v>
      </c>
      <c r="AE179" s="6">
        <f>IFERROR(ROUND(AVERAGEIFS([1]!Resources[Fixed O&amp;M Cost],[1]!Resources[COD],"&lt;="&amp;AE$139,[1]!Resources[Retirement Date],"&gt;="&amp;AE$139,[1]!Resources[Unique Key],$G179,[1]!Resources[Summer Rating],"&gt;"&amp;0),2),0)*AE117/10^6</f>
        <v>0</v>
      </c>
      <c r="AF179" s="6">
        <f>IFERROR(ROUND(AVERAGEIFS([1]!Resources[Fixed O&amp;M Cost],[1]!Resources[COD],"&lt;="&amp;AF$139,[1]!Resources[Retirement Date],"&gt;="&amp;AF$139,[1]!Resources[Unique Key],$G179,[1]!Resources[Summer Rating],"&gt;"&amp;0),2),0)*AF117/10^6</f>
        <v>0</v>
      </c>
      <c r="AG179" s="6">
        <f>IFERROR(ROUND(AVERAGEIFS([1]!Resources[Fixed O&amp;M Cost],[1]!Resources[COD],"&lt;="&amp;AG$139,[1]!Resources[Retirement Date],"&gt;="&amp;AG$139,[1]!Resources[Unique Key],$G179,[1]!Resources[Summer Rating],"&gt;"&amp;0),2),0)*AG117/10^6</f>
        <v>0</v>
      </c>
      <c r="AI179" s="5" t="s">
        <v>83</v>
      </c>
      <c r="AJ179" s="6">
        <f>IFERROR(INDEX('[1]Technology Defaults'!$B$18:$AA$31,MATCH($AI179,'[1]Technology Defaults'!$A$18:$A$31,0),MATCH(AJ$139,'[1]Technology Defaults'!$B$17:$AA$17,0)),0)</f>
        <v>58639.633326728173</v>
      </c>
      <c r="AK179" s="6">
        <f>IFERROR(INDEX('[1]Technology Defaults'!$B$18:$AA$31,MATCH($AI179,'[1]Technology Defaults'!$A$18:$A$31,0),MATCH(AK$139,'[1]Technology Defaults'!$B$17:$AA$17,0)),0)</f>
        <v>56637.424485979536</v>
      </c>
      <c r="AL179" s="6">
        <f>IFERROR(INDEX('[1]Technology Defaults'!$B$18:$AA$31,MATCH($AI179,'[1]Technology Defaults'!$A$18:$A$31,0),MATCH(AL$139,'[1]Technology Defaults'!$B$17:$AA$17,0)),0)</f>
        <v>54635.215645230928</v>
      </c>
      <c r="AM179" s="6">
        <f>IFERROR(INDEX('[1]Technology Defaults'!$B$18:$AA$31,MATCH($AI179,'[1]Technology Defaults'!$A$18:$A$31,0),MATCH(AM$139,'[1]Technology Defaults'!$B$17:$AA$17,0)),0)</f>
        <v>52633.00680448232</v>
      </c>
      <c r="AN179" s="6">
        <f>IFERROR(INDEX('[1]Technology Defaults'!$B$18:$AA$31,MATCH($AI179,'[1]Technology Defaults'!$A$18:$A$31,0),MATCH(AN$139,'[1]Technology Defaults'!$B$17:$AA$17,0)),0)</f>
        <v>50630.797963733683</v>
      </c>
      <c r="AO179" s="6">
        <f>IFERROR(INDEX('[1]Technology Defaults'!$B$18:$AA$31,MATCH($AI179,'[1]Technology Defaults'!$A$18:$A$31,0),MATCH(AO$139,'[1]Technology Defaults'!$B$17:$AA$17,0)),0)</f>
        <v>48628.589122985075</v>
      </c>
      <c r="AP179" s="6">
        <f>IFERROR(INDEX('[1]Technology Defaults'!$B$18:$AA$31,MATCH($AI179,'[1]Technology Defaults'!$A$18:$A$31,0),MATCH(AP$139,'[1]Technology Defaults'!$B$17:$AA$17,0)),0)</f>
        <v>47718.330916240448</v>
      </c>
      <c r="AQ179" s="6">
        <f>IFERROR(INDEX('[1]Technology Defaults'!$B$18:$AA$31,MATCH($AI179,'[1]Technology Defaults'!$A$18:$A$31,0),MATCH(AQ$139,'[1]Technology Defaults'!$B$17:$AA$17,0)),0)</f>
        <v>46808.072647371671</v>
      </c>
      <c r="AR179" s="6">
        <f>IFERROR(INDEX('[1]Technology Defaults'!$B$18:$AA$31,MATCH($AI179,'[1]Technology Defaults'!$A$18:$A$31,0),MATCH(AR$139,'[1]Technology Defaults'!$B$17:$AA$17,0)),0)</f>
        <v>45897.814440627073</v>
      </c>
      <c r="AS179" s="6">
        <f>IFERROR(INDEX('[1]Technology Defaults'!$B$18:$AA$31,MATCH($AI179,'[1]Technology Defaults'!$A$18:$A$31,0),MATCH(AS$139,'[1]Technology Defaults'!$B$17:$AA$17,0)),0)</f>
        <v>44987.556233882417</v>
      </c>
      <c r="AT179" s="6">
        <f>IFERROR(INDEX('[1]Technology Defaults'!$B$18:$AA$31,MATCH($AI179,'[1]Technology Defaults'!$A$18:$A$31,0),MATCH(AT$139,'[1]Technology Defaults'!$B$17:$AA$17,0)),0)</f>
        <v>44077.298027137811</v>
      </c>
      <c r="AU179" s="6">
        <f>IFERROR(INDEX('[1]Technology Defaults'!$B$18:$AA$31,MATCH($AI179,'[1]Technology Defaults'!$A$18:$A$31,0),MATCH(AU$139,'[1]Technology Defaults'!$B$17:$AA$17,0)),0)</f>
        <v>43167.039820393184</v>
      </c>
      <c r="AV179" s="6">
        <f>IFERROR(INDEX('[1]Technology Defaults'!$B$18:$AA$31,MATCH($AI179,'[1]Technology Defaults'!$A$18:$A$31,0),MATCH(AV$139,'[1]Technology Defaults'!$B$17:$AA$17,0)),0)</f>
        <v>42256.781613648556</v>
      </c>
      <c r="AW179" s="6">
        <f>IFERROR(INDEX('[1]Technology Defaults'!$B$18:$AA$31,MATCH($AI179,'[1]Technology Defaults'!$A$18:$A$31,0),MATCH(AW$139,'[1]Technology Defaults'!$B$17:$AA$17,0)),0)</f>
        <v>41346.52334477978</v>
      </c>
      <c r="AX179" s="6">
        <f>IFERROR(INDEX('[1]Technology Defaults'!$B$18:$AA$31,MATCH($AI179,'[1]Technology Defaults'!$A$18:$A$31,0),MATCH(AX$139,'[1]Technology Defaults'!$B$17:$AA$17,0)),0)</f>
        <v>40436.265138035182</v>
      </c>
      <c r="AY179" s="6">
        <f>IFERROR(INDEX('[1]Technology Defaults'!$B$18:$AA$31,MATCH($AI179,'[1]Technology Defaults'!$A$18:$A$31,0),MATCH(AY$139,'[1]Technology Defaults'!$B$17:$AA$17,0)),0)</f>
        <v>39526.006931290525</v>
      </c>
      <c r="AZ179" s="6">
        <f>IFERROR(INDEX('[1]Technology Defaults'!$B$18:$AA$31,MATCH($AI179,'[1]Technology Defaults'!$A$18:$A$31,0),MATCH(AZ$139,'[1]Technology Defaults'!$B$17:$AA$17,0)),0)</f>
        <v>38615.748724545898</v>
      </c>
      <c r="BA179" s="6">
        <f>IFERROR(INDEX('[1]Technology Defaults'!$B$18:$AA$31,MATCH($AI179,'[1]Technology Defaults'!$A$18:$A$31,0),MATCH(BA$139,'[1]Technology Defaults'!$B$17:$AA$17,0)),0)</f>
        <v>37705.490517801292</v>
      </c>
      <c r="BB179" s="6">
        <f>IFERROR(INDEX('[1]Technology Defaults'!$B$18:$AA$31,MATCH($AI179,'[1]Technology Defaults'!$A$18:$A$31,0),MATCH(BB$139,'[1]Technology Defaults'!$B$17:$AA$17,0)),0)</f>
        <v>36795.232311056665</v>
      </c>
      <c r="BC179" s="6">
        <f>IFERROR(INDEX('[1]Technology Defaults'!$B$18:$AA$31,MATCH($AI179,'[1]Technology Defaults'!$A$18:$A$31,0),MATCH(BC$139,'[1]Technology Defaults'!$B$17:$AA$17,0)),0)</f>
        <v>35884.974042187889</v>
      </c>
      <c r="BD179" s="6">
        <f>IFERROR(INDEX('[1]Technology Defaults'!$B$18:$AA$31,MATCH($AI179,'[1]Technology Defaults'!$A$18:$A$31,0),MATCH(BD$139,'[1]Technology Defaults'!$B$17:$AA$17,0)),0)</f>
        <v>34974.71583544329</v>
      </c>
      <c r="BE179" s="6">
        <f>IFERROR(INDEX('[1]Technology Defaults'!$B$18:$AA$31,MATCH($AI179,'[1]Technology Defaults'!$A$18:$A$31,0),MATCH(BE$139,'[1]Technology Defaults'!$B$17:$AA$17,0)),0)</f>
        <v>34064.457628698663</v>
      </c>
      <c r="BF179" s="6">
        <f>IFERROR(INDEX('[1]Technology Defaults'!$B$18:$AA$31,MATCH($AI179,'[1]Technology Defaults'!$A$18:$A$31,0),MATCH(BF$139,'[1]Technology Defaults'!$B$17:$AA$17,0)),0)</f>
        <v>33154.199421954007</v>
      </c>
      <c r="BG179" s="6">
        <f>IFERROR(INDEX('[1]Technology Defaults'!$B$18:$AA$31,MATCH($AI179,'[1]Technology Defaults'!$A$18:$A$31,0),MATCH(BG$139,'[1]Technology Defaults'!$B$17:$AA$17,0)),0)</f>
        <v>32243.941215209405</v>
      </c>
      <c r="BH179" s="6">
        <f>IFERROR(INDEX('[1]Technology Defaults'!$B$18:$AA$31,MATCH($AI179,'[1]Technology Defaults'!$A$18:$A$31,0),MATCH(BH$139,'[1]Technology Defaults'!$B$17:$AA$17,0)),0)</f>
        <v>31333.683008464759</v>
      </c>
      <c r="BI179" s="6">
        <f>IFERROR(INDEX('[1]Technology Defaults'!$B$18:$AA$31,MATCH($AI179,'[1]Technology Defaults'!$A$18:$A$31,0),MATCH(BI$139,'[1]Technology Defaults'!$B$17:$AA$17,0)),0)</f>
        <v>30423.424739596001</v>
      </c>
    </row>
    <row r="180" spans="7:61" ht="16" x14ac:dyDescent="0.2">
      <c r="G180" s="5" t="s">
        <v>84</v>
      </c>
      <c r="H180" s="6">
        <f>IFERROR(ROUND(AVERAGEIFS([1]!Resources[Fixed O&amp;M Cost],[1]!Resources[COD],"&lt;="&amp;H$139,[1]!Resources[Retirement Date],"&gt;="&amp;H$139,[1]!Resources[Unique Key],$G180,[1]!Resources[Summer Rating],"&gt;"&amp;0),2),0)*H118/10^6</f>
        <v>0</v>
      </c>
      <c r="I180" s="6">
        <f>IFERROR(ROUND(AVERAGEIFS([1]!Resources[Fixed O&amp;M Cost],[1]!Resources[COD],"&lt;="&amp;I$139,[1]!Resources[Retirement Date],"&gt;="&amp;I$139,[1]!Resources[Unique Key],$G180,[1]!Resources[Summer Rating],"&gt;"&amp;0),2),0)*I118/10^6</f>
        <v>0</v>
      </c>
      <c r="J180" s="6">
        <f>IFERROR(ROUND(AVERAGEIFS([1]!Resources[Fixed O&amp;M Cost],[1]!Resources[COD],"&lt;="&amp;J$139,[1]!Resources[Retirement Date],"&gt;="&amp;J$139,[1]!Resources[Unique Key],$G180,[1]!Resources[Summer Rating],"&gt;"&amp;0),2),0)*J118/10^6</f>
        <v>0</v>
      </c>
      <c r="K180" s="6">
        <f>IFERROR(ROUND(AVERAGEIFS([1]!Resources[Fixed O&amp;M Cost],[1]!Resources[COD],"&lt;="&amp;K$139,[1]!Resources[Retirement Date],"&gt;="&amp;K$139,[1]!Resources[Unique Key],$G180,[1]!Resources[Summer Rating],"&gt;"&amp;0),2),0)*K118/10^6</f>
        <v>0</v>
      </c>
      <c r="L180" s="6">
        <f>IFERROR(ROUND(AVERAGEIFS([1]!Resources[Fixed O&amp;M Cost],[1]!Resources[COD],"&lt;="&amp;L$139,[1]!Resources[Retirement Date],"&gt;="&amp;L$139,[1]!Resources[Unique Key],$G180,[1]!Resources[Summer Rating],"&gt;"&amp;0),2),0)*L118/10^6</f>
        <v>0</v>
      </c>
      <c r="M180" s="6">
        <f>IFERROR(ROUND(AVERAGEIFS([1]!Resources[Fixed O&amp;M Cost],[1]!Resources[COD],"&lt;="&amp;M$139,[1]!Resources[Retirement Date],"&gt;="&amp;M$139,[1]!Resources[Unique Key],$G180,[1]!Resources[Summer Rating],"&gt;"&amp;0),2),0)*M118/10^6</f>
        <v>0</v>
      </c>
      <c r="N180" s="6">
        <f>IFERROR(ROUND(AVERAGEIFS([1]!Resources[Fixed O&amp;M Cost],[1]!Resources[COD],"&lt;="&amp;N$139,[1]!Resources[Retirement Date],"&gt;="&amp;N$139,[1]!Resources[Unique Key],$G180,[1]!Resources[Summer Rating],"&gt;"&amp;0),2),0)*N118/10^6</f>
        <v>0</v>
      </c>
      <c r="O180" s="6">
        <f>IFERROR(ROUND(AVERAGEIFS([1]!Resources[Fixed O&amp;M Cost],[1]!Resources[COD],"&lt;="&amp;O$139,[1]!Resources[Retirement Date],"&gt;="&amp;O$139,[1]!Resources[Unique Key],$G180,[1]!Resources[Summer Rating],"&gt;"&amp;0),2),0)*O118/10^6</f>
        <v>0</v>
      </c>
      <c r="P180" s="6">
        <f>IFERROR(ROUND(AVERAGEIFS([1]!Resources[Fixed O&amp;M Cost],[1]!Resources[COD],"&lt;="&amp;P$139,[1]!Resources[Retirement Date],"&gt;="&amp;P$139,[1]!Resources[Unique Key],$G180,[1]!Resources[Summer Rating],"&gt;"&amp;0),2),0)*P118/10^6</f>
        <v>0</v>
      </c>
      <c r="Q180" s="6">
        <f>IFERROR(ROUND(AVERAGEIFS([1]!Resources[Fixed O&amp;M Cost],[1]!Resources[COD],"&lt;="&amp;Q$139,[1]!Resources[Retirement Date],"&gt;="&amp;Q$139,[1]!Resources[Unique Key],$G180,[1]!Resources[Summer Rating],"&gt;"&amp;0),2),0)*Q118/10^6</f>
        <v>0</v>
      </c>
      <c r="R180" s="6">
        <f>IFERROR(ROUND(AVERAGEIFS([1]!Resources[Fixed O&amp;M Cost],[1]!Resources[COD],"&lt;="&amp;R$139,[1]!Resources[Retirement Date],"&gt;="&amp;R$139,[1]!Resources[Unique Key],$G180,[1]!Resources[Summer Rating],"&gt;"&amp;0),2),0)*R118/10^6</f>
        <v>0</v>
      </c>
      <c r="S180" s="6">
        <f>IFERROR(ROUND(AVERAGEIFS([1]!Resources[Fixed O&amp;M Cost],[1]!Resources[COD],"&lt;="&amp;S$139,[1]!Resources[Retirement Date],"&gt;="&amp;S$139,[1]!Resources[Unique Key],$G180,[1]!Resources[Summer Rating],"&gt;"&amp;0),2),0)*S118/10^6</f>
        <v>0</v>
      </c>
      <c r="T180" s="6">
        <f>IFERROR(ROUND(AVERAGEIFS([1]!Resources[Fixed O&amp;M Cost],[1]!Resources[COD],"&lt;="&amp;T$139,[1]!Resources[Retirement Date],"&gt;="&amp;T$139,[1]!Resources[Unique Key],$G180,[1]!Resources[Summer Rating],"&gt;"&amp;0),2),0)*T118/10^6</f>
        <v>0</v>
      </c>
      <c r="U180" s="6">
        <f>IFERROR(ROUND(AVERAGEIFS([1]!Resources[Fixed O&amp;M Cost],[1]!Resources[COD],"&lt;="&amp;U$139,[1]!Resources[Retirement Date],"&gt;="&amp;U$139,[1]!Resources[Unique Key],$G180,[1]!Resources[Summer Rating],"&gt;"&amp;0),2),0)*U118/10^6</f>
        <v>0</v>
      </c>
      <c r="V180" s="6">
        <f>IFERROR(ROUND(AVERAGEIFS([1]!Resources[Fixed O&amp;M Cost],[1]!Resources[COD],"&lt;="&amp;V$139,[1]!Resources[Retirement Date],"&gt;="&amp;V$139,[1]!Resources[Unique Key],$G180,[1]!Resources[Summer Rating],"&gt;"&amp;0),2),0)*V118/10^6</f>
        <v>0</v>
      </c>
      <c r="W180" s="6">
        <f>IFERROR(ROUND(AVERAGEIFS([1]!Resources[Fixed O&amp;M Cost],[1]!Resources[COD],"&lt;="&amp;W$139,[1]!Resources[Retirement Date],"&gt;="&amp;W$139,[1]!Resources[Unique Key],$G180,[1]!Resources[Summer Rating],"&gt;"&amp;0),2),0)*W118/10^6</f>
        <v>0</v>
      </c>
      <c r="X180" s="6">
        <f>IFERROR(ROUND(AVERAGEIFS([1]!Resources[Fixed O&amp;M Cost],[1]!Resources[COD],"&lt;="&amp;X$139,[1]!Resources[Retirement Date],"&gt;="&amp;X$139,[1]!Resources[Unique Key],$G180,[1]!Resources[Summer Rating],"&gt;"&amp;0),2),0)*X118/10^6</f>
        <v>0</v>
      </c>
      <c r="Y180" s="6">
        <f>IFERROR(ROUND(AVERAGEIFS([1]!Resources[Fixed O&amp;M Cost],[1]!Resources[COD],"&lt;="&amp;Y$139,[1]!Resources[Retirement Date],"&gt;="&amp;Y$139,[1]!Resources[Unique Key],$G180,[1]!Resources[Summer Rating],"&gt;"&amp;0),2),0)*Y118/10^6</f>
        <v>0</v>
      </c>
      <c r="Z180" s="6">
        <f>IFERROR(ROUND(AVERAGEIFS([1]!Resources[Fixed O&amp;M Cost],[1]!Resources[COD],"&lt;="&amp;Z$139,[1]!Resources[Retirement Date],"&gt;="&amp;Z$139,[1]!Resources[Unique Key],$G180,[1]!Resources[Summer Rating],"&gt;"&amp;0),2),0)*Z118/10^6</f>
        <v>0</v>
      </c>
      <c r="AA180" s="6">
        <f>IFERROR(ROUND(AVERAGEIFS([1]!Resources[Fixed O&amp;M Cost],[1]!Resources[COD],"&lt;="&amp;AA$139,[1]!Resources[Retirement Date],"&gt;="&amp;AA$139,[1]!Resources[Unique Key],$G180,[1]!Resources[Summer Rating],"&gt;"&amp;0),2),0)*AA118/10^6</f>
        <v>0</v>
      </c>
      <c r="AB180" s="6">
        <f>IFERROR(ROUND(AVERAGEIFS([1]!Resources[Fixed O&amp;M Cost],[1]!Resources[COD],"&lt;="&amp;AB$139,[1]!Resources[Retirement Date],"&gt;="&amp;AB$139,[1]!Resources[Unique Key],$G180,[1]!Resources[Summer Rating],"&gt;"&amp;0),2),0)*AB118/10^6</f>
        <v>0</v>
      </c>
      <c r="AC180" s="6">
        <f>IFERROR(ROUND(AVERAGEIFS([1]!Resources[Fixed O&amp;M Cost],[1]!Resources[COD],"&lt;="&amp;AC$139,[1]!Resources[Retirement Date],"&gt;="&amp;AC$139,[1]!Resources[Unique Key],$G180,[1]!Resources[Summer Rating],"&gt;"&amp;0),2),0)*AC118/10^6</f>
        <v>0</v>
      </c>
      <c r="AD180" s="6">
        <f>IFERROR(ROUND(AVERAGEIFS([1]!Resources[Fixed O&amp;M Cost],[1]!Resources[COD],"&lt;="&amp;AD$139,[1]!Resources[Retirement Date],"&gt;="&amp;AD$139,[1]!Resources[Unique Key],$G180,[1]!Resources[Summer Rating],"&gt;"&amp;0),2),0)*AD118/10^6</f>
        <v>0</v>
      </c>
      <c r="AE180" s="6">
        <f>IFERROR(ROUND(AVERAGEIFS([1]!Resources[Fixed O&amp;M Cost],[1]!Resources[COD],"&lt;="&amp;AE$139,[1]!Resources[Retirement Date],"&gt;="&amp;AE$139,[1]!Resources[Unique Key],$G180,[1]!Resources[Summer Rating],"&gt;"&amp;0),2),0)*AE118/10^6</f>
        <v>0</v>
      </c>
      <c r="AF180" s="6">
        <f>IFERROR(ROUND(AVERAGEIFS([1]!Resources[Fixed O&amp;M Cost],[1]!Resources[COD],"&lt;="&amp;AF$139,[1]!Resources[Retirement Date],"&gt;="&amp;AF$139,[1]!Resources[Unique Key],$G180,[1]!Resources[Summer Rating],"&gt;"&amp;0),2),0)*AF118/10^6</f>
        <v>0</v>
      </c>
      <c r="AG180" s="6">
        <f>IFERROR(ROUND(AVERAGEIFS([1]!Resources[Fixed O&amp;M Cost],[1]!Resources[COD],"&lt;="&amp;AG$139,[1]!Resources[Retirement Date],"&gt;="&amp;AG$139,[1]!Resources[Unique Key],$G180,[1]!Resources[Summer Rating],"&gt;"&amp;0),2),0)*AG118/10^6</f>
        <v>0</v>
      </c>
      <c r="AI180" s="5" t="s">
        <v>84</v>
      </c>
      <c r="AJ180" s="6">
        <f>IFERROR(INDEX('[1]Technology Defaults'!$B$18:$AA$31,MATCH($AI180,'[1]Technology Defaults'!$A$18:$A$31,0),MATCH(AJ$139,'[1]Technology Defaults'!$B$17:$AA$17,0)),0)</f>
        <v>41779.955062091933</v>
      </c>
      <c r="AK180" s="6">
        <f>IFERROR(INDEX('[1]Technology Defaults'!$B$18:$AA$31,MATCH($AI180,'[1]Technology Defaults'!$A$18:$A$31,0),MATCH(AK$139,'[1]Technology Defaults'!$B$17:$AA$17,0)),0)</f>
        <v>39777.74622134331</v>
      </c>
      <c r="AL180" s="6">
        <f>IFERROR(INDEX('[1]Technology Defaults'!$B$18:$AA$31,MATCH($AI180,'[1]Technology Defaults'!$A$18:$A$31,0),MATCH(AL$139,'[1]Technology Defaults'!$B$17:$AA$17,0)),0)</f>
        <v>37775.537380594702</v>
      </c>
      <c r="AM180" s="6">
        <f>IFERROR(INDEX('[1]Technology Defaults'!$B$18:$AA$31,MATCH($AI180,'[1]Technology Defaults'!$A$18:$A$31,0),MATCH(AM$139,'[1]Technology Defaults'!$B$17:$AA$17,0)),0)</f>
        <v>35773.328539846079</v>
      </c>
      <c r="AN180" s="6">
        <f>IFERROR(INDEX('[1]Technology Defaults'!$B$18:$AA$31,MATCH($AI180,'[1]Technology Defaults'!$A$18:$A$31,0),MATCH(AN$139,'[1]Technology Defaults'!$B$17:$AA$17,0)),0)</f>
        <v>33771.119699097457</v>
      </c>
      <c r="AO180" s="6">
        <f>IFERROR(INDEX('[1]Technology Defaults'!$B$18:$AA$31,MATCH($AI180,'[1]Technology Defaults'!$A$18:$A$31,0),MATCH(AO$139,'[1]Technology Defaults'!$B$17:$AA$17,0)),0)</f>
        <v>31768.910858348831</v>
      </c>
      <c r="AP180" s="6">
        <f>IFERROR(INDEX('[1]Technology Defaults'!$B$18:$AA$31,MATCH($AI180,'[1]Technology Defaults'!$A$18:$A$31,0),MATCH(AP$139,'[1]Technology Defaults'!$B$17:$AA$17,0)),0)</f>
        <v>30858.652651604203</v>
      </c>
      <c r="AQ180" s="6">
        <f>IFERROR(INDEX('[1]Technology Defaults'!$B$18:$AA$31,MATCH($AI180,'[1]Technology Defaults'!$A$18:$A$31,0),MATCH(AQ$139,'[1]Technology Defaults'!$B$17:$AA$17,0)),0)</f>
        <v>29948.394382735445</v>
      </c>
      <c r="AR180" s="6">
        <f>IFERROR(INDEX('[1]Technology Defaults'!$B$18:$AA$31,MATCH($AI180,'[1]Technology Defaults'!$A$18:$A$31,0),MATCH(AR$139,'[1]Technology Defaults'!$B$17:$AA$17,0)),0)</f>
        <v>29038.136175990829</v>
      </c>
      <c r="AS180" s="6">
        <f>IFERROR(INDEX('[1]Technology Defaults'!$B$18:$AA$31,MATCH($AI180,'[1]Technology Defaults'!$A$18:$A$31,0),MATCH(AS$139,'[1]Technology Defaults'!$B$17:$AA$17,0)),0)</f>
        <v>28127.877969246187</v>
      </c>
      <c r="AT180" s="6">
        <f>IFERROR(INDEX('[1]Technology Defaults'!$B$18:$AA$31,MATCH($AI180,'[1]Technology Defaults'!$A$18:$A$31,0),MATCH(AT$139,'[1]Technology Defaults'!$B$17:$AA$17,0)),0)</f>
        <v>27217.61976250157</v>
      </c>
      <c r="AU180" s="6">
        <f>IFERROR(INDEX('[1]Technology Defaults'!$B$18:$AA$31,MATCH($AI180,'[1]Technology Defaults'!$A$18:$A$31,0),MATCH(AU$139,'[1]Technology Defaults'!$B$17:$AA$17,0)),0)</f>
        <v>26307.361555756954</v>
      </c>
      <c r="AV180" s="6">
        <f>IFERROR(INDEX('[1]Technology Defaults'!$B$18:$AA$31,MATCH($AI180,'[1]Technology Defaults'!$A$18:$A$31,0),MATCH(AV$139,'[1]Technology Defaults'!$B$17:$AA$17,0)),0)</f>
        <v>25397.103349012312</v>
      </c>
      <c r="AW180" s="6">
        <f>IFERROR(INDEX('[1]Technology Defaults'!$B$18:$AA$31,MATCH($AI180,'[1]Technology Defaults'!$A$18:$A$31,0),MATCH(AW$139,'[1]Technology Defaults'!$B$17:$AA$17,0)),0)</f>
        <v>24486.845080143554</v>
      </c>
      <c r="AX180" s="6">
        <f>IFERROR(INDEX('[1]Technology Defaults'!$B$18:$AA$31,MATCH($AI180,'[1]Technology Defaults'!$A$18:$A$31,0),MATCH(AX$139,'[1]Technology Defaults'!$B$17:$AA$17,0)),0)</f>
        <v>23576.586873398937</v>
      </c>
      <c r="AY180" s="6">
        <f>IFERROR(INDEX('[1]Technology Defaults'!$B$18:$AA$31,MATCH($AI180,'[1]Technology Defaults'!$A$18:$A$31,0),MATCH(AY$139,'[1]Technology Defaults'!$B$17:$AA$17,0)),0)</f>
        <v>22666.328666654295</v>
      </c>
      <c r="AZ180" s="6">
        <f>IFERROR(INDEX('[1]Technology Defaults'!$B$18:$AA$31,MATCH($AI180,'[1]Technology Defaults'!$A$18:$A$31,0),MATCH(AZ$139,'[1]Technology Defaults'!$B$17:$AA$17,0)),0)</f>
        <v>21756.070459909664</v>
      </c>
      <c r="BA180" s="6">
        <f>IFERROR(INDEX('[1]Technology Defaults'!$B$18:$AA$31,MATCH($AI180,'[1]Technology Defaults'!$A$18:$A$31,0),MATCH(BA$139,'[1]Technology Defaults'!$B$17:$AA$17,0)),0)</f>
        <v>20845.812253165066</v>
      </c>
      <c r="BB180" s="6">
        <f>IFERROR(INDEX('[1]Technology Defaults'!$B$18:$AA$31,MATCH($AI180,'[1]Technology Defaults'!$A$18:$A$31,0),MATCH(BB$139,'[1]Technology Defaults'!$B$17:$AA$17,0)),0)</f>
        <v>19935.55404642042</v>
      </c>
      <c r="BC180" s="6">
        <f>IFERROR(INDEX('[1]Technology Defaults'!$B$18:$AA$31,MATCH($AI180,'[1]Technology Defaults'!$A$18:$A$31,0),MATCH(BC$139,'[1]Technology Defaults'!$B$17:$AA$17,0)),0)</f>
        <v>19025.295777551662</v>
      </c>
      <c r="BD180" s="6">
        <f>IFERROR(INDEX('[1]Technology Defaults'!$B$18:$AA$31,MATCH($AI180,'[1]Technology Defaults'!$A$18:$A$31,0),MATCH(BD$139,'[1]Technology Defaults'!$B$17:$AA$17,0)),0)</f>
        <v>18115.037570807046</v>
      </c>
      <c r="BE180" s="6">
        <f>IFERROR(INDEX('[1]Technology Defaults'!$B$18:$AA$31,MATCH($AI180,'[1]Technology Defaults'!$A$18:$A$31,0),MATCH(BE$139,'[1]Technology Defaults'!$B$17:$AA$17,0)),0)</f>
        <v>17204.779364062419</v>
      </c>
      <c r="BF180" s="6">
        <f>IFERROR(INDEX('[1]Technology Defaults'!$B$18:$AA$31,MATCH($AI180,'[1]Technology Defaults'!$A$18:$A$31,0),MATCH(BF$139,'[1]Technology Defaults'!$B$17:$AA$17,0)),0)</f>
        <v>16294.521157317775</v>
      </c>
      <c r="BG180" s="6">
        <f>IFERROR(INDEX('[1]Technology Defaults'!$B$18:$AA$31,MATCH($AI180,'[1]Technology Defaults'!$A$18:$A$31,0),MATCH(BG$139,'[1]Technology Defaults'!$B$17:$AA$17,0)),0)</f>
        <v>15384.26295057316</v>
      </c>
      <c r="BH180" s="6">
        <f>IFERROR(INDEX('[1]Technology Defaults'!$B$18:$AA$31,MATCH($AI180,'[1]Technology Defaults'!$A$18:$A$31,0),MATCH(BH$139,'[1]Technology Defaults'!$B$17:$AA$17,0)),0)</f>
        <v>14474.004743828516</v>
      </c>
      <c r="BI180" s="6">
        <f>IFERROR(INDEX('[1]Technology Defaults'!$B$18:$AA$31,MATCH($AI180,'[1]Technology Defaults'!$A$18:$A$31,0),MATCH(BI$139,'[1]Technology Defaults'!$B$17:$AA$17,0)),0)</f>
        <v>13563.746474959771</v>
      </c>
    </row>
    <row r="181" spans="7:61" ht="16" x14ac:dyDescent="0.2">
      <c r="G181" s="5" t="s">
        <v>85</v>
      </c>
      <c r="H181" s="6">
        <f>IFERROR(ROUND(AVERAGEIFS([1]!Resources[Fixed O&amp;M Cost],[1]!Resources[COD],"&lt;="&amp;H$139,[1]!Resources[Retirement Date],"&gt;="&amp;H$139,[1]!Resources[Unique Key],$G181,[1]!Resources[Summer Rating],"&gt;"&amp;0),2),0)*H119/10^6</f>
        <v>0</v>
      </c>
      <c r="I181" s="6">
        <f>IFERROR(ROUND(AVERAGEIFS([1]!Resources[Fixed O&amp;M Cost],[1]!Resources[COD],"&lt;="&amp;I$139,[1]!Resources[Retirement Date],"&gt;="&amp;I$139,[1]!Resources[Unique Key],$G181,[1]!Resources[Summer Rating],"&gt;"&amp;0),2),0)*I119/10^6</f>
        <v>0</v>
      </c>
      <c r="J181" s="6">
        <f>IFERROR(ROUND(AVERAGEIFS([1]!Resources[Fixed O&amp;M Cost],[1]!Resources[COD],"&lt;="&amp;J$139,[1]!Resources[Retirement Date],"&gt;="&amp;J$139,[1]!Resources[Unique Key],$G181,[1]!Resources[Summer Rating],"&gt;"&amp;0),2),0)*J119/10^6</f>
        <v>0</v>
      </c>
      <c r="K181" s="6">
        <f>IFERROR(ROUND(AVERAGEIFS([1]!Resources[Fixed O&amp;M Cost],[1]!Resources[COD],"&lt;="&amp;K$139,[1]!Resources[Retirement Date],"&gt;="&amp;K$139,[1]!Resources[Unique Key],$G181,[1]!Resources[Summer Rating],"&gt;"&amp;0),2),0)*K119/10^6</f>
        <v>0</v>
      </c>
      <c r="L181" s="6">
        <f>IFERROR(ROUND(AVERAGEIFS([1]!Resources[Fixed O&amp;M Cost],[1]!Resources[COD],"&lt;="&amp;L$139,[1]!Resources[Retirement Date],"&gt;="&amp;L$139,[1]!Resources[Unique Key],$G181,[1]!Resources[Summer Rating],"&gt;"&amp;0),2),0)*L119/10^6</f>
        <v>0</v>
      </c>
      <c r="M181" s="6">
        <f>IFERROR(ROUND(AVERAGEIFS([1]!Resources[Fixed O&amp;M Cost],[1]!Resources[COD],"&lt;="&amp;M$139,[1]!Resources[Retirement Date],"&gt;="&amp;M$139,[1]!Resources[Unique Key],$G181,[1]!Resources[Summer Rating],"&gt;"&amp;0),2),0)*M119/10^6</f>
        <v>0</v>
      </c>
      <c r="N181" s="6">
        <f>IFERROR(ROUND(AVERAGEIFS([1]!Resources[Fixed O&amp;M Cost],[1]!Resources[COD],"&lt;="&amp;N$139,[1]!Resources[Retirement Date],"&gt;="&amp;N$139,[1]!Resources[Unique Key],$G181,[1]!Resources[Summer Rating],"&gt;"&amp;0),2),0)*N119/10^6</f>
        <v>0</v>
      </c>
      <c r="O181" s="6">
        <f>IFERROR(ROUND(AVERAGEIFS([1]!Resources[Fixed O&amp;M Cost],[1]!Resources[COD],"&lt;="&amp;O$139,[1]!Resources[Retirement Date],"&gt;="&amp;O$139,[1]!Resources[Unique Key],$G181,[1]!Resources[Summer Rating],"&gt;"&amp;0),2),0)*O119/10^6</f>
        <v>0</v>
      </c>
      <c r="P181" s="6">
        <f>IFERROR(ROUND(AVERAGEIFS([1]!Resources[Fixed O&amp;M Cost],[1]!Resources[COD],"&lt;="&amp;P$139,[1]!Resources[Retirement Date],"&gt;="&amp;P$139,[1]!Resources[Unique Key],$G181,[1]!Resources[Summer Rating],"&gt;"&amp;0),2),0)*P119/10^6</f>
        <v>0</v>
      </c>
      <c r="Q181" s="6">
        <f>IFERROR(ROUND(AVERAGEIFS([1]!Resources[Fixed O&amp;M Cost],[1]!Resources[COD],"&lt;="&amp;Q$139,[1]!Resources[Retirement Date],"&gt;="&amp;Q$139,[1]!Resources[Unique Key],$G181,[1]!Resources[Summer Rating],"&gt;"&amp;0),2),0)*Q119/10^6</f>
        <v>0</v>
      </c>
      <c r="R181" s="6">
        <f>IFERROR(ROUND(AVERAGEIFS([1]!Resources[Fixed O&amp;M Cost],[1]!Resources[COD],"&lt;="&amp;R$139,[1]!Resources[Retirement Date],"&gt;="&amp;R$139,[1]!Resources[Unique Key],$G181,[1]!Resources[Summer Rating],"&gt;"&amp;0),2),0)*R119/10^6</f>
        <v>0</v>
      </c>
      <c r="S181" s="6">
        <f>IFERROR(ROUND(AVERAGEIFS([1]!Resources[Fixed O&amp;M Cost],[1]!Resources[COD],"&lt;="&amp;S$139,[1]!Resources[Retirement Date],"&gt;="&amp;S$139,[1]!Resources[Unique Key],$G181,[1]!Resources[Summer Rating],"&gt;"&amp;0),2),0)*S119/10^6</f>
        <v>0</v>
      </c>
      <c r="T181" s="6">
        <f>IFERROR(ROUND(AVERAGEIFS([1]!Resources[Fixed O&amp;M Cost],[1]!Resources[COD],"&lt;="&amp;T$139,[1]!Resources[Retirement Date],"&gt;="&amp;T$139,[1]!Resources[Unique Key],$G181,[1]!Resources[Summer Rating],"&gt;"&amp;0),2),0)*T119/10^6</f>
        <v>0</v>
      </c>
      <c r="U181" s="6">
        <f>IFERROR(ROUND(AVERAGEIFS([1]!Resources[Fixed O&amp;M Cost],[1]!Resources[COD],"&lt;="&amp;U$139,[1]!Resources[Retirement Date],"&gt;="&amp;U$139,[1]!Resources[Unique Key],$G181,[1]!Resources[Summer Rating],"&gt;"&amp;0),2),0)*U119/10^6</f>
        <v>0</v>
      </c>
      <c r="V181" s="6">
        <f>IFERROR(ROUND(AVERAGEIFS([1]!Resources[Fixed O&amp;M Cost],[1]!Resources[COD],"&lt;="&amp;V$139,[1]!Resources[Retirement Date],"&gt;="&amp;V$139,[1]!Resources[Unique Key],$G181,[1]!Resources[Summer Rating],"&gt;"&amp;0),2),0)*V119/10^6</f>
        <v>0</v>
      </c>
      <c r="W181" s="6">
        <f>IFERROR(ROUND(AVERAGEIFS([1]!Resources[Fixed O&amp;M Cost],[1]!Resources[COD],"&lt;="&amp;W$139,[1]!Resources[Retirement Date],"&gt;="&amp;W$139,[1]!Resources[Unique Key],$G181,[1]!Resources[Summer Rating],"&gt;"&amp;0),2),0)*W119/10^6</f>
        <v>0</v>
      </c>
      <c r="X181" s="6">
        <f>IFERROR(ROUND(AVERAGEIFS([1]!Resources[Fixed O&amp;M Cost],[1]!Resources[COD],"&lt;="&amp;X$139,[1]!Resources[Retirement Date],"&gt;="&amp;X$139,[1]!Resources[Unique Key],$G181,[1]!Resources[Summer Rating],"&gt;"&amp;0),2),0)*X119/10^6</f>
        <v>0</v>
      </c>
      <c r="Y181" s="6">
        <f>IFERROR(ROUND(AVERAGEIFS([1]!Resources[Fixed O&amp;M Cost],[1]!Resources[COD],"&lt;="&amp;Y$139,[1]!Resources[Retirement Date],"&gt;="&amp;Y$139,[1]!Resources[Unique Key],$G181,[1]!Resources[Summer Rating],"&gt;"&amp;0),2),0)*Y119/10^6</f>
        <v>0</v>
      </c>
      <c r="Z181" s="6">
        <f>IFERROR(ROUND(AVERAGEIFS([1]!Resources[Fixed O&amp;M Cost],[1]!Resources[COD],"&lt;="&amp;Z$139,[1]!Resources[Retirement Date],"&gt;="&amp;Z$139,[1]!Resources[Unique Key],$G181,[1]!Resources[Summer Rating],"&gt;"&amp;0),2),0)*Z119/10^6</f>
        <v>0</v>
      </c>
      <c r="AA181" s="6">
        <f>IFERROR(ROUND(AVERAGEIFS([1]!Resources[Fixed O&amp;M Cost],[1]!Resources[COD],"&lt;="&amp;AA$139,[1]!Resources[Retirement Date],"&gt;="&amp;AA$139,[1]!Resources[Unique Key],$G181,[1]!Resources[Summer Rating],"&gt;"&amp;0),2),0)*AA119/10^6</f>
        <v>0</v>
      </c>
      <c r="AB181" s="6">
        <f>IFERROR(ROUND(AVERAGEIFS([1]!Resources[Fixed O&amp;M Cost],[1]!Resources[COD],"&lt;="&amp;AB$139,[1]!Resources[Retirement Date],"&gt;="&amp;AB$139,[1]!Resources[Unique Key],$G181,[1]!Resources[Summer Rating],"&gt;"&amp;0),2),0)*AB119/10^6</f>
        <v>0</v>
      </c>
      <c r="AC181" s="6">
        <f>IFERROR(ROUND(AVERAGEIFS([1]!Resources[Fixed O&amp;M Cost],[1]!Resources[COD],"&lt;="&amp;AC$139,[1]!Resources[Retirement Date],"&gt;="&amp;AC$139,[1]!Resources[Unique Key],$G181,[1]!Resources[Summer Rating],"&gt;"&amp;0),2),0)*AC119/10^6</f>
        <v>0</v>
      </c>
      <c r="AD181" s="6">
        <f>IFERROR(ROUND(AVERAGEIFS([1]!Resources[Fixed O&amp;M Cost],[1]!Resources[COD],"&lt;="&amp;AD$139,[1]!Resources[Retirement Date],"&gt;="&amp;AD$139,[1]!Resources[Unique Key],$G181,[1]!Resources[Summer Rating],"&gt;"&amp;0),2),0)*AD119/10^6</f>
        <v>0</v>
      </c>
      <c r="AE181" s="6">
        <f>IFERROR(ROUND(AVERAGEIFS([1]!Resources[Fixed O&amp;M Cost],[1]!Resources[COD],"&lt;="&amp;AE$139,[1]!Resources[Retirement Date],"&gt;="&amp;AE$139,[1]!Resources[Unique Key],$G181,[1]!Resources[Summer Rating],"&gt;"&amp;0),2),0)*AE119/10^6</f>
        <v>0</v>
      </c>
      <c r="AF181" s="6">
        <f>IFERROR(ROUND(AVERAGEIFS([1]!Resources[Fixed O&amp;M Cost],[1]!Resources[COD],"&lt;="&amp;AF$139,[1]!Resources[Retirement Date],"&gt;="&amp;AF$139,[1]!Resources[Unique Key],$G181,[1]!Resources[Summer Rating],"&gt;"&amp;0),2),0)*AF119/10^6</f>
        <v>0</v>
      </c>
      <c r="AG181" s="6">
        <f>IFERROR(ROUND(AVERAGEIFS([1]!Resources[Fixed O&amp;M Cost],[1]!Resources[COD],"&lt;="&amp;AG$139,[1]!Resources[Retirement Date],"&gt;="&amp;AG$139,[1]!Resources[Unique Key],$G181,[1]!Resources[Summer Rating],"&gt;"&amp;0),2),0)*AG119/10^6</f>
        <v>0</v>
      </c>
      <c r="AI181" s="5" t="s">
        <v>85</v>
      </c>
      <c r="AJ181" s="6">
        <f>IFERROR(INDEX('[1]Technology Defaults'!$B$18:$AA$31,MATCH($AI181,'[1]Technology Defaults'!$A$18:$A$31,0),MATCH(AJ$139,'[1]Technology Defaults'!$B$17:$AA$17,0)),0)</f>
        <v>36789.488322311998</v>
      </c>
      <c r="AK181" s="6">
        <f>IFERROR(INDEX('[1]Technology Defaults'!$B$18:$AA$31,MATCH($AI181,'[1]Technology Defaults'!$A$18:$A$31,0),MATCH(AK$139,'[1]Technology Defaults'!$B$17:$AA$17,0)),0)</f>
        <v>34787.279481563361</v>
      </c>
      <c r="AL181" s="6">
        <f>IFERROR(INDEX('[1]Technology Defaults'!$B$18:$AA$31,MATCH($AI181,'[1]Technology Defaults'!$A$18:$A$31,0),MATCH(AL$139,'[1]Technology Defaults'!$B$17:$AA$17,0)),0)</f>
        <v>32785.070640814753</v>
      </c>
      <c r="AM181" s="6">
        <f>IFERROR(INDEX('[1]Technology Defaults'!$B$18:$AA$31,MATCH($AI181,'[1]Technology Defaults'!$A$18:$A$31,0),MATCH(AM$139,'[1]Technology Defaults'!$B$17:$AA$17,0)),0)</f>
        <v>30782.861800066144</v>
      </c>
      <c r="AN181" s="6">
        <f>IFERROR(INDEX('[1]Technology Defaults'!$B$18:$AA$31,MATCH($AI181,'[1]Technology Defaults'!$A$18:$A$31,0),MATCH(AN$139,'[1]Technology Defaults'!$B$17:$AA$17,0)),0)</f>
        <v>28780.652959317507</v>
      </c>
      <c r="AO181" s="6">
        <f>IFERROR(INDEX('[1]Technology Defaults'!$B$18:$AA$31,MATCH($AI181,'[1]Technology Defaults'!$A$18:$A$31,0),MATCH(AO$139,'[1]Technology Defaults'!$B$17:$AA$17,0)),0)</f>
        <v>26778.444118568899</v>
      </c>
      <c r="AP181" s="6">
        <f>IFERROR(INDEX('[1]Technology Defaults'!$B$18:$AA$31,MATCH($AI181,'[1]Technology Defaults'!$A$18:$A$31,0),MATCH(AP$139,'[1]Technology Defaults'!$B$17:$AA$17,0)),0)</f>
        <v>25868.185911824268</v>
      </c>
      <c r="AQ181" s="6">
        <f>IFERROR(INDEX('[1]Technology Defaults'!$B$18:$AA$31,MATCH($AI181,'[1]Technology Defaults'!$A$18:$A$31,0),MATCH(AQ$139,'[1]Technology Defaults'!$B$17:$AA$17,0)),0)</f>
        <v>24957.927642955496</v>
      </c>
      <c r="AR181" s="6">
        <f>IFERROR(INDEX('[1]Technology Defaults'!$B$18:$AA$31,MATCH($AI181,'[1]Technology Defaults'!$A$18:$A$31,0),MATCH(AR$139,'[1]Technology Defaults'!$B$17:$AA$17,0)),0)</f>
        <v>24047.669436210897</v>
      </c>
      <c r="AS181" s="6">
        <f>IFERROR(INDEX('[1]Technology Defaults'!$B$18:$AA$31,MATCH($AI181,'[1]Technology Defaults'!$A$18:$A$31,0),MATCH(AS$139,'[1]Technology Defaults'!$B$17:$AA$17,0)),0)</f>
        <v>23137.411229466237</v>
      </c>
      <c r="AT181" s="6">
        <f>IFERROR(INDEX('[1]Technology Defaults'!$B$18:$AA$31,MATCH($AI181,'[1]Technology Defaults'!$A$18:$A$31,0),MATCH(AT$139,'[1]Technology Defaults'!$B$17:$AA$17,0)),0)</f>
        <v>22227.153022721639</v>
      </c>
      <c r="AU181" s="6">
        <f>IFERROR(INDEX('[1]Technology Defaults'!$B$18:$AA$31,MATCH($AI181,'[1]Technology Defaults'!$A$18:$A$31,0),MATCH(AU$139,'[1]Technology Defaults'!$B$17:$AA$17,0)),0)</f>
        <v>21316.894815977008</v>
      </c>
      <c r="AV181" s="6">
        <f>IFERROR(INDEX('[1]Technology Defaults'!$B$18:$AA$31,MATCH($AI181,'[1]Technology Defaults'!$A$18:$A$31,0),MATCH(AV$139,'[1]Technology Defaults'!$B$17:$AA$17,0)),0)</f>
        <v>20406.636609232381</v>
      </c>
      <c r="AW181" s="6">
        <f>IFERROR(INDEX('[1]Technology Defaults'!$B$18:$AA$31,MATCH($AI181,'[1]Technology Defaults'!$A$18:$A$31,0),MATCH(AW$139,'[1]Technology Defaults'!$B$17:$AA$17,0)),0)</f>
        <v>19496.378340363604</v>
      </c>
      <c r="AX181" s="6">
        <f>IFERROR(INDEX('[1]Technology Defaults'!$B$18:$AA$31,MATCH($AI181,'[1]Technology Defaults'!$A$18:$A$31,0),MATCH(AX$139,'[1]Technology Defaults'!$B$17:$AA$17,0)),0)</f>
        <v>18586.120133619006</v>
      </c>
      <c r="AY181" s="6">
        <f>IFERROR(INDEX('[1]Technology Defaults'!$B$18:$AA$31,MATCH($AI181,'[1]Technology Defaults'!$A$18:$A$31,0),MATCH(AY$139,'[1]Technology Defaults'!$B$17:$AA$17,0)),0)</f>
        <v>17675.861926874346</v>
      </c>
      <c r="AZ181" s="6">
        <f>IFERROR(INDEX('[1]Technology Defaults'!$B$18:$AA$31,MATCH($AI181,'[1]Technology Defaults'!$A$18:$A$31,0),MATCH(AZ$139,'[1]Technology Defaults'!$B$17:$AA$17,0)),0)</f>
        <v>16765.603720129719</v>
      </c>
      <c r="BA181" s="6">
        <f>IFERROR(INDEX('[1]Technology Defaults'!$B$18:$AA$31,MATCH($AI181,'[1]Technology Defaults'!$A$18:$A$31,0),MATCH(BA$139,'[1]Technology Defaults'!$B$17:$AA$17,0)),0)</f>
        <v>15855.345513385117</v>
      </c>
      <c r="BB181" s="6">
        <f>IFERROR(INDEX('[1]Technology Defaults'!$B$18:$AA$31,MATCH($AI181,'[1]Technology Defaults'!$A$18:$A$31,0),MATCH(BB$139,'[1]Technology Defaults'!$B$17:$AA$17,0)),0)</f>
        <v>14945.087306640487</v>
      </c>
      <c r="BC181" s="6">
        <f>IFERROR(INDEX('[1]Technology Defaults'!$B$18:$AA$31,MATCH($AI181,'[1]Technology Defaults'!$A$18:$A$31,0),MATCH(BC$139,'[1]Technology Defaults'!$B$17:$AA$17,0)),0)</f>
        <v>14034.829037771715</v>
      </c>
      <c r="BD181" s="6">
        <f>IFERROR(INDEX('[1]Technology Defaults'!$B$18:$AA$31,MATCH($AI181,'[1]Technology Defaults'!$A$18:$A$31,0),MATCH(BD$139,'[1]Technology Defaults'!$B$17:$AA$17,0)),0)</f>
        <v>13124.570831027115</v>
      </c>
      <c r="BE181" s="6">
        <f>IFERROR(INDEX('[1]Technology Defaults'!$B$18:$AA$31,MATCH($AI181,'[1]Technology Defaults'!$A$18:$A$31,0),MATCH(BE$139,'[1]Technology Defaults'!$B$17:$AA$17,0)),0)</f>
        <v>12214.312624282486</v>
      </c>
      <c r="BF181" s="6">
        <f>IFERROR(INDEX('[1]Technology Defaults'!$B$18:$AA$31,MATCH($AI181,'[1]Technology Defaults'!$A$18:$A$31,0),MATCH(BF$139,'[1]Technology Defaults'!$B$17:$AA$17,0)),0)</f>
        <v>11304.054417537827</v>
      </c>
      <c r="BG181" s="6">
        <f>IFERROR(INDEX('[1]Technology Defaults'!$B$18:$AA$31,MATCH($AI181,'[1]Technology Defaults'!$A$18:$A$31,0),MATCH(BG$139,'[1]Technology Defaults'!$B$17:$AA$17,0)),0)</f>
        <v>10393.796210793227</v>
      </c>
      <c r="BH181" s="6">
        <f>IFERROR(INDEX('[1]Technology Defaults'!$B$18:$AA$31,MATCH($AI181,'[1]Technology Defaults'!$A$18:$A$31,0),MATCH(BH$139,'[1]Technology Defaults'!$B$17:$AA$17,0)),0)</f>
        <v>9483.5380040485834</v>
      </c>
      <c r="BI181" s="6">
        <f>IFERROR(INDEX('[1]Technology Defaults'!$B$18:$AA$31,MATCH($AI181,'[1]Technology Defaults'!$A$18:$A$31,0),MATCH(BI$139,'[1]Technology Defaults'!$B$17:$AA$17,0)),0)</f>
        <v>8573.2797351798235</v>
      </c>
    </row>
    <row r="182" spans="7:61" ht="16" x14ac:dyDescent="0.2">
      <c r="G182" s="5" t="s">
        <v>86</v>
      </c>
      <c r="H182" s="6">
        <f>IFERROR(ROUND(AVERAGEIFS([1]!Resources[Fixed O&amp;M Cost],[1]!Resources[COD],"&lt;="&amp;H$139,[1]!Resources[Retirement Date],"&gt;="&amp;H$139,[1]!Resources[Unique Key],$G182,[1]!Resources[Summer Rating],"&gt;"&amp;0),2),0)*H120/10^6</f>
        <v>0</v>
      </c>
      <c r="I182" s="6">
        <f>IFERROR(ROUND(AVERAGEIFS([1]!Resources[Fixed O&amp;M Cost],[1]!Resources[COD],"&lt;="&amp;I$139,[1]!Resources[Retirement Date],"&gt;="&amp;I$139,[1]!Resources[Unique Key],$G182,[1]!Resources[Summer Rating],"&gt;"&amp;0),2),0)*I120/10^6</f>
        <v>0</v>
      </c>
      <c r="J182" s="6">
        <f>IFERROR(ROUND(AVERAGEIFS([1]!Resources[Fixed O&amp;M Cost],[1]!Resources[COD],"&lt;="&amp;J$139,[1]!Resources[Retirement Date],"&gt;="&amp;J$139,[1]!Resources[Unique Key],$G182,[1]!Resources[Summer Rating],"&gt;"&amp;0),2),0)*J120/10^6</f>
        <v>0</v>
      </c>
      <c r="K182" s="6">
        <f>IFERROR(ROUND(AVERAGEIFS([1]!Resources[Fixed O&amp;M Cost],[1]!Resources[COD],"&lt;="&amp;K$139,[1]!Resources[Retirement Date],"&gt;="&amp;K$139,[1]!Resources[Unique Key],$G182,[1]!Resources[Summer Rating],"&gt;"&amp;0),2),0)*K120/10^6</f>
        <v>0</v>
      </c>
      <c r="L182" s="6">
        <f>IFERROR(ROUND(AVERAGEIFS([1]!Resources[Fixed O&amp;M Cost],[1]!Resources[COD],"&lt;="&amp;L$139,[1]!Resources[Retirement Date],"&gt;="&amp;L$139,[1]!Resources[Unique Key],$G182,[1]!Resources[Summer Rating],"&gt;"&amp;0),2),0)*L120/10^6</f>
        <v>0</v>
      </c>
      <c r="M182" s="6">
        <f>IFERROR(ROUND(AVERAGEIFS([1]!Resources[Fixed O&amp;M Cost],[1]!Resources[COD],"&lt;="&amp;M$139,[1]!Resources[Retirement Date],"&gt;="&amp;M$139,[1]!Resources[Unique Key],$G182,[1]!Resources[Summer Rating],"&gt;"&amp;0),2),0)*M120/10^6</f>
        <v>0</v>
      </c>
      <c r="N182" s="6">
        <f>IFERROR(ROUND(AVERAGEIFS([1]!Resources[Fixed O&amp;M Cost],[1]!Resources[COD],"&lt;="&amp;N$139,[1]!Resources[Retirement Date],"&gt;="&amp;N$139,[1]!Resources[Unique Key],$G182,[1]!Resources[Summer Rating],"&gt;"&amp;0),2),0)*N120/10^6</f>
        <v>0</v>
      </c>
      <c r="O182" s="6">
        <f>IFERROR(ROUND(AVERAGEIFS([1]!Resources[Fixed O&amp;M Cost],[1]!Resources[COD],"&lt;="&amp;O$139,[1]!Resources[Retirement Date],"&gt;="&amp;O$139,[1]!Resources[Unique Key],$G182,[1]!Resources[Summer Rating],"&gt;"&amp;0),2),0)*O120/10^6</f>
        <v>0</v>
      </c>
      <c r="P182" s="6">
        <f>IFERROR(ROUND(AVERAGEIFS([1]!Resources[Fixed O&amp;M Cost],[1]!Resources[COD],"&lt;="&amp;P$139,[1]!Resources[Retirement Date],"&gt;="&amp;P$139,[1]!Resources[Unique Key],$G182,[1]!Resources[Summer Rating],"&gt;"&amp;0),2),0)*P120/10^6</f>
        <v>0</v>
      </c>
      <c r="Q182" s="6">
        <f>IFERROR(ROUND(AVERAGEIFS([1]!Resources[Fixed O&amp;M Cost],[1]!Resources[COD],"&lt;="&amp;Q$139,[1]!Resources[Retirement Date],"&gt;="&amp;Q$139,[1]!Resources[Unique Key],$G182,[1]!Resources[Summer Rating],"&gt;"&amp;0),2),0)*Q120/10^6</f>
        <v>0</v>
      </c>
      <c r="R182" s="6">
        <f>IFERROR(ROUND(AVERAGEIFS([1]!Resources[Fixed O&amp;M Cost],[1]!Resources[COD],"&lt;="&amp;R$139,[1]!Resources[Retirement Date],"&gt;="&amp;R$139,[1]!Resources[Unique Key],$G182,[1]!Resources[Summer Rating],"&gt;"&amp;0),2),0)*R120/10^6</f>
        <v>0</v>
      </c>
      <c r="S182" s="6">
        <f>IFERROR(ROUND(AVERAGEIFS([1]!Resources[Fixed O&amp;M Cost],[1]!Resources[COD],"&lt;="&amp;S$139,[1]!Resources[Retirement Date],"&gt;="&amp;S$139,[1]!Resources[Unique Key],$G182,[1]!Resources[Summer Rating],"&gt;"&amp;0),2),0)*S120/10^6</f>
        <v>0</v>
      </c>
      <c r="T182" s="6">
        <f>IFERROR(ROUND(AVERAGEIFS([1]!Resources[Fixed O&amp;M Cost],[1]!Resources[COD],"&lt;="&amp;T$139,[1]!Resources[Retirement Date],"&gt;="&amp;T$139,[1]!Resources[Unique Key],$G182,[1]!Resources[Summer Rating],"&gt;"&amp;0),2),0)*T120/10^6</f>
        <v>0</v>
      </c>
      <c r="U182" s="6">
        <f>IFERROR(ROUND(AVERAGEIFS([1]!Resources[Fixed O&amp;M Cost],[1]!Resources[COD],"&lt;="&amp;U$139,[1]!Resources[Retirement Date],"&gt;="&amp;U$139,[1]!Resources[Unique Key],$G182,[1]!Resources[Summer Rating],"&gt;"&amp;0),2),0)*U120/10^6</f>
        <v>0</v>
      </c>
      <c r="V182" s="6">
        <f>IFERROR(ROUND(AVERAGEIFS([1]!Resources[Fixed O&amp;M Cost],[1]!Resources[COD],"&lt;="&amp;V$139,[1]!Resources[Retirement Date],"&gt;="&amp;V$139,[1]!Resources[Unique Key],$G182,[1]!Resources[Summer Rating],"&gt;"&amp;0),2),0)*V120/10^6</f>
        <v>0</v>
      </c>
      <c r="W182" s="6">
        <f>IFERROR(ROUND(AVERAGEIFS([1]!Resources[Fixed O&amp;M Cost],[1]!Resources[COD],"&lt;="&amp;W$139,[1]!Resources[Retirement Date],"&gt;="&amp;W$139,[1]!Resources[Unique Key],$G182,[1]!Resources[Summer Rating],"&gt;"&amp;0),2),0)*W120/10^6</f>
        <v>0</v>
      </c>
      <c r="X182" s="6">
        <f>IFERROR(ROUND(AVERAGEIFS([1]!Resources[Fixed O&amp;M Cost],[1]!Resources[COD],"&lt;="&amp;X$139,[1]!Resources[Retirement Date],"&gt;="&amp;X$139,[1]!Resources[Unique Key],$G182,[1]!Resources[Summer Rating],"&gt;"&amp;0),2),0)*X120/10^6</f>
        <v>0</v>
      </c>
      <c r="Y182" s="6">
        <f>IFERROR(ROUND(AVERAGEIFS([1]!Resources[Fixed O&amp;M Cost],[1]!Resources[COD],"&lt;="&amp;Y$139,[1]!Resources[Retirement Date],"&gt;="&amp;Y$139,[1]!Resources[Unique Key],$G182,[1]!Resources[Summer Rating],"&gt;"&amp;0),2),0)*Y120/10^6</f>
        <v>0</v>
      </c>
      <c r="Z182" s="6">
        <f>IFERROR(ROUND(AVERAGEIFS([1]!Resources[Fixed O&amp;M Cost],[1]!Resources[COD],"&lt;="&amp;Z$139,[1]!Resources[Retirement Date],"&gt;="&amp;Z$139,[1]!Resources[Unique Key],$G182,[1]!Resources[Summer Rating],"&gt;"&amp;0),2),0)*Z120/10^6</f>
        <v>0</v>
      </c>
      <c r="AA182" s="6">
        <f>IFERROR(ROUND(AVERAGEIFS([1]!Resources[Fixed O&amp;M Cost],[1]!Resources[COD],"&lt;="&amp;AA$139,[1]!Resources[Retirement Date],"&gt;="&amp;AA$139,[1]!Resources[Unique Key],$G182,[1]!Resources[Summer Rating],"&gt;"&amp;0),2),0)*AA120/10^6</f>
        <v>0</v>
      </c>
      <c r="AB182" s="6">
        <f>IFERROR(ROUND(AVERAGEIFS([1]!Resources[Fixed O&amp;M Cost],[1]!Resources[COD],"&lt;="&amp;AB$139,[1]!Resources[Retirement Date],"&gt;="&amp;AB$139,[1]!Resources[Unique Key],$G182,[1]!Resources[Summer Rating],"&gt;"&amp;0),2),0)*AB120/10^6</f>
        <v>0</v>
      </c>
      <c r="AC182" s="6">
        <f>IFERROR(ROUND(AVERAGEIFS([1]!Resources[Fixed O&amp;M Cost],[1]!Resources[COD],"&lt;="&amp;AC$139,[1]!Resources[Retirement Date],"&gt;="&amp;AC$139,[1]!Resources[Unique Key],$G182,[1]!Resources[Summer Rating],"&gt;"&amp;0),2),0)*AC120/10^6</f>
        <v>0</v>
      </c>
      <c r="AD182" s="6">
        <f>IFERROR(ROUND(AVERAGEIFS([1]!Resources[Fixed O&amp;M Cost],[1]!Resources[COD],"&lt;="&amp;AD$139,[1]!Resources[Retirement Date],"&gt;="&amp;AD$139,[1]!Resources[Unique Key],$G182,[1]!Resources[Summer Rating],"&gt;"&amp;0),2),0)*AD120/10^6</f>
        <v>0</v>
      </c>
      <c r="AE182" s="6">
        <f>IFERROR(ROUND(AVERAGEIFS([1]!Resources[Fixed O&amp;M Cost],[1]!Resources[COD],"&lt;="&amp;AE$139,[1]!Resources[Retirement Date],"&gt;="&amp;AE$139,[1]!Resources[Unique Key],$G182,[1]!Resources[Summer Rating],"&gt;"&amp;0),2),0)*AE120/10^6</f>
        <v>0</v>
      </c>
      <c r="AF182" s="6">
        <f>IFERROR(ROUND(AVERAGEIFS([1]!Resources[Fixed O&amp;M Cost],[1]!Resources[COD],"&lt;="&amp;AF$139,[1]!Resources[Retirement Date],"&gt;="&amp;AF$139,[1]!Resources[Unique Key],$G182,[1]!Resources[Summer Rating],"&gt;"&amp;0),2),0)*AF120/10^6</f>
        <v>0</v>
      </c>
      <c r="AG182" s="6">
        <f>IFERROR(ROUND(AVERAGEIFS([1]!Resources[Fixed O&amp;M Cost],[1]!Resources[COD],"&lt;="&amp;AG$139,[1]!Resources[Retirement Date],"&gt;="&amp;AG$139,[1]!Resources[Unique Key],$G182,[1]!Resources[Summer Rating],"&gt;"&amp;0),2),0)*AG120/10^6</f>
        <v>0</v>
      </c>
      <c r="AI182" s="5" t="s">
        <v>86</v>
      </c>
      <c r="AJ182" s="6">
        <f>IFERROR(INDEX('[1]Technology Defaults'!$B$18:$AA$31,MATCH($AI182,'[1]Technology Defaults'!$A$18:$A$31,0),MATCH(AJ$139,'[1]Technology Defaults'!$B$17:$AA$17,0)),0)</f>
        <v>27284.647197848317</v>
      </c>
      <c r="AK182" s="6">
        <f>IFERROR(INDEX('[1]Technology Defaults'!$B$18:$AA$31,MATCH($AI182,'[1]Technology Defaults'!$A$18:$A$31,0),MATCH(AK$139,'[1]Technology Defaults'!$B$17:$AA$17,0)),0)</f>
        <v>25282.438357099694</v>
      </c>
      <c r="AL182" s="6">
        <f>IFERROR(INDEX('[1]Technology Defaults'!$B$18:$AA$31,MATCH($AI182,'[1]Technology Defaults'!$A$18:$A$31,0),MATCH(AL$139,'[1]Technology Defaults'!$B$17:$AA$17,0)),0)</f>
        <v>23280.229516351086</v>
      </c>
      <c r="AM182" s="6">
        <f>IFERROR(INDEX('[1]Technology Defaults'!$B$18:$AA$31,MATCH($AI182,'[1]Technology Defaults'!$A$18:$A$31,0),MATCH(AM$139,'[1]Technology Defaults'!$B$17:$AA$17,0)),0)</f>
        <v>21278.020675602464</v>
      </c>
      <c r="AN182" s="6">
        <f>IFERROR(INDEX('[1]Technology Defaults'!$B$18:$AA$31,MATCH($AI182,'[1]Technology Defaults'!$A$18:$A$31,0),MATCH(AN$139,'[1]Technology Defaults'!$B$17:$AA$17,0)),0)</f>
        <v>19275.811834853841</v>
      </c>
      <c r="AO182" s="6">
        <f>IFERROR(INDEX('[1]Technology Defaults'!$B$18:$AA$31,MATCH($AI182,'[1]Technology Defaults'!$A$18:$A$31,0),MATCH(AO$139,'[1]Technology Defaults'!$B$17:$AA$17,0)),0)</f>
        <v>17273.602994105218</v>
      </c>
      <c r="AP182" s="6">
        <f>IFERROR(INDEX('[1]Technology Defaults'!$B$18:$AA$31,MATCH($AI182,'[1]Technology Defaults'!$A$18:$A$31,0),MATCH(AP$139,'[1]Technology Defaults'!$B$17:$AA$17,0)),0)</f>
        <v>16363.344787360589</v>
      </c>
      <c r="AQ182" s="6">
        <f>IFERROR(INDEX('[1]Technology Defaults'!$B$18:$AA$31,MATCH($AI182,'[1]Technology Defaults'!$A$18:$A$31,0),MATCH(AQ$139,'[1]Technology Defaults'!$B$17:$AA$17,0)),0)</f>
        <v>15453.086518491829</v>
      </c>
      <c r="AR182" s="6">
        <f>IFERROR(INDEX('[1]Technology Defaults'!$B$18:$AA$31,MATCH($AI182,'[1]Technology Defaults'!$A$18:$A$31,0),MATCH(AR$139,'[1]Technology Defaults'!$B$17:$AA$17,0)),0)</f>
        <v>14542.828311747215</v>
      </c>
      <c r="AS182" s="6">
        <f>IFERROR(INDEX('[1]Technology Defaults'!$B$18:$AA$31,MATCH($AI182,'[1]Technology Defaults'!$A$18:$A$31,0),MATCH(AS$139,'[1]Technology Defaults'!$B$17:$AA$17,0)),0)</f>
        <v>13632.570105002571</v>
      </c>
      <c r="AT182" s="6">
        <f>IFERROR(INDEX('[1]Technology Defaults'!$B$18:$AA$31,MATCH($AI182,'[1]Technology Defaults'!$A$18:$A$31,0),MATCH(AT$139,'[1]Technology Defaults'!$B$17:$AA$17,0)),0)</f>
        <v>12722.311898257956</v>
      </c>
      <c r="AU182" s="6">
        <f>IFERROR(INDEX('[1]Technology Defaults'!$B$18:$AA$31,MATCH($AI182,'[1]Technology Defaults'!$A$18:$A$31,0),MATCH(AU$139,'[1]Technology Defaults'!$B$17:$AA$17,0)),0)</f>
        <v>11812.053691513342</v>
      </c>
      <c r="AV182" s="6">
        <f>IFERROR(INDEX('[1]Technology Defaults'!$B$18:$AA$31,MATCH($AI182,'[1]Technology Defaults'!$A$18:$A$31,0),MATCH(AV$139,'[1]Technology Defaults'!$B$17:$AA$17,0)),0)</f>
        <v>10901.795484768698</v>
      </c>
      <c r="AW182" s="6">
        <f>IFERROR(INDEX('[1]Technology Defaults'!$B$18:$AA$31,MATCH($AI182,'[1]Technology Defaults'!$A$18:$A$31,0),MATCH(AW$139,'[1]Technology Defaults'!$B$17:$AA$17,0)),0)</f>
        <v>9991.537215899938</v>
      </c>
      <c r="AX182" s="6">
        <f>IFERROR(INDEX('[1]Technology Defaults'!$B$18:$AA$31,MATCH($AI182,'[1]Technology Defaults'!$A$18:$A$31,0),MATCH(AX$139,'[1]Technology Defaults'!$B$17:$AA$17,0)),0)</f>
        <v>9081.2790091553234</v>
      </c>
      <c r="AY182" s="6">
        <f>IFERROR(INDEX('[1]Technology Defaults'!$B$18:$AA$31,MATCH($AI182,'[1]Technology Defaults'!$A$18:$A$31,0),MATCH(AY$139,'[1]Technology Defaults'!$B$17:$AA$17,0)),0)</f>
        <v>8171.0208024106805</v>
      </c>
      <c r="AZ182" s="6">
        <f>IFERROR(INDEX('[1]Technology Defaults'!$B$18:$AA$31,MATCH($AI182,'[1]Technology Defaults'!$A$18:$A$31,0),MATCH(AZ$139,'[1]Technology Defaults'!$B$17:$AA$17,0)),0)</f>
        <v>7260.7625956660513</v>
      </c>
      <c r="BA182" s="6">
        <f>IFERROR(INDEX('[1]Technology Defaults'!$B$18:$AA$31,MATCH($AI182,'[1]Technology Defaults'!$A$18:$A$31,0),MATCH(BA$139,'[1]Technology Defaults'!$B$17:$AA$17,0)),0)</f>
        <v>6350.5043889214503</v>
      </c>
      <c r="BB182" s="6">
        <f>IFERROR(INDEX('[1]Technology Defaults'!$B$18:$AA$31,MATCH($AI182,'[1]Technology Defaults'!$A$18:$A$31,0),MATCH(BB$139,'[1]Technology Defaults'!$B$17:$AA$17,0)),0)</f>
        <v>5440.2461821768075</v>
      </c>
      <c r="BC182" s="6">
        <f>IFERROR(INDEX('[1]Technology Defaults'!$B$18:$AA$31,MATCH($AI182,'[1]Technology Defaults'!$A$18:$A$31,0),MATCH(BC$139,'[1]Technology Defaults'!$B$17:$AA$17,0)),0)</f>
        <v>4529.9879133080485</v>
      </c>
      <c r="BD182" s="6">
        <f>IFERROR(INDEX('[1]Technology Defaults'!$B$18:$AA$31,MATCH($AI182,'[1]Technology Defaults'!$A$18:$A$31,0),MATCH(BD$139,'[1]Technology Defaults'!$B$17:$AA$17,0)),0)</f>
        <v>3619.729706563433</v>
      </c>
      <c r="BE182" s="6">
        <f>IFERROR(INDEX('[1]Technology Defaults'!$B$18:$AA$31,MATCH($AI182,'[1]Technology Defaults'!$A$18:$A$31,0),MATCH(BE$139,'[1]Technology Defaults'!$B$17:$AA$17,0)),0)</f>
        <v>2709.4714998188037</v>
      </c>
      <c r="BF182" s="6">
        <f>IFERROR(INDEX('[1]Technology Defaults'!$B$18:$AA$31,MATCH($AI182,'[1]Technology Defaults'!$A$18:$A$31,0),MATCH(BF$139,'[1]Technology Defaults'!$B$17:$AA$17,0)),0)</f>
        <v>1799.2132930741604</v>
      </c>
      <c r="BG182" s="6">
        <f>IFERROR(INDEX('[1]Technology Defaults'!$B$18:$AA$31,MATCH($AI182,'[1]Technology Defaults'!$A$18:$A$31,0),MATCH(BG$139,'[1]Technology Defaults'!$B$17:$AA$17,0)),0)</f>
        <v>888.95508632954545</v>
      </c>
      <c r="BH182" s="6">
        <f>IFERROR(INDEX('[1]Technology Defaults'!$B$18:$AA$31,MATCH($AI182,'[1]Technology Defaults'!$A$18:$A$31,0),MATCH(BH$139,'[1]Technology Defaults'!$B$17:$AA$17,0)),0)</f>
        <v>-21.303120415097965</v>
      </c>
      <c r="BI182" s="6">
        <f>IFERROR(INDEX('[1]Technology Defaults'!$B$18:$AA$31,MATCH($AI182,'[1]Technology Defaults'!$A$18:$A$31,0),MATCH(BI$139,'[1]Technology Defaults'!$B$17:$AA$17,0)),0)</f>
        <v>-931.5613892838428</v>
      </c>
    </row>
    <row r="183" spans="7:61" ht="16" x14ac:dyDescent="0.2">
      <c r="G183" s="5" t="s">
        <v>87</v>
      </c>
      <c r="H183" s="6">
        <f>IFERROR(ROUND(AVERAGEIFS([1]!Resources[Fixed O&amp;M Cost],[1]!Resources[COD],"&lt;="&amp;H$139,[1]!Resources[Retirement Date],"&gt;="&amp;H$139,[1]!Resources[Unique Key],$G183,[1]!Resources[Summer Rating],"&gt;"&amp;0),2),0)*H121/10^6</f>
        <v>0</v>
      </c>
      <c r="I183" s="6">
        <f>IFERROR(ROUND(AVERAGEIFS([1]!Resources[Fixed O&amp;M Cost],[1]!Resources[COD],"&lt;="&amp;I$139,[1]!Resources[Retirement Date],"&gt;="&amp;I$139,[1]!Resources[Unique Key],$G183,[1]!Resources[Summer Rating],"&gt;"&amp;0),2),0)*I121/10^6</f>
        <v>0</v>
      </c>
      <c r="J183" s="6">
        <f>IFERROR(ROUND(AVERAGEIFS([1]!Resources[Fixed O&amp;M Cost],[1]!Resources[COD],"&lt;="&amp;J$139,[1]!Resources[Retirement Date],"&gt;="&amp;J$139,[1]!Resources[Unique Key],$G183,[1]!Resources[Summer Rating],"&gt;"&amp;0),2),0)*J121/10^6</f>
        <v>0</v>
      </c>
      <c r="K183" s="6">
        <f>IFERROR(ROUND(AVERAGEIFS([1]!Resources[Fixed O&amp;M Cost],[1]!Resources[COD],"&lt;="&amp;K$139,[1]!Resources[Retirement Date],"&gt;="&amp;K$139,[1]!Resources[Unique Key],$G183,[1]!Resources[Summer Rating],"&gt;"&amp;0),2),0)*K121/10^6</f>
        <v>0</v>
      </c>
      <c r="L183" s="6">
        <f>IFERROR(ROUND(AVERAGEIFS([1]!Resources[Fixed O&amp;M Cost],[1]!Resources[COD],"&lt;="&amp;L$139,[1]!Resources[Retirement Date],"&gt;="&amp;L$139,[1]!Resources[Unique Key],$G183,[1]!Resources[Summer Rating],"&gt;"&amp;0),2),0)*L121/10^6</f>
        <v>0</v>
      </c>
      <c r="M183" s="6">
        <f>IFERROR(ROUND(AVERAGEIFS([1]!Resources[Fixed O&amp;M Cost],[1]!Resources[COD],"&lt;="&amp;M$139,[1]!Resources[Retirement Date],"&gt;="&amp;M$139,[1]!Resources[Unique Key],$G183,[1]!Resources[Summer Rating],"&gt;"&amp;0),2),0)*M121/10^6</f>
        <v>0</v>
      </c>
      <c r="N183" s="6">
        <f>IFERROR(ROUND(AVERAGEIFS([1]!Resources[Fixed O&amp;M Cost],[1]!Resources[COD],"&lt;="&amp;N$139,[1]!Resources[Retirement Date],"&gt;="&amp;N$139,[1]!Resources[Unique Key],$G183,[1]!Resources[Summer Rating],"&gt;"&amp;0),2),0)*N121/10^6</f>
        <v>0</v>
      </c>
      <c r="O183" s="6">
        <f>IFERROR(ROUND(AVERAGEIFS([1]!Resources[Fixed O&amp;M Cost],[1]!Resources[COD],"&lt;="&amp;O$139,[1]!Resources[Retirement Date],"&gt;="&amp;O$139,[1]!Resources[Unique Key],$G183,[1]!Resources[Summer Rating],"&gt;"&amp;0),2),0)*O121/10^6</f>
        <v>0</v>
      </c>
      <c r="P183" s="6">
        <f>IFERROR(ROUND(AVERAGEIFS([1]!Resources[Fixed O&amp;M Cost],[1]!Resources[COD],"&lt;="&amp;P$139,[1]!Resources[Retirement Date],"&gt;="&amp;P$139,[1]!Resources[Unique Key],$G183,[1]!Resources[Summer Rating],"&gt;"&amp;0),2),0)*P121/10^6</f>
        <v>0</v>
      </c>
      <c r="Q183" s="6">
        <f>IFERROR(ROUND(AVERAGEIFS([1]!Resources[Fixed O&amp;M Cost],[1]!Resources[COD],"&lt;="&amp;Q$139,[1]!Resources[Retirement Date],"&gt;="&amp;Q$139,[1]!Resources[Unique Key],$G183,[1]!Resources[Summer Rating],"&gt;"&amp;0),2),0)*Q121/10^6</f>
        <v>0</v>
      </c>
      <c r="R183" s="6">
        <f>IFERROR(ROUND(AVERAGEIFS([1]!Resources[Fixed O&amp;M Cost],[1]!Resources[COD],"&lt;="&amp;R$139,[1]!Resources[Retirement Date],"&gt;="&amp;R$139,[1]!Resources[Unique Key],$G183,[1]!Resources[Summer Rating],"&gt;"&amp;0),2),0)*R121/10^6</f>
        <v>0</v>
      </c>
      <c r="S183" s="6">
        <f>IFERROR(ROUND(AVERAGEIFS([1]!Resources[Fixed O&amp;M Cost],[1]!Resources[COD],"&lt;="&amp;S$139,[1]!Resources[Retirement Date],"&gt;="&amp;S$139,[1]!Resources[Unique Key],$G183,[1]!Resources[Summer Rating],"&gt;"&amp;0),2),0)*S121/10^6</f>
        <v>0</v>
      </c>
      <c r="T183" s="6">
        <f>IFERROR(ROUND(AVERAGEIFS([1]!Resources[Fixed O&amp;M Cost],[1]!Resources[COD],"&lt;="&amp;T$139,[1]!Resources[Retirement Date],"&gt;="&amp;T$139,[1]!Resources[Unique Key],$G183,[1]!Resources[Summer Rating],"&gt;"&amp;0),2),0)*T121/10^6</f>
        <v>0</v>
      </c>
      <c r="U183" s="6">
        <f>IFERROR(ROUND(AVERAGEIFS([1]!Resources[Fixed O&amp;M Cost],[1]!Resources[COD],"&lt;="&amp;U$139,[1]!Resources[Retirement Date],"&gt;="&amp;U$139,[1]!Resources[Unique Key],$G183,[1]!Resources[Summer Rating],"&gt;"&amp;0),2),0)*U121/10^6</f>
        <v>0</v>
      </c>
      <c r="V183" s="6">
        <f>IFERROR(ROUND(AVERAGEIFS([1]!Resources[Fixed O&amp;M Cost],[1]!Resources[COD],"&lt;="&amp;V$139,[1]!Resources[Retirement Date],"&gt;="&amp;V$139,[1]!Resources[Unique Key],$G183,[1]!Resources[Summer Rating],"&gt;"&amp;0),2),0)*V121/10^6</f>
        <v>0</v>
      </c>
      <c r="W183" s="6">
        <f>IFERROR(ROUND(AVERAGEIFS([1]!Resources[Fixed O&amp;M Cost],[1]!Resources[COD],"&lt;="&amp;W$139,[1]!Resources[Retirement Date],"&gt;="&amp;W$139,[1]!Resources[Unique Key],$G183,[1]!Resources[Summer Rating],"&gt;"&amp;0),2),0)*W121/10^6</f>
        <v>0</v>
      </c>
      <c r="X183" s="6">
        <f>IFERROR(ROUND(AVERAGEIFS([1]!Resources[Fixed O&amp;M Cost],[1]!Resources[COD],"&lt;="&amp;X$139,[1]!Resources[Retirement Date],"&gt;="&amp;X$139,[1]!Resources[Unique Key],$G183,[1]!Resources[Summer Rating],"&gt;"&amp;0),2),0)*X121/10^6</f>
        <v>0</v>
      </c>
      <c r="Y183" s="6">
        <f>IFERROR(ROUND(AVERAGEIFS([1]!Resources[Fixed O&amp;M Cost],[1]!Resources[COD],"&lt;="&amp;Y$139,[1]!Resources[Retirement Date],"&gt;="&amp;Y$139,[1]!Resources[Unique Key],$G183,[1]!Resources[Summer Rating],"&gt;"&amp;0),2),0)*Y121/10^6</f>
        <v>0</v>
      </c>
      <c r="Z183" s="6">
        <f>IFERROR(ROUND(AVERAGEIFS([1]!Resources[Fixed O&amp;M Cost],[1]!Resources[COD],"&lt;="&amp;Z$139,[1]!Resources[Retirement Date],"&gt;="&amp;Z$139,[1]!Resources[Unique Key],$G183,[1]!Resources[Summer Rating],"&gt;"&amp;0),2),0)*Z121/10^6</f>
        <v>0</v>
      </c>
      <c r="AA183" s="6">
        <f>IFERROR(ROUND(AVERAGEIFS([1]!Resources[Fixed O&amp;M Cost],[1]!Resources[COD],"&lt;="&amp;AA$139,[1]!Resources[Retirement Date],"&gt;="&amp;AA$139,[1]!Resources[Unique Key],$G183,[1]!Resources[Summer Rating],"&gt;"&amp;0),2),0)*AA121/10^6</f>
        <v>0</v>
      </c>
      <c r="AB183" s="6">
        <f>IFERROR(ROUND(AVERAGEIFS([1]!Resources[Fixed O&amp;M Cost],[1]!Resources[COD],"&lt;="&amp;AB$139,[1]!Resources[Retirement Date],"&gt;="&amp;AB$139,[1]!Resources[Unique Key],$G183,[1]!Resources[Summer Rating],"&gt;"&amp;0),2),0)*AB121/10^6</f>
        <v>0</v>
      </c>
      <c r="AC183" s="6">
        <f>IFERROR(ROUND(AVERAGEIFS([1]!Resources[Fixed O&amp;M Cost],[1]!Resources[COD],"&lt;="&amp;AC$139,[1]!Resources[Retirement Date],"&gt;="&amp;AC$139,[1]!Resources[Unique Key],$G183,[1]!Resources[Summer Rating],"&gt;"&amp;0),2),0)*AC121/10^6</f>
        <v>0</v>
      </c>
      <c r="AD183" s="6">
        <f>IFERROR(ROUND(AVERAGEIFS([1]!Resources[Fixed O&amp;M Cost],[1]!Resources[COD],"&lt;="&amp;AD$139,[1]!Resources[Retirement Date],"&gt;="&amp;AD$139,[1]!Resources[Unique Key],$G183,[1]!Resources[Summer Rating],"&gt;"&amp;0),2),0)*AD121/10^6</f>
        <v>0</v>
      </c>
      <c r="AE183" s="6">
        <f>IFERROR(ROUND(AVERAGEIFS([1]!Resources[Fixed O&amp;M Cost],[1]!Resources[COD],"&lt;="&amp;AE$139,[1]!Resources[Retirement Date],"&gt;="&amp;AE$139,[1]!Resources[Unique Key],$G183,[1]!Resources[Summer Rating],"&gt;"&amp;0),2),0)*AE121/10^6</f>
        <v>0</v>
      </c>
      <c r="AF183" s="6">
        <f>IFERROR(ROUND(AVERAGEIFS([1]!Resources[Fixed O&amp;M Cost],[1]!Resources[COD],"&lt;="&amp;AF$139,[1]!Resources[Retirement Date],"&gt;="&amp;AF$139,[1]!Resources[Unique Key],$G183,[1]!Resources[Summer Rating],"&gt;"&amp;0),2),0)*AF121/10^6</f>
        <v>0</v>
      </c>
      <c r="AG183" s="6">
        <f>IFERROR(ROUND(AVERAGEIFS([1]!Resources[Fixed O&amp;M Cost],[1]!Resources[COD],"&lt;="&amp;AG$139,[1]!Resources[Retirement Date],"&gt;="&amp;AG$139,[1]!Resources[Unique Key],$G183,[1]!Resources[Summer Rating],"&gt;"&amp;0),2),0)*AG121/10^6</f>
        <v>0</v>
      </c>
      <c r="AI183" s="5" t="s">
        <v>87</v>
      </c>
      <c r="AJ183" s="6">
        <f>IFERROR(INDEX('[1]Technology Defaults'!$B$18:$AA$31,MATCH($AI183,'[1]Technology Defaults'!$A$18:$A$31,0),MATCH(AJ$139,'[1]Technology Defaults'!$B$17:$AA$17,0)),0)</f>
        <v>59031.774600479548</v>
      </c>
      <c r="AK183" s="6">
        <f>IFERROR(INDEX('[1]Technology Defaults'!$B$18:$AA$31,MATCH($AI183,'[1]Technology Defaults'!$A$18:$A$31,0),MATCH(AK$139,'[1]Technology Defaults'!$B$17:$AA$17,0)),0)</f>
        <v>55406.428663091931</v>
      </c>
      <c r="AL183" s="6">
        <f>IFERROR(INDEX('[1]Technology Defaults'!$B$18:$AA$31,MATCH($AI183,'[1]Technology Defaults'!$A$18:$A$31,0),MATCH(AL$139,'[1]Technology Defaults'!$B$17:$AA$17,0)),0)</f>
        <v>51781.082788348838</v>
      </c>
      <c r="AM183" s="6">
        <f>IFERROR(INDEX('[1]Technology Defaults'!$B$18:$AA$31,MATCH($AI183,'[1]Technology Defaults'!$A$18:$A$31,0),MATCH(AM$139,'[1]Technology Defaults'!$B$17:$AA$17,0)),0)</f>
        <v>48155.736850961192</v>
      </c>
      <c r="AN183" s="6">
        <f>IFERROR(INDEX('[1]Technology Defaults'!$B$18:$AA$31,MATCH($AI183,'[1]Technology Defaults'!$A$18:$A$31,0),MATCH(AN$139,'[1]Technology Defaults'!$B$17:$AA$17,0)),0)</f>
        <v>44530.390913573581</v>
      </c>
      <c r="AO183" s="6">
        <f>IFERROR(INDEX('[1]Technology Defaults'!$B$18:$AA$31,MATCH($AI183,'[1]Technology Defaults'!$A$18:$A$31,0),MATCH(AO$139,'[1]Technology Defaults'!$B$17:$AA$17,0)),0)</f>
        <v>40905.044976185949</v>
      </c>
      <c r="AP183" s="6">
        <f>IFERROR(INDEX('[1]Technology Defaults'!$B$18:$AA$31,MATCH($AI183,'[1]Technology Defaults'!$A$18:$A$31,0),MATCH(AP$139,'[1]Technology Defaults'!$B$17:$AA$17,0)),0)</f>
        <v>37279.699101442842</v>
      </c>
      <c r="AQ183" s="6">
        <f>IFERROR(INDEX('[1]Technology Defaults'!$B$18:$AA$31,MATCH($AI183,'[1]Technology Defaults'!$A$18:$A$31,0),MATCH(AQ$139,'[1]Technology Defaults'!$B$17:$AA$17,0)),0)</f>
        <v>33654.353164055225</v>
      </c>
      <c r="AR183" s="6">
        <f>IFERROR(INDEX('[1]Technology Defaults'!$B$18:$AA$31,MATCH($AI183,'[1]Technology Defaults'!$A$18:$A$31,0),MATCH(AR$139,'[1]Technology Defaults'!$B$17:$AA$17,0)),0)</f>
        <v>30029.007226667589</v>
      </c>
      <c r="AS183" s="6">
        <f>IFERROR(INDEX('[1]Technology Defaults'!$B$18:$AA$31,MATCH($AI183,'[1]Technology Defaults'!$A$18:$A$31,0),MATCH(AS$139,'[1]Technology Defaults'!$B$17:$AA$17,0)),0)</f>
        <v>26403.661351924489</v>
      </c>
      <c r="AT183" s="6">
        <f>IFERROR(INDEX('[1]Technology Defaults'!$B$18:$AA$31,MATCH($AI183,'[1]Technology Defaults'!$A$18:$A$31,0),MATCH(AT$139,'[1]Technology Defaults'!$B$17:$AA$17,0)),0)</f>
        <v>22778.31541453685</v>
      </c>
      <c r="AU183" s="6">
        <f>IFERROR(INDEX('[1]Technology Defaults'!$B$18:$AA$31,MATCH($AI183,'[1]Technology Defaults'!$A$18:$A$31,0),MATCH(AU$139,'[1]Technology Defaults'!$B$17:$AA$17,0)),0)</f>
        <v>21891.165290256027</v>
      </c>
      <c r="AV183" s="6">
        <f>IFERROR(INDEX('[1]Technology Defaults'!$B$18:$AA$31,MATCH($AI183,'[1]Technology Defaults'!$A$18:$A$31,0),MATCH(AV$139,'[1]Technology Defaults'!$B$17:$AA$17,0)),0)</f>
        <v>21004.015228619737</v>
      </c>
      <c r="AW183" s="6">
        <f>IFERROR(INDEX('[1]Technology Defaults'!$B$18:$AA$31,MATCH($AI183,'[1]Technology Defaults'!$A$18:$A$31,0),MATCH(AW$139,'[1]Technology Defaults'!$B$17:$AA$17,0)),0)</f>
        <v>20116.8651043389</v>
      </c>
      <c r="AX183" s="6">
        <f>IFERROR(INDEX('[1]Technology Defaults'!$B$18:$AA$31,MATCH($AI183,'[1]Technology Defaults'!$A$18:$A$31,0),MATCH(AX$139,'[1]Technology Defaults'!$B$17:$AA$17,0)),0)</f>
        <v>19229.71504270261</v>
      </c>
      <c r="AY183" s="6">
        <f>IFERROR(INDEX('[1]Technology Defaults'!$B$18:$AA$31,MATCH($AI183,'[1]Technology Defaults'!$A$18:$A$31,0),MATCH(AY$139,'[1]Technology Defaults'!$B$17:$AA$17,0)),0)</f>
        <v>18342.564918421795</v>
      </c>
      <c r="AZ183" s="6">
        <f>IFERROR(INDEX('[1]Technology Defaults'!$B$18:$AA$31,MATCH($AI183,'[1]Technology Defaults'!$A$18:$A$31,0),MATCH(AZ$139,'[1]Technology Defaults'!$B$17:$AA$17,0)),0)</f>
        <v>17455.414856785494</v>
      </c>
      <c r="BA183" s="6">
        <f>IFERROR(INDEX('[1]Technology Defaults'!$B$18:$AA$31,MATCH($AI183,'[1]Technology Defaults'!$A$18:$A$31,0),MATCH(BA$139,'[1]Technology Defaults'!$B$17:$AA$17,0)),0)</f>
        <v>16568.264732504675</v>
      </c>
      <c r="BB183" s="6">
        <f>IFERROR(INDEX('[1]Technology Defaults'!$B$18:$AA$31,MATCH($AI183,'[1]Technology Defaults'!$A$18:$A$31,0),MATCH(BB$139,'[1]Technology Defaults'!$B$17:$AA$17,0)),0)</f>
        <v>15681.114670868383</v>
      </c>
      <c r="BC183" s="6">
        <f>IFERROR(INDEX('[1]Technology Defaults'!$B$18:$AA$31,MATCH($AI183,'[1]Technology Defaults'!$A$18:$A$31,0),MATCH(BC$139,'[1]Technology Defaults'!$B$17:$AA$17,0)),0)</f>
        <v>14793.964546587553</v>
      </c>
      <c r="BD183" s="6">
        <f>IFERROR(INDEX('[1]Technology Defaults'!$B$18:$AA$31,MATCH($AI183,'[1]Technology Defaults'!$A$18:$A$31,0),MATCH(BD$139,'[1]Technology Defaults'!$B$17:$AA$17,0)),0)</f>
        <v>13906.814484951263</v>
      </c>
      <c r="BE183" s="6">
        <f>IFERROR(INDEX('[1]Technology Defaults'!$B$18:$AA$31,MATCH($AI183,'[1]Technology Defaults'!$A$18:$A$31,0),MATCH(BE$139,'[1]Technology Defaults'!$B$17:$AA$17,0)),0)</f>
        <v>13019.66436067044</v>
      </c>
      <c r="BF183" s="6">
        <f>IFERROR(INDEX('[1]Technology Defaults'!$B$18:$AA$31,MATCH($AI183,'[1]Technology Defaults'!$A$18:$A$31,0),MATCH(BF$139,'[1]Technology Defaults'!$B$17:$AA$17,0)),0)</f>
        <v>12132.51423638961</v>
      </c>
      <c r="BG183" s="6">
        <f>IFERROR(INDEX('[1]Technology Defaults'!$B$18:$AA$31,MATCH($AI183,'[1]Technology Defaults'!$A$18:$A$31,0),MATCH(BG$139,'[1]Technology Defaults'!$B$17:$AA$17,0)),0)</f>
        <v>11245.364174753327</v>
      </c>
      <c r="BH183" s="6">
        <f>IFERROR(INDEX('[1]Technology Defaults'!$B$18:$AA$31,MATCH($AI183,'[1]Technology Defaults'!$A$18:$A$31,0),MATCH(BH$139,'[1]Technology Defaults'!$B$17:$AA$17,0)),0)</f>
        <v>10358.214050472498</v>
      </c>
      <c r="BI183" s="6">
        <f>IFERROR(INDEX('[1]Technology Defaults'!$B$18:$AA$31,MATCH($AI183,'[1]Technology Defaults'!$A$18:$A$31,0),MATCH(BI$139,'[1]Technology Defaults'!$B$17:$AA$17,0)),0)</f>
        <v>9471.0639888362002</v>
      </c>
    </row>
    <row r="184" spans="7:61" ht="16" x14ac:dyDescent="0.2">
      <c r="G184" s="5" t="s">
        <v>88</v>
      </c>
      <c r="H184" s="6">
        <f>IFERROR(ROUND(AVERAGEIFS([1]!Resources[Fixed O&amp;M Cost],[1]!Resources[COD],"&lt;="&amp;H$139,[1]!Resources[Retirement Date],"&gt;="&amp;H$139,[1]!Resources[Unique Key],$G184,[1]!Resources[Summer Rating],"&gt;"&amp;0),2),0)*H122/10^6</f>
        <v>0</v>
      </c>
      <c r="I184" s="6">
        <f>IFERROR(ROUND(AVERAGEIFS([1]!Resources[Fixed O&amp;M Cost],[1]!Resources[COD],"&lt;="&amp;I$139,[1]!Resources[Retirement Date],"&gt;="&amp;I$139,[1]!Resources[Unique Key],$G184,[1]!Resources[Summer Rating],"&gt;"&amp;0),2),0)*I122/10^6</f>
        <v>0</v>
      </c>
      <c r="J184" s="6">
        <f>IFERROR(ROUND(AVERAGEIFS([1]!Resources[Fixed O&amp;M Cost],[1]!Resources[COD],"&lt;="&amp;J$139,[1]!Resources[Retirement Date],"&gt;="&amp;J$139,[1]!Resources[Unique Key],$G184,[1]!Resources[Summer Rating],"&gt;"&amp;0),2),0)*J122/10^6</f>
        <v>0</v>
      </c>
      <c r="K184" s="6">
        <f>IFERROR(ROUND(AVERAGEIFS([1]!Resources[Fixed O&amp;M Cost],[1]!Resources[COD],"&lt;="&amp;K$139,[1]!Resources[Retirement Date],"&gt;="&amp;K$139,[1]!Resources[Unique Key],$G184,[1]!Resources[Summer Rating],"&gt;"&amp;0),2),0)*K122/10^6</f>
        <v>0</v>
      </c>
      <c r="L184" s="6">
        <f>IFERROR(ROUND(AVERAGEIFS([1]!Resources[Fixed O&amp;M Cost],[1]!Resources[COD],"&lt;="&amp;L$139,[1]!Resources[Retirement Date],"&gt;="&amp;L$139,[1]!Resources[Unique Key],$G184,[1]!Resources[Summer Rating],"&gt;"&amp;0),2),0)*L122/10^6</f>
        <v>0</v>
      </c>
      <c r="M184" s="6">
        <f>IFERROR(ROUND(AVERAGEIFS([1]!Resources[Fixed O&amp;M Cost],[1]!Resources[COD],"&lt;="&amp;M$139,[1]!Resources[Retirement Date],"&gt;="&amp;M$139,[1]!Resources[Unique Key],$G184,[1]!Resources[Summer Rating],"&gt;"&amp;0),2),0)*M122/10^6</f>
        <v>0</v>
      </c>
      <c r="N184" s="6">
        <f>IFERROR(ROUND(AVERAGEIFS([1]!Resources[Fixed O&amp;M Cost],[1]!Resources[COD],"&lt;="&amp;N$139,[1]!Resources[Retirement Date],"&gt;="&amp;N$139,[1]!Resources[Unique Key],$G184,[1]!Resources[Summer Rating],"&gt;"&amp;0),2),0)*N122/10^6</f>
        <v>0</v>
      </c>
      <c r="O184" s="6">
        <f>IFERROR(ROUND(AVERAGEIFS([1]!Resources[Fixed O&amp;M Cost],[1]!Resources[COD],"&lt;="&amp;O$139,[1]!Resources[Retirement Date],"&gt;="&amp;O$139,[1]!Resources[Unique Key],$G184,[1]!Resources[Summer Rating],"&gt;"&amp;0),2),0)*O122/10^6</f>
        <v>0</v>
      </c>
      <c r="P184" s="6">
        <f>IFERROR(ROUND(AVERAGEIFS([1]!Resources[Fixed O&amp;M Cost],[1]!Resources[COD],"&lt;="&amp;P$139,[1]!Resources[Retirement Date],"&gt;="&amp;P$139,[1]!Resources[Unique Key],$G184,[1]!Resources[Summer Rating],"&gt;"&amp;0),2),0)*P122/10^6</f>
        <v>0</v>
      </c>
      <c r="Q184" s="6">
        <f>IFERROR(ROUND(AVERAGEIFS([1]!Resources[Fixed O&amp;M Cost],[1]!Resources[COD],"&lt;="&amp;Q$139,[1]!Resources[Retirement Date],"&gt;="&amp;Q$139,[1]!Resources[Unique Key],$G184,[1]!Resources[Summer Rating],"&gt;"&amp;0),2),0)*Q122/10^6</f>
        <v>0</v>
      </c>
      <c r="R184" s="6">
        <f>IFERROR(ROUND(AVERAGEIFS([1]!Resources[Fixed O&amp;M Cost],[1]!Resources[COD],"&lt;="&amp;R$139,[1]!Resources[Retirement Date],"&gt;="&amp;R$139,[1]!Resources[Unique Key],$G184,[1]!Resources[Summer Rating],"&gt;"&amp;0),2),0)*R122/10^6</f>
        <v>0</v>
      </c>
      <c r="S184" s="6">
        <f>IFERROR(ROUND(AVERAGEIFS([1]!Resources[Fixed O&amp;M Cost],[1]!Resources[COD],"&lt;="&amp;S$139,[1]!Resources[Retirement Date],"&gt;="&amp;S$139,[1]!Resources[Unique Key],$G184,[1]!Resources[Summer Rating],"&gt;"&amp;0),2),0)*S122/10^6</f>
        <v>0</v>
      </c>
      <c r="T184" s="6">
        <f>IFERROR(ROUND(AVERAGEIFS([1]!Resources[Fixed O&amp;M Cost],[1]!Resources[COD],"&lt;="&amp;T$139,[1]!Resources[Retirement Date],"&gt;="&amp;T$139,[1]!Resources[Unique Key],$G184,[1]!Resources[Summer Rating],"&gt;"&amp;0),2),0)*T122/10^6</f>
        <v>0</v>
      </c>
      <c r="U184" s="6">
        <f>IFERROR(ROUND(AVERAGEIFS([1]!Resources[Fixed O&amp;M Cost],[1]!Resources[COD],"&lt;="&amp;U$139,[1]!Resources[Retirement Date],"&gt;="&amp;U$139,[1]!Resources[Unique Key],$G184,[1]!Resources[Summer Rating],"&gt;"&amp;0),2),0)*U122/10^6</f>
        <v>0</v>
      </c>
      <c r="V184" s="6">
        <f>IFERROR(ROUND(AVERAGEIFS([1]!Resources[Fixed O&amp;M Cost],[1]!Resources[COD],"&lt;="&amp;V$139,[1]!Resources[Retirement Date],"&gt;="&amp;V$139,[1]!Resources[Unique Key],$G184,[1]!Resources[Summer Rating],"&gt;"&amp;0),2),0)*V122/10^6</f>
        <v>0</v>
      </c>
      <c r="W184" s="6">
        <f>IFERROR(ROUND(AVERAGEIFS([1]!Resources[Fixed O&amp;M Cost],[1]!Resources[COD],"&lt;="&amp;W$139,[1]!Resources[Retirement Date],"&gt;="&amp;W$139,[1]!Resources[Unique Key],$G184,[1]!Resources[Summer Rating],"&gt;"&amp;0),2),0)*W122/10^6</f>
        <v>0</v>
      </c>
      <c r="X184" s="6">
        <f>IFERROR(ROUND(AVERAGEIFS([1]!Resources[Fixed O&amp;M Cost],[1]!Resources[COD],"&lt;="&amp;X$139,[1]!Resources[Retirement Date],"&gt;="&amp;X$139,[1]!Resources[Unique Key],$G184,[1]!Resources[Summer Rating],"&gt;"&amp;0),2),0)*X122/10^6</f>
        <v>0</v>
      </c>
      <c r="Y184" s="6">
        <f>IFERROR(ROUND(AVERAGEIFS([1]!Resources[Fixed O&amp;M Cost],[1]!Resources[COD],"&lt;="&amp;Y$139,[1]!Resources[Retirement Date],"&gt;="&amp;Y$139,[1]!Resources[Unique Key],$G184,[1]!Resources[Summer Rating],"&gt;"&amp;0),2),0)*Y122/10^6</f>
        <v>0</v>
      </c>
      <c r="Z184" s="6">
        <f>IFERROR(ROUND(AVERAGEIFS([1]!Resources[Fixed O&amp;M Cost],[1]!Resources[COD],"&lt;="&amp;Z$139,[1]!Resources[Retirement Date],"&gt;="&amp;Z$139,[1]!Resources[Unique Key],$G184,[1]!Resources[Summer Rating],"&gt;"&amp;0),2),0)*Z122/10^6</f>
        <v>0</v>
      </c>
      <c r="AA184" s="6">
        <f>IFERROR(ROUND(AVERAGEIFS([1]!Resources[Fixed O&amp;M Cost],[1]!Resources[COD],"&lt;="&amp;AA$139,[1]!Resources[Retirement Date],"&gt;="&amp;AA$139,[1]!Resources[Unique Key],$G184,[1]!Resources[Summer Rating],"&gt;"&amp;0),2),0)*AA122/10^6</f>
        <v>0</v>
      </c>
      <c r="AB184" s="6">
        <f>IFERROR(ROUND(AVERAGEIFS([1]!Resources[Fixed O&amp;M Cost],[1]!Resources[COD],"&lt;="&amp;AB$139,[1]!Resources[Retirement Date],"&gt;="&amp;AB$139,[1]!Resources[Unique Key],$G184,[1]!Resources[Summer Rating],"&gt;"&amp;0),2),0)*AB122/10^6</f>
        <v>0</v>
      </c>
      <c r="AC184" s="6">
        <f>IFERROR(ROUND(AVERAGEIFS([1]!Resources[Fixed O&amp;M Cost],[1]!Resources[COD],"&lt;="&amp;AC$139,[1]!Resources[Retirement Date],"&gt;="&amp;AC$139,[1]!Resources[Unique Key],$G184,[1]!Resources[Summer Rating],"&gt;"&amp;0),2),0)*AC122/10^6</f>
        <v>0</v>
      </c>
      <c r="AD184" s="6">
        <f>IFERROR(ROUND(AVERAGEIFS([1]!Resources[Fixed O&amp;M Cost],[1]!Resources[COD],"&lt;="&amp;AD$139,[1]!Resources[Retirement Date],"&gt;="&amp;AD$139,[1]!Resources[Unique Key],$G184,[1]!Resources[Summer Rating],"&gt;"&amp;0),2),0)*AD122/10^6</f>
        <v>0</v>
      </c>
      <c r="AE184" s="6">
        <f>IFERROR(ROUND(AVERAGEIFS([1]!Resources[Fixed O&amp;M Cost],[1]!Resources[COD],"&lt;="&amp;AE$139,[1]!Resources[Retirement Date],"&gt;="&amp;AE$139,[1]!Resources[Unique Key],$G184,[1]!Resources[Summer Rating],"&gt;"&amp;0),2),0)*AE122/10^6</f>
        <v>0</v>
      </c>
      <c r="AF184" s="6">
        <f>IFERROR(ROUND(AVERAGEIFS([1]!Resources[Fixed O&amp;M Cost],[1]!Resources[COD],"&lt;="&amp;AF$139,[1]!Resources[Retirement Date],"&gt;="&amp;AF$139,[1]!Resources[Unique Key],$G184,[1]!Resources[Summer Rating],"&gt;"&amp;0),2),0)*AF122/10^6</f>
        <v>0</v>
      </c>
      <c r="AG184" s="6">
        <f>IFERROR(ROUND(AVERAGEIFS([1]!Resources[Fixed O&amp;M Cost],[1]!Resources[COD],"&lt;="&amp;AG$139,[1]!Resources[Retirement Date],"&gt;="&amp;AG$139,[1]!Resources[Unique Key],$G184,[1]!Resources[Summer Rating],"&gt;"&amp;0),2),0)*AG122/10^6</f>
        <v>0</v>
      </c>
      <c r="AI184" s="5" t="s">
        <v>88</v>
      </c>
      <c r="AJ184" s="6">
        <f>IFERROR(INDEX('[1]Technology Defaults'!$B$18:$AA$31,MATCH($AI184,'[1]Technology Defaults'!$A$18:$A$31,0),MATCH(AJ$139,'[1]Technology Defaults'!$B$17:$AA$17,0)),0)</f>
        <v>67990.695175410248</v>
      </c>
      <c r="AK184" s="6">
        <f>IFERROR(INDEX('[1]Technology Defaults'!$B$18:$AA$31,MATCH($AI184,'[1]Technology Defaults'!$A$18:$A$31,0),MATCH(AK$139,'[1]Technology Defaults'!$B$17:$AA$17,0)),0)</f>
        <v>64365.349238022645</v>
      </c>
      <c r="AL184" s="6">
        <f>IFERROR(INDEX('[1]Technology Defaults'!$B$18:$AA$31,MATCH($AI184,'[1]Technology Defaults'!$A$18:$A$31,0),MATCH(AL$139,'[1]Technology Defaults'!$B$17:$AA$17,0)),0)</f>
        <v>60740.003363279546</v>
      </c>
      <c r="AM184" s="6">
        <f>IFERROR(INDEX('[1]Technology Defaults'!$B$18:$AA$31,MATCH($AI184,'[1]Technology Defaults'!$A$18:$A$31,0),MATCH(AM$139,'[1]Technology Defaults'!$B$17:$AA$17,0)),0)</f>
        <v>57114.657425891884</v>
      </c>
      <c r="AN184" s="6">
        <f>IFERROR(INDEX('[1]Technology Defaults'!$B$18:$AA$31,MATCH($AI184,'[1]Technology Defaults'!$A$18:$A$31,0),MATCH(AN$139,'[1]Technology Defaults'!$B$17:$AA$17,0)),0)</f>
        <v>53489.311488504274</v>
      </c>
      <c r="AO184" s="6">
        <f>IFERROR(INDEX('[1]Technology Defaults'!$B$18:$AA$31,MATCH($AI184,'[1]Technology Defaults'!$A$18:$A$31,0),MATCH(AO$139,'[1]Technology Defaults'!$B$17:$AA$17,0)),0)</f>
        <v>49863.965551116642</v>
      </c>
      <c r="AP184" s="6">
        <f>IFERROR(INDEX('[1]Technology Defaults'!$B$18:$AA$31,MATCH($AI184,'[1]Technology Defaults'!$A$18:$A$31,0),MATCH(AP$139,'[1]Technology Defaults'!$B$17:$AA$17,0)),0)</f>
        <v>46238.61967637355</v>
      </c>
      <c r="AQ184" s="6">
        <f>IFERROR(INDEX('[1]Technology Defaults'!$B$18:$AA$31,MATCH($AI184,'[1]Technology Defaults'!$A$18:$A$31,0),MATCH(AQ$139,'[1]Technology Defaults'!$B$17:$AA$17,0)),0)</f>
        <v>42613.273738985918</v>
      </c>
      <c r="AR184" s="6">
        <f>IFERROR(INDEX('[1]Technology Defaults'!$B$18:$AA$31,MATCH($AI184,'[1]Technology Defaults'!$A$18:$A$31,0),MATCH(AR$139,'[1]Technology Defaults'!$B$17:$AA$17,0)),0)</f>
        <v>38987.927801598285</v>
      </c>
      <c r="AS184" s="6">
        <f>IFERROR(INDEX('[1]Technology Defaults'!$B$18:$AA$31,MATCH($AI184,'[1]Technology Defaults'!$A$18:$A$31,0),MATCH(AS$139,'[1]Technology Defaults'!$B$17:$AA$17,0)),0)</f>
        <v>35362.581926855193</v>
      </c>
      <c r="AT184" s="6">
        <f>IFERROR(INDEX('[1]Technology Defaults'!$B$18:$AA$31,MATCH($AI184,'[1]Technology Defaults'!$A$18:$A$31,0),MATCH(AT$139,'[1]Technology Defaults'!$B$17:$AA$17,0)),0)</f>
        <v>31737.235989467557</v>
      </c>
      <c r="AU184" s="6">
        <f>IFERROR(INDEX('[1]Technology Defaults'!$B$18:$AA$31,MATCH($AI184,'[1]Technology Defaults'!$A$18:$A$31,0),MATCH(AU$139,'[1]Technology Defaults'!$B$17:$AA$17,0)),0)</f>
        <v>30850.085865186735</v>
      </c>
      <c r="AV184" s="6">
        <f>IFERROR(INDEX('[1]Technology Defaults'!$B$18:$AA$31,MATCH($AI184,'[1]Technology Defaults'!$A$18:$A$31,0),MATCH(AV$139,'[1]Technology Defaults'!$B$17:$AA$17,0)),0)</f>
        <v>29962.935803550437</v>
      </c>
      <c r="AW184" s="6">
        <f>IFERROR(INDEX('[1]Technology Defaults'!$B$18:$AA$31,MATCH($AI184,'[1]Technology Defaults'!$A$18:$A$31,0),MATCH(AW$139,'[1]Technology Defaults'!$B$17:$AA$17,0)),0)</f>
        <v>29075.7856792696</v>
      </c>
      <c r="AX184" s="6">
        <f>IFERROR(INDEX('[1]Technology Defaults'!$B$18:$AA$31,MATCH($AI184,'[1]Technology Defaults'!$A$18:$A$31,0),MATCH(AX$139,'[1]Technology Defaults'!$B$17:$AA$17,0)),0)</f>
        <v>28188.63561763331</v>
      </c>
      <c r="AY184" s="6">
        <f>IFERROR(INDEX('[1]Technology Defaults'!$B$18:$AA$31,MATCH($AI184,'[1]Technology Defaults'!$A$18:$A$31,0),MATCH(AY$139,'[1]Technology Defaults'!$B$17:$AA$17,0)),0)</f>
        <v>27301.485493352495</v>
      </c>
      <c r="AZ184" s="6">
        <f>IFERROR(INDEX('[1]Technology Defaults'!$B$18:$AA$31,MATCH($AI184,'[1]Technology Defaults'!$A$18:$A$31,0),MATCH(AZ$139,'[1]Technology Defaults'!$B$17:$AA$17,0)),0)</f>
        <v>26414.335431716197</v>
      </c>
      <c r="BA184" s="6">
        <f>IFERROR(INDEX('[1]Technology Defaults'!$B$18:$AA$31,MATCH($AI184,'[1]Technology Defaults'!$A$18:$A$31,0),MATCH(BA$139,'[1]Technology Defaults'!$B$17:$AA$17,0)),0)</f>
        <v>25527.185307435375</v>
      </c>
      <c r="BB184" s="6">
        <f>IFERROR(INDEX('[1]Technology Defaults'!$B$18:$AA$31,MATCH($AI184,'[1]Technology Defaults'!$A$18:$A$31,0),MATCH(BB$139,'[1]Technology Defaults'!$B$17:$AA$17,0)),0)</f>
        <v>24640.035245799085</v>
      </c>
      <c r="BC184" s="6">
        <f>IFERROR(INDEX('[1]Technology Defaults'!$B$18:$AA$31,MATCH($AI184,'[1]Technology Defaults'!$A$18:$A$31,0),MATCH(BC$139,'[1]Technology Defaults'!$B$17:$AA$17,0)),0)</f>
        <v>23752.885121518255</v>
      </c>
      <c r="BD184" s="6">
        <f>IFERROR(INDEX('[1]Technology Defaults'!$B$18:$AA$31,MATCH($AI184,'[1]Technology Defaults'!$A$18:$A$31,0),MATCH(BD$139,'[1]Technology Defaults'!$B$17:$AA$17,0)),0)</f>
        <v>22865.735059881965</v>
      </c>
      <c r="BE184" s="6">
        <f>IFERROR(INDEX('[1]Technology Defaults'!$B$18:$AA$31,MATCH($AI184,'[1]Technology Defaults'!$A$18:$A$31,0),MATCH(BE$139,'[1]Technology Defaults'!$B$17:$AA$17,0)),0)</f>
        <v>21978.584935601142</v>
      </c>
      <c r="BF184" s="6">
        <f>IFERROR(INDEX('[1]Technology Defaults'!$B$18:$AA$31,MATCH($AI184,'[1]Technology Defaults'!$A$18:$A$31,0),MATCH(BF$139,'[1]Technology Defaults'!$B$17:$AA$17,0)),0)</f>
        <v>21091.434811320312</v>
      </c>
      <c r="BG184" s="6">
        <f>IFERROR(INDEX('[1]Technology Defaults'!$B$18:$AA$31,MATCH($AI184,'[1]Technology Defaults'!$A$18:$A$31,0),MATCH(BG$139,'[1]Technology Defaults'!$B$17:$AA$17,0)),0)</f>
        <v>20204.28474968403</v>
      </c>
      <c r="BH184" s="6">
        <f>IFERROR(INDEX('[1]Technology Defaults'!$B$18:$AA$31,MATCH($AI184,'[1]Technology Defaults'!$A$18:$A$31,0),MATCH(BH$139,'[1]Technology Defaults'!$B$17:$AA$17,0)),0)</f>
        <v>19317.1346254032</v>
      </c>
      <c r="BI184" s="6">
        <f>IFERROR(INDEX('[1]Technology Defaults'!$B$18:$AA$31,MATCH($AI184,'[1]Technology Defaults'!$A$18:$A$31,0),MATCH(BI$139,'[1]Technology Defaults'!$B$17:$AA$17,0)),0)</f>
        <v>18429.984563766902</v>
      </c>
    </row>
    <row r="185" spans="7:61" ht="16" x14ac:dyDescent="0.2">
      <c r="G185" s="5" t="s">
        <v>89</v>
      </c>
      <c r="H185" s="6">
        <f>IFERROR(ROUND(AVERAGEIFS([1]!Resources[Fixed O&amp;M Cost],[1]!Resources[COD],"&lt;="&amp;H$139,[1]!Resources[Retirement Date],"&gt;="&amp;H$139,[1]!Resources[Unique Key],$G185,[1]!Resources[Summer Rating],"&gt;"&amp;0),2),0)*H123/10^6</f>
        <v>0</v>
      </c>
      <c r="I185" s="6">
        <f>IFERROR(ROUND(AVERAGEIFS([1]!Resources[Fixed O&amp;M Cost],[1]!Resources[COD],"&lt;="&amp;I$139,[1]!Resources[Retirement Date],"&gt;="&amp;I$139,[1]!Resources[Unique Key],$G185,[1]!Resources[Summer Rating],"&gt;"&amp;0),2),0)*I123/10^6</f>
        <v>0</v>
      </c>
      <c r="J185" s="6">
        <f>IFERROR(ROUND(AVERAGEIFS([1]!Resources[Fixed O&amp;M Cost],[1]!Resources[COD],"&lt;="&amp;J$139,[1]!Resources[Retirement Date],"&gt;="&amp;J$139,[1]!Resources[Unique Key],$G185,[1]!Resources[Summer Rating],"&gt;"&amp;0),2),0)*J123/10^6</f>
        <v>0</v>
      </c>
      <c r="K185" s="6">
        <f>IFERROR(ROUND(AVERAGEIFS([1]!Resources[Fixed O&amp;M Cost],[1]!Resources[COD],"&lt;="&amp;K$139,[1]!Resources[Retirement Date],"&gt;="&amp;K$139,[1]!Resources[Unique Key],$G185,[1]!Resources[Summer Rating],"&gt;"&amp;0),2),0)*K123/10^6</f>
        <v>0</v>
      </c>
      <c r="L185" s="6">
        <f>IFERROR(ROUND(AVERAGEIFS([1]!Resources[Fixed O&amp;M Cost],[1]!Resources[COD],"&lt;="&amp;L$139,[1]!Resources[Retirement Date],"&gt;="&amp;L$139,[1]!Resources[Unique Key],$G185,[1]!Resources[Summer Rating],"&gt;"&amp;0),2),0)*L123/10^6</f>
        <v>0</v>
      </c>
      <c r="M185" s="6">
        <f>IFERROR(ROUND(AVERAGEIFS([1]!Resources[Fixed O&amp;M Cost],[1]!Resources[COD],"&lt;="&amp;M$139,[1]!Resources[Retirement Date],"&gt;="&amp;M$139,[1]!Resources[Unique Key],$G185,[1]!Resources[Summer Rating],"&gt;"&amp;0),2),0)*M123/10^6</f>
        <v>0</v>
      </c>
      <c r="N185" s="6">
        <f>IFERROR(ROUND(AVERAGEIFS([1]!Resources[Fixed O&amp;M Cost],[1]!Resources[COD],"&lt;="&amp;N$139,[1]!Resources[Retirement Date],"&gt;="&amp;N$139,[1]!Resources[Unique Key],$G185,[1]!Resources[Summer Rating],"&gt;"&amp;0),2),0)*N123/10^6</f>
        <v>0</v>
      </c>
      <c r="O185" s="6">
        <f>IFERROR(ROUND(AVERAGEIFS([1]!Resources[Fixed O&amp;M Cost],[1]!Resources[COD],"&lt;="&amp;O$139,[1]!Resources[Retirement Date],"&gt;="&amp;O$139,[1]!Resources[Unique Key],$G185,[1]!Resources[Summer Rating],"&gt;"&amp;0),2),0)*O123/10^6</f>
        <v>0</v>
      </c>
      <c r="P185" s="6">
        <f>IFERROR(ROUND(AVERAGEIFS([1]!Resources[Fixed O&amp;M Cost],[1]!Resources[COD],"&lt;="&amp;P$139,[1]!Resources[Retirement Date],"&gt;="&amp;P$139,[1]!Resources[Unique Key],$G185,[1]!Resources[Summer Rating],"&gt;"&amp;0),2),0)*P123/10^6</f>
        <v>0</v>
      </c>
      <c r="Q185" s="6">
        <f>IFERROR(ROUND(AVERAGEIFS([1]!Resources[Fixed O&amp;M Cost],[1]!Resources[COD],"&lt;="&amp;Q$139,[1]!Resources[Retirement Date],"&gt;="&amp;Q$139,[1]!Resources[Unique Key],$G185,[1]!Resources[Summer Rating],"&gt;"&amp;0),2),0)*Q123/10^6</f>
        <v>0</v>
      </c>
      <c r="R185" s="6">
        <f>IFERROR(ROUND(AVERAGEIFS([1]!Resources[Fixed O&amp;M Cost],[1]!Resources[COD],"&lt;="&amp;R$139,[1]!Resources[Retirement Date],"&gt;="&amp;R$139,[1]!Resources[Unique Key],$G185,[1]!Resources[Summer Rating],"&gt;"&amp;0),2),0)*R123/10^6</f>
        <v>0</v>
      </c>
      <c r="S185" s="6">
        <f>IFERROR(ROUND(AVERAGEIFS([1]!Resources[Fixed O&amp;M Cost],[1]!Resources[COD],"&lt;="&amp;S$139,[1]!Resources[Retirement Date],"&gt;="&amp;S$139,[1]!Resources[Unique Key],$G185,[1]!Resources[Summer Rating],"&gt;"&amp;0),2),0)*S123/10^6</f>
        <v>0</v>
      </c>
      <c r="T185" s="6">
        <f>IFERROR(ROUND(AVERAGEIFS([1]!Resources[Fixed O&amp;M Cost],[1]!Resources[COD],"&lt;="&amp;T$139,[1]!Resources[Retirement Date],"&gt;="&amp;T$139,[1]!Resources[Unique Key],$G185,[1]!Resources[Summer Rating],"&gt;"&amp;0),2),0)*T123/10^6</f>
        <v>0</v>
      </c>
      <c r="U185" s="6">
        <f>IFERROR(ROUND(AVERAGEIFS([1]!Resources[Fixed O&amp;M Cost],[1]!Resources[COD],"&lt;="&amp;U$139,[1]!Resources[Retirement Date],"&gt;="&amp;U$139,[1]!Resources[Unique Key],$G185,[1]!Resources[Summer Rating],"&gt;"&amp;0),2),0)*U123/10^6</f>
        <v>0</v>
      </c>
      <c r="V185" s="6">
        <f>IFERROR(ROUND(AVERAGEIFS([1]!Resources[Fixed O&amp;M Cost],[1]!Resources[COD],"&lt;="&amp;V$139,[1]!Resources[Retirement Date],"&gt;="&amp;V$139,[1]!Resources[Unique Key],$G185,[1]!Resources[Summer Rating],"&gt;"&amp;0),2),0)*V123/10^6</f>
        <v>0</v>
      </c>
      <c r="W185" s="6">
        <f>IFERROR(ROUND(AVERAGEIFS([1]!Resources[Fixed O&amp;M Cost],[1]!Resources[COD],"&lt;="&amp;W$139,[1]!Resources[Retirement Date],"&gt;="&amp;W$139,[1]!Resources[Unique Key],$G185,[1]!Resources[Summer Rating],"&gt;"&amp;0),2),0)*W123/10^6</f>
        <v>0</v>
      </c>
      <c r="X185" s="6">
        <f>IFERROR(ROUND(AVERAGEIFS([1]!Resources[Fixed O&amp;M Cost],[1]!Resources[COD],"&lt;="&amp;X$139,[1]!Resources[Retirement Date],"&gt;="&amp;X$139,[1]!Resources[Unique Key],$G185,[1]!Resources[Summer Rating],"&gt;"&amp;0),2),0)*X123/10^6</f>
        <v>0</v>
      </c>
      <c r="Y185" s="6">
        <f>IFERROR(ROUND(AVERAGEIFS([1]!Resources[Fixed O&amp;M Cost],[1]!Resources[COD],"&lt;="&amp;Y$139,[1]!Resources[Retirement Date],"&gt;="&amp;Y$139,[1]!Resources[Unique Key],$G185,[1]!Resources[Summer Rating],"&gt;"&amp;0),2),0)*Y123/10^6</f>
        <v>0</v>
      </c>
      <c r="Z185" s="6">
        <f>IFERROR(ROUND(AVERAGEIFS([1]!Resources[Fixed O&amp;M Cost],[1]!Resources[COD],"&lt;="&amp;Z$139,[1]!Resources[Retirement Date],"&gt;="&amp;Z$139,[1]!Resources[Unique Key],$G185,[1]!Resources[Summer Rating],"&gt;"&amp;0),2),0)*Z123/10^6</f>
        <v>0</v>
      </c>
      <c r="AA185" s="6">
        <f>IFERROR(ROUND(AVERAGEIFS([1]!Resources[Fixed O&amp;M Cost],[1]!Resources[COD],"&lt;="&amp;AA$139,[1]!Resources[Retirement Date],"&gt;="&amp;AA$139,[1]!Resources[Unique Key],$G185,[1]!Resources[Summer Rating],"&gt;"&amp;0),2),0)*AA123/10^6</f>
        <v>0</v>
      </c>
      <c r="AB185" s="6">
        <f>IFERROR(ROUND(AVERAGEIFS([1]!Resources[Fixed O&amp;M Cost],[1]!Resources[COD],"&lt;="&amp;AB$139,[1]!Resources[Retirement Date],"&gt;="&amp;AB$139,[1]!Resources[Unique Key],$G185,[1]!Resources[Summer Rating],"&gt;"&amp;0),2),0)*AB123/10^6</f>
        <v>0</v>
      </c>
      <c r="AC185" s="6">
        <f>IFERROR(ROUND(AVERAGEIFS([1]!Resources[Fixed O&amp;M Cost],[1]!Resources[COD],"&lt;="&amp;AC$139,[1]!Resources[Retirement Date],"&gt;="&amp;AC$139,[1]!Resources[Unique Key],$G185,[1]!Resources[Summer Rating],"&gt;"&amp;0),2),0)*AC123/10^6</f>
        <v>0</v>
      </c>
      <c r="AD185" s="6">
        <f>IFERROR(ROUND(AVERAGEIFS([1]!Resources[Fixed O&amp;M Cost],[1]!Resources[COD],"&lt;="&amp;AD$139,[1]!Resources[Retirement Date],"&gt;="&amp;AD$139,[1]!Resources[Unique Key],$G185,[1]!Resources[Summer Rating],"&gt;"&amp;0),2),0)*AD123/10^6</f>
        <v>0</v>
      </c>
      <c r="AE185" s="6">
        <f>IFERROR(ROUND(AVERAGEIFS([1]!Resources[Fixed O&amp;M Cost],[1]!Resources[COD],"&lt;="&amp;AE$139,[1]!Resources[Retirement Date],"&gt;="&amp;AE$139,[1]!Resources[Unique Key],$G185,[1]!Resources[Summer Rating],"&gt;"&amp;0),2),0)*AE123/10^6</f>
        <v>0</v>
      </c>
      <c r="AF185" s="6">
        <f>IFERROR(ROUND(AVERAGEIFS([1]!Resources[Fixed O&amp;M Cost],[1]!Resources[COD],"&lt;="&amp;AF$139,[1]!Resources[Retirement Date],"&gt;="&amp;AF$139,[1]!Resources[Unique Key],$G185,[1]!Resources[Summer Rating],"&gt;"&amp;0),2),0)*AF123/10^6</f>
        <v>0</v>
      </c>
      <c r="AG185" s="6">
        <f>IFERROR(ROUND(AVERAGEIFS([1]!Resources[Fixed O&amp;M Cost],[1]!Resources[COD],"&lt;="&amp;AG$139,[1]!Resources[Retirement Date],"&gt;="&amp;AG$139,[1]!Resources[Unique Key],$G185,[1]!Resources[Summer Rating],"&gt;"&amp;0),2),0)*AG123/10^6</f>
        <v>0</v>
      </c>
      <c r="AI185" s="5" t="s">
        <v>89</v>
      </c>
      <c r="AJ185" s="6">
        <f>IFERROR(INDEX('[1]Technology Defaults'!$B$18:$AA$31,MATCH($AI185,'[1]Technology Defaults'!$A$18:$A$31,0),MATCH(AJ$139,'[1]Technology Defaults'!$B$17:$AA$17,0)),0)</f>
        <v>74792.108873373305</v>
      </c>
      <c r="AK185" s="6">
        <f>IFERROR(INDEX('[1]Technology Defaults'!$B$18:$AA$31,MATCH($AI185,'[1]Technology Defaults'!$A$18:$A$31,0),MATCH(AK$139,'[1]Technology Defaults'!$B$17:$AA$17,0)),0)</f>
        <v>71166.762935985695</v>
      </c>
      <c r="AL185" s="6">
        <f>IFERROR(INDEX('[1]Technology Defaults'!$B$18:$AA$31,MATCH($AI185,'[1]Technology Defaults'!$A$18:$A$31,0),MATCH(AL$139,'[1]Technology Defaults'!$B$17:$AA$17,0)),0)</f>
        <v>67541.417061242595</v>
      </c>
      <c r="AM185" s="6">
        <f>IFERROR(INDEX('[1]Technology Defaults'!$B$18:$AA$31,MATCH($AI185,'[1]Technology Defaults'!$A$18:$A$31,0),MATCH(AM$139,'[1]Technology Defaults'!$B$17:$AA$17,0)),0)</f>
        <v>63916.071123854948</v>
      </c>
      <c r="AN185" s="6">
        <f>IFERROR(INDEX('[1]Technology Defaults'!$B$18:$AA$31,MATCH($AI185,'[1]Technology Defaults'!$A$18:$A$31,0),MATCH(AN$139,'[1]Technology Defaults'!$B$17:$AA$17,0)),0)</f>
        <v>60290.725186467338</v>
      </c>
      <c r="AO185" s="6">
        <f>IFERROR(INDEX('[1]Technology Defaults'!$B$18:$AA$31,MATCH($AI185,'[1]Technology Defaults'!$A$18:$A$31,0),MATCH(AO$139,'[1]Technology Defaults'!$B$17:$AA$17,0)),0)</f>
        <v>56665.379249079706</v>
      </c>
      <c r="AP185" s="6">
        <f>IFERROR(INDEX('[1]Technology Defaults'!$B$18:$AA$31,MATCH($AI185,'[1]Technology Defaults'!$A$18:$A$31,0),MATCH(AP$139,'[1]Technology Defaults'!$B$17:$AA$17,0)),0)</f>
        <v>53040.033374336599</v>
      </c>
      <c r="AQ185" s="6">
        <f>IFERROR(INDEX('[1]Technology Defaults'!$B$18:$AA$31,MATCH($AI185,'[1]Technology Defaults'!$A$18:$A$31,0),MATCH(AQ$139,'[1]Technology Defaults'!$B$17:$AA$17,0)),0)</f>
        <v>49414.687436948967</v>
      </c>
      <c r="AR185" s="6">
        <f>IFERROR(INDEX('[1]Technology Defaults'!$B$18:$AA$31,MATCH($AI185,'[1]Technology Defaults'!$A$18:$A$31,0),MATCH(AR$139,'[1]Technology Defaults'!$B$17:$AA$17,0)),0)</f>
        <v>45789.341499561335</v>
      </c>
      <c r="AS185" s="6">
        <f>IFERROR(INDEX('[1]Technology Defaults'!$B$18:$AA$31,MATCH($AI185,'[1]Technology Defaults'!$A$18:$A$31,0),MATCH(AS$139,'[1]Technology Defaults'!$B$17:$AA$17,0)),0)</f>
        <v>42163.995624818243</v>
      </c>
      <c r="AT185" s="6">
        <f>IFERROR(INDEX('[1]Technology Defaults'!$B$18:$AA$31,MATCH($AI185,'[1]Technology Defaults'!$A$18:$A$31,0),MATCH(AT$139,'[1]Technology Defaults'!$B$17:$AA$17,0)),0)</f>
        <v>38538.649687430603</v>
      </c>
      <c r="AU185" s="6">
        <f>IFERROR(INDEX('[1]Technology Defaults'!$B$18:$AA$31,MATCH($AI185,'[1]Technology Defaults'!$A$18:$A$31,0),MATCH(AU$139,'[1]Technology Defaults'!$B$17:$AA$17,0)),0)</f>
        <v>37651.49956314978</v>
      </c>
      <c r="AV185" s="6">
        <f>IFERROR(INDEX('[1]Technology Defaults'!$B$18:$AA$31,MATCH($AI185,'[1]Technology Defaults'!$A$18:$A$31,0),MATCH(AV$139,'[1]Technology Defaults'!$B$17:$AA$17,0)),0)</f>
        <v>36764.34950151349</v>
      </c>
      <c r="AW185" s="6">
        <f>IFERROR(INDEX('[1]Technology Defaults'!$B$18:$AA$31,MATCH($AI185,'[1]Technology Defaults'!$A$18:$A$31,0),MATCH(AW$139,'[1]Technology Defaults'!$B$17:$AA$17,0)),0)</f>
        <v>35877.199377232653</v>
      </c>
      <c r="AX185" s="6">
        <f>IFERROR(INDEX('[1]Technology Defaults'!$B$18:$AA$31,MATCH($AI185,'[1]Technology Defaults'!$A$18:$A$31,0),MATCH(AX$139,'[1]Technology Defaults'!$B$17:$AA$17,0)),0)</f>
        <v>34990.049315596363</v>
      </c>
      <c r="AY185" s="6">
        <f>IFERROR(INDEX('[1]Technology Defaults'!$B$18:$AA$31,MATCH($AI185,'[1]Technology Defaults'!$A$18:$A$31,0),MATCH(AY$139,'[1]Technology Defaults'!$B$17:$AA$17,0)),0)</f>
        <v>34102.899191315541</v>
      </c>
      <c r="AZ185" s="6">
        <f>IFERROR(INDEX('[1]Technology Defaults'!$B$18:$AA$31,MATCH($AI185,'[1]Technology Defaults'!$A$18:$A$31,0),MATCH(AZ$139,'[1]Technology Defaults'!$B$17:$AA$17,0)),0)</f>
        <v>33215.74912967925</v>
      </c>
      <c r="BA185" s="6">
        <f>IFERROR(INDEX('[1]Technology Defaults'!$B$18:$AA$31,MATCH($AI185,'[1]Technology Defaults'!$A$18:$A$31,0),MATCH(BA$139,'[1]Technology Defaults'!$B$17:$AA$17,0)),0)</f>
        <v>32328.599005398431</v>
      </c>
      <c r="BB185" s="6">
        <f>IFERROR(INDEX('[1]Technology Defaults'!$B$18:$AA$31,MATCH($AI185,'[1]Technology Defaults'!$A$18:$A$31,0),MATCH(BB$139,'[1]Technology Defaults'!$B$17:$AA$17,0)),0)</f>
        <v>31441.448943762141</v>
      </c>
      <c r="BC185" s="6">
        <f>IFERROR(INDEX('[1]Technology Defaults'!$B$18:$AA$31,MATCH($AI185,'[1]Technology Defaults'!$A$18:$A$31,0),MATCH(BC$139,'[1]Technology Defaults'!$B$17:$AA$17,0)),0)</f>
        <v>30554.298819481304</v>
      </c>
      <c r="BD185" s="6">
        <f>IFERROR(INDEX('[1]Technology Defaults'!$B$18:$AA$31,MATCH($AI185,'[1]Technology Defaults'!$A$18:$A$31,0),MATCH(BD$139,'[1]Technology Defaults'!$B$17:$AA$17,0)),0)</f>
        <v>29667.148757845014</v>
      </c>
      <c r="BE185" s="6">
        <f>IFERROR(INDEX('[1]Technology Defaults'!$B$18:$AA$31,MATCH($AI185,'[1]Technology Defaults'!$A$18:$A$31,0),MATCH(BE$139,'[1]Technology Defaults'!$B$17:$AA$17,0)),0)</f>
        <v>28779.998633564192</v>
      </c>
      <c r="BF185" s="6">
        <f>IFERROR(INDEX('[1]Technology Defaults'!$B$18:$AA$31,MATCH($AI185,'[1]Technology Defaults'!$A$18:$A$31,0),MATCH(BF$139,'[1]Technology Defaults'!$B$17:$AA$17,0)),0)</f>
        <v>27892.848509283369</v>
      </c>
      <c r="BG185" s="6">
        <f>IFERROR(INDEX('[1]Technology Defaults'!$B$18:$AA$31,MATCH($AI185,'[1]Technology Defaults'!$A$18:$A$31,0),MATCH(BG$139,'[1]Technology Defaults'!$B$17:$AA$17,0)),0)</f>
        <v>27005.698447647079</v>
      </c>
      <c r="BH185" s="6">
        <f>IFERROR(INDEX('[1]Technology Defaults'!$B$18:$AA$31,MATCH($AI185,'[1]Technology Defaults'!$A$18:$A$31,0),MATCH(BH$139,'[1]Technology Defaults'!$B$17:$AA$17,0)),0)</f>
        <v>26118.548323366256</v>
      </c>
      <c r="BI185" s="6">
        <f>IFERROR(INDEX('[1]Technology Defaults'!$B$18:$AA$31,MATCH($AI185,'[1]Technology Defaults'!$A$18:$A$31,0),MATCH(BI$139,'[1]Technology Defaults'!$B$17:$AA$17,0)),0)</f>
        <v>25231.398261729952</v>
      </c>
    </row>
    <row r="186" spans="7:61" ht="16" x14ac:dyDescent="0.2">
      <c r="G186" s="5" t="s">
        <v>90</v>
      </c>
      <c r="H186" s="6">
        <f>IFERROR(ROUND(AVERAGEIFS([1]!Resources[Fixed O&amp;M Cost],[1]!Resources[COD],"&lt;="&amp;H$139,[1]!Resources[Retirement Date],"&gt;="&amp;H$139,[1]!Resources[Unique Key],$G186,[1]!Resources[Summer Rating],"&gt;"&amp;0),2),0)*H124/10^6</f>
        <v>0</v>
      </c>
      <c r="I186" s="6">
        <f>IFERROR(ROUND(AVERAGEIFS([1]!Resources[Fixed O&amp;M Cost],[1]!Resources[COD],"&lt;="&amp;I$139,[1]!Resources[Retirement Date],"&gt;="&amp;I$139,[1]!Resources[Unique Key],$G186,[1]!Resources[Summer Rating],"&gt;"&amp;0),2),0)*I124/10^6</f>
        <v>0</v>
      </c>
      <c r="J186" s="6">
        <f>IFERROR(ROUND(AVERAGEIFS([1]!Resources[Fixed O&amp;M Cost],[1]!Resources[COD],"&lt;="&amp;J$139,[1]!Resources[Retirement Date],"&gt;="&amp;J$139,[1]!Resources[Unique Key],$G186,[1]!Resources[Summer Rating],"&gt;"&amp;0),2),0)*J124/10^6</f>
        <v>0</v>
      </c>
      <c r="K186" s="6">
        <f>IFERROR(ROUND(AVERAGEIFS([1]!Resources[Fixed O&amp;M Cost],[1]!Resources[COD],"&lt;="&amp;K$139,[1]!Resources[Retirement Date],"&gt;="&amp;K$139,[1]!Resources[Unique Key],$G186,[1]!Resources[Summer Rating],"&gt;"&amp;0),2),0)*K124/10^6</f>
        <v>0</v>
      </c>
      <c r="L186" s="6">
        <f>IFERROR(ROUND(AVERAGEIFS([1]!Resources[Fixed O&amp;M Cost],[1]!Resources[COD],"&lt;="&amp;L$139,[1]!Resources[Retirement Date],"&gt;="&amp;L$139,[1]!Resources[Unique Key],$G186,[1]!Resources[Summer Rating],"&gt;"&amp;0),2),0)*L124/10^6</f>
        <v>0</v>
      </c>
      <c r="M186" s="6">
        <f>IFERROR(ROUND(AVERAGEIFS([1]!Resources[Fixed O&amp;M Cost],[1]!Resources[COD],"&lt;="&amp;M$139,[1]!Resources[Retirement Date],"&gt;="&amp;M$139,[1]!Resources[Unique Key],$G186,[1]!Resources[Summer Rating],"&gt;"&amp;0),2),0)*M124/10^6</f>
        <v>0</v>
      </c>
      <c r="N186" s="6">
        <f>IFERROR(ROUND(AVERAGEIFS([1]!Resources[Fixed O&amp;M Cost],[1]!Resources[COD],"&lt;="&amp;N$139,[1]!Resources[Retirement Date],"&gt;="&amp;N$139,[1]!Resources[Unique Key],$G186,[1]!Resources[Summer Rating],"&gt;"&amp;0),2),0)*N124/10^6</f>
        <v>0</v>
      </c>
      <c r="O186" s="6">
        <f>IFERROR(ROUND(AVERAGEIFS([1]!Resources[Fixed O&amp;M Cost],[1]!Resources[COD],"&lt;="&amp;O$139,[1]!Resources[Retirement Date],"&gt;="&amp;O$139,[1]!Resources[Unique Key],$G186,[1]!Resources[Summer Rating],"&gt;"&amp;0),2),0)*O124/10^6</f>
        <v>0</v>
      </c>
      <c r="P186" s="6">
        <f>IFERROR(ROUND(AVERAGEIFS([1]!Resources[Fixed O&amp;M Cost],[1]!Resources[COD],"&lt;="&amp;P$139,[1]!Resources[Retirement Date],"&gt;="&amp;P$139,[1]!Resources[Unique Key],$G186,[1]!Resources[Summer Rating],"&gt;"&amp;0),2),0)*P124/10^6</f>
        <v>0</v>
      </c>
      <c r="Q186" s="6">
        <f>IFERROR(ROUND(AVERAGEIFS([1]!Resources[Fixed O&amp;M Cost],[1]!Resources[COD],"&lt;="&amp;Q$139,[1]!Resources[Retirement Date],"&gt;="&amp;Q$139,[1]!Resources[Unique Key],$G186,[1]!Resources[Summer Rating],"&gt;"&amp;0),2),0)*Q124/10^6</f>
        <v>0</v>
      </c>
      <c r="R186" s="6">
        <f>IFERROR(ROUND(AVERAGEIFS([1]!Resources[Fixed O&amp;M Cost],[1]!Resources[COD],"&lt;="&amp;R$139,[1]!Resources[Retirement Date],"&gt;="&amp;R$139,[1]!Resources[Unique Key],$G186,[1]!Resources[Summer Rating],"&gt;"&amp;0),2),0)*R124/10^6</f>
        <v>0</v>
      </c>
      <c r="S186" s="6">
        <f>IFERROR(ROUND(AVERAGEIFS([1]!Resources[Fixed O&amp;M Cost],[1]!Resources[COD],"&lt;="&amp;S$139,[1]!Resources[Retirement Date],"&gt;="&amp;S$139,[1]!Resources[Unique Key],$G186,[1]!Resources[Summer Rating],"&gt;"&amp;0),2),0)*S124/10^6</f>
        <v>0</v>
      </c>
      <c r="T186" s="6">
        <f>IFERROR(ROUND(AVERAGEIFS([1]!Resources[Fixed O&amp;M Cost],[1]!Resources[COD],"&lt;="&amp;T$139,[1]!Resources[Retirement Date],"&gt;="&amp;T$139,[1]!Resources[Unique Key],$G186,[1]!Resources[Summer Rating],"&gt;"&amp;0),2),0)*T124/10^6</f>
        <v>0</v>
      </c>
      <c r="U186" s="6">
        <f>IFERROR(ROUND(AVERAGEIFS([1]!Resources[Fixed O&amp;M Cost],[1]!Resources[COD],"&lt;="&amp;U$139,[1]!Resources[Retirement Date],"&gt;="&amp;U$139,[1]!Resources[Unique Key],$G186,[1]!Resources[Summer Rating],"&gt;"&amp;0),2),0)*U124/10^6</f>
        <v>0</v>
      </c>
      <c r="V186" s="6">
        <f>IFERROR(ROUND(AVERAGEIFS([1]!Resources[Fixed O&amp;M Cost],[1]!Resources[COD],"&lt;="&amp;V$139,[1]!Resources[Retirement Date],"&gt;="&amp;V$139,[1]!Resources[Unique Key],$G186,[1]!Resources[Summer Rating],"&gt;"&amp;0),2),0)*V124/10^6</f>
        <v>0</v>
      </c>
      <c r="W186" s="6">
        <f>IFERROR(ROUND(AVERAGEIFS([1]!Resources[Fixed O&amp;M Cost],[1]!Resources[COD],"&lt;="&amp;W$139,[1]!Resources[Retirement Date],"&gt;="&amp;W$139,[1]!Resources[Unique Key],$G186,[1]!Resources[Summer Rating],"&gt;"&amp;0),2),0)*W124/10^6</f>
        <v>0</v>
      </c>
      <c r="X186" s="6">
        <f>IFERROR(ROUND(AVERAGEIFS([1]!Resources[Fixed O&amp;M Cost],[1]!Resources[COD],"&lt;="&amp;X$139,[1]!Resources[Retirement Date],"&gt;="&amp;X$139,[1]!Resources[Unique Key],$G186,[1]!Resources[Summer Rating],"&gt;"&amp;0),2),0)*X124/10^6</f>
        <v>0</v>
      </c>
      <c r="Y186" s="6">
        <f>IFERROR(ROUND(AVERAGEIFS([1]!Resources[Fixed O&amp;M Cost],[1]!Resources[COD],"&lt;="&amp;Y$139,[1]!Resources[Retirement Date],"&gt;="&amp;Y$139,[1]!Resources[Unique Key],$G186,[1]!Resources[Summer Rating],"&gt;"&amp;0),2),0)*Y124/10^6</f>
        <v>0</v>
      </c>
      <c r="Z186" s="6">
        <f>IFERROR(ROUND(AVERAGEIFS([1]!Resources[Fixed O&amp;M Cost],[1]!Resources[COD],"&lt;="&amp;Z$139,[1]!Resources[Retirement Date],"&gt;="&amp;Z$139,[1]!Resources[Unique Key],$G186,[1]!Resources[Summer Rating],"&gt;"&amp;0),2),0)*Z124/10^6</f>
        <v>0</v>
      </c>
      <c r="AA186" s="6">
        <f>IFERROR(ROUND(AVERAGEIFS([1]!Resources[Fixed O&amp;M Cost],[1]!Resources[COD],"&lt;="&amp;AA$139,[1]!Resources[Retirement Date],"&gt;="&amp;AA$139,[1]!Resources[Unique Key],$G186,[1]!Resources[Summer Rating],"&gt;"&amp;0),2),0)*AA124/10^6</f>
        <v>0</v>
      </c>
      <c r="AB186" s="6">
        <f>IFERROR(ROUND(AVERAGEIFS([1]!Resources[Fixed O&amp;M Cost],[1]!Resources[COD],"&lt;="&amp;AB$139,[1]!Resources[Retirement Date],"&gt;="&amp;AB$139,[1]!Resources[Unique Key],$G186,[1]!Resources[Summer Rating],"&gt;"&amp;0),2),0)*AB124/10^6</f>
        <v>0</v>
      </c>
      <c r="AC186" s="6">
        <f>IFERROR(ROUND(AVERAGEIFS([1]!Resources[Fixed O&amp;M Cost],[1]!Resources[COD],"&lt;="&amp;AC$139,[1]!Resources[Retirement Date],"&gt;="&amp;AC$139,[1]!Resources[Unique Key],$G186,[1]!Resources[Summer Rating],"&gt;"&amp;0),2),0)*AC124/10^6</f>
        <v>0</v>
      </c>
      <c r="AD186" s="6">
        <f>IFERROR(ROUND(AVERAGEIFS([1]!Resources[Fixed O&amp;M Cost],[1]!Resources[COD],"&lt;="&amp;AD$139,[1]!Resources[Retirement Date],"&gt;="&amp;AD$139,[1]!Resources[Unique Key],$G186,[1]!Resources[Summer Rating],"&gt;"&amp;0),2),0)*AD124/10^6</f>
        <v>0</v>
      </c>
      <c r="AE186" s="6">
        <f>IFERROR(ROUND(AVERAGEIFS([1]!Resources[Fixed O&amp;M Cost],[1]!Resources[COD],"&lt;="&amp;AE$139,[1]!Resources[Retirement Date],"&gt;="&amp;AE$139,[1]!Resources[Unique Key],$G186,[1]!Resources[Summer Rating],"&gt;"&amp;0),2),0)*AE124/10^6</f>
        <v>0</v>
      </c>
      <c r="AF186" s="6">
        <f>IFERROR(ROUND(AVERAGEIFS([1]!Resources[Fixed O&amp;M Cost],[1]!Resources[COD],"&lt;="&amp;AF$139,[1]!Resources[Retirement Date],"&gt;="&amp;AF$139,[1]!Resources[Unique Key],$G186,[1]!Resources[Summer Rating],"&gt;"&amp;0),2),0)*AF124/10^6</f>
        <v>0</v>
      </c>
      <c r="AG186" s="6">
        <f>IFERROR(ROUND(AVERAGEIFS([1]!Resources[Fixed O&amp;M Cost],[1]!Resources[COD],"&lt;="&amp;AG$139,[1]!Resources[Retirement Date],"&gt;="&amp;AG$139,[1]!Resources[Unique Key],$G186,[1]!Resources[Summer Rating],"&gt;"&amp;0),2),0)*AG124/10^6</f>
        <v>0</v>
      </c>
      <c r="AI186" s="5" t="s">
        <v>90</v>
      </c>
      <c r="AJ186" s="6">
        <f>IFERROR(INDEX('[1]Technology Defaults'!$B$18:$AA$31,MATCH($AI186,'[1]Technology Defaults'!$A$18:$A$31,0),MATCH(AJ$139,'[1]Technology Defaults'!$B$17:$AA$17,0)),0)</f>
        <v>80213.848214488622</v>
      </c>
      <c r="AK186" s="6">
        <f>IFERROR(INDEX('[1]Technology Defaults'!$B$18:$AA$31,MATCH($AI186,'[1]Technology Defaults'!$A$18:$A$31,0),MATCH(AK$139,'[1]Technology Defaults'!$B$17:$AA$17,0)),0)</f>
        <v>76588.502277101012</v>
      </c>
      <c r="AL186" s="6">
        <f>IFERROR(INDEX('[1]Technology Defaults'!$B$18:$AA$31,MATCH($AI186,'[1]Technology Defaults'!$A$18:$A$31,0),MATCH(AL$139,'[1]Technology Defaults'!$B$17:$AA$17,0)),0)</f>
        <v>72963.156402357927</v>
      </c>
      <c r="AM186" s="6">
        <f>IFERROR(INDEX('[1]Technology Defaults'!$B$18:$AA$31,MATCH($AI186,'[1]Technology Defaults'!$A$18:$A$31,0),MATCH(AM$139,'[1]Technology Defaults'!$B$17:$AA$17,0)),0)</f>
        <v>69337.810464970258</v>
      </c>
      <c r="AN186" s="6">
        <f>IFERROR(INDEX('[1]Technology Defaults'!$B$18:$AA$31,MATCH($AI186,'[1]Technology Defaults'!$A$18:$A$31,0),MATCH(AN$139,'[1]Technology Defaults'!$B$17:$AA$17,0)),0)</f>
        <v>65712.464527582648</v>
      </c>
      <c r="AO186" s="6">
        <f>IFERROR(INDEX('[1]Technology Defaults'!$B$18:$AA$31,MATCH($AI186,'[1]Technology Defaults'!$A$18:$A$31,0),MATCH(AO$139,'[1]Technology Defaults'!$B$17:$AA$17,0)),0)</f>
        <v>62087.118590195023</v>
      </c>
      <c r="AP186" s="6">
        <f>IFERROR(INDEX('[1]Technology Defaults'!$B$18:$AA$31,MATCH($AI186,'[1]Technology Defaults'!$A$18:$A$31,0),MATCH(AP$139,'[1]Technology Defaults'!$B$17:$AA$17,0)),0)</f>
        <v>58461.772715451923</v>
      </c>
      <c r="AQ186" s="6">
        <f>IFERROR(INDEX('[1]Technology Defaults'!$B$18:$AA$31,MATCH($AI186,'[1]Technology Defaults'!$A$18:$A$31,0),MATCH(AQ$139,'[1]Technology Defaults'!$B$17:$AA$17,0)),0)</f>
        <v>54836.426778064284</v>
      </c>
      <c r="AR186" s="6">
        <f>IFERROR(INDEX('[1]Technology Defaults'!$B$18:$AA$31,MATCH($AI186,'[1]Technology Defaults'!$A$18:$A$31,0),MATCH(AR$139,'[1]Technology Defaults'!$B$17:$AA$17,0)),0)</f>
        <v>51211.080840676652</v>
      </c>
      <c r="AS186" s="6">
        <f>IFERROR(INDEX('[1]Technology Defaults'!$B$18:$AA$31,MATCH($AI186,'[1]Technology Defaults'!$A$18:$A$31,0),MATCH(AS$139,'[1]Technology Defaults'!$B$17:$AA$17,0)),0)</f>
        <v>47585.73496593356</v>
      </c>
      <c r="AT186" s="6">
        <f>IFERROR(INDEX('[1]Technology Defaults'!$B$18:$AA$31,MATCH($AI186,'[1]Technology Defaults'!$A$18:$A$31,0),MATCH(AT$139,'[1]Technology Defaults'!$B$17:$AA$17,0)),0)</f>
        <v>43960.389028545927</v>
      </c>
      <c r="AU186" s="6">
        <f>IFERROR(INDEX('[1]Technology Defaults'!$B$18:$AA$31,MATCH($AI186,'[1]Technology Defaults'!$A$18:$A$31,0),MATCH(AU$139,'[1]Technology Defaults'!$B$17:$AA$17,0)),0)</f>
        <v>43073.238904265105</v>
      </c>
      <c r="AV186" s="6">
        <f>IFERROR(INDEX('[1]Technology Defaults'!$B$18:$AA$31,MATCH($AI186,'[1]Technology Defaults'!$A$18:$A$31,0),MATCH(AV$139,'[1]Technology Defaults'!$B$17:$AA$17,0)),0)</f>
        <v>42186.088842628815</v>
      </c>
      <c r="AW186" s="6">
        <f>IFERROR(INDEX('[1]Technology Defaults'!$B$18:$AA$31,MATCH($AI186,'[1]Technology Defaults'!$A$18:$A$31,0),MATCH(AW$139,'[1]Technology Defaults'!$B$17:$AA$17,0)),0)</f>
        <v>41298.938718347978</v>
      </c>
      <c r="AX186" s="6">
        <f>IFERROR(INDEX('[1]Technology Defaults'!$B$18:$AA$31,MATCH($AI186,'[1]Technology Defaults'!$A$18:$A$31,0),MATCH(AX$139,'[1]Technology Defaults'!$B$17:$AA$17,0)),0)</f>
        <v>40411.788656711688</v>
      </c>
      <c r="AY186" s="6">
        <f>IFERROR(INDEX('[1]Technology Defaults'!$B$18:$AA$31,MATCH($AI186,'[1]Technology Defaults'!$A$18:$A$31,0),MATCH(AY$139,'[1]Technology Defaults'!$B$17:$AA$17,0)),0)</f>
        <v>39524.638532430879</v>
      </c>
      <c r="AZ186" s="6">
        <f>IFERROR(INDEX('[1]Technology Defaults'!$B$18:$AA$31,MATCH($AI186,'[1]Technology Defaults'!$A$18:$A$31,0),MATCH(AZ$139,'[1]Technology Defaults'!$B$17:$AA$17,0)),0)</f>
        <v>38637.488470794575</v>
      </c>
      <c r="BA186" s="6">
        <f>IFERROR(INDEX('[1]Technology Defaults'!$B$18:$AA$31,MATCH($AI186,'[1]Technology Defaults'!$A$18:$A$31,0),MATCH(BA$139,'[1]Technology Defaults'!$B$17:$AA$17,0)),0)</f>
        <v>37750.338346513752</v>
      </c>
      <c r="BB186" s="6">
        <f>IFERROR(INDEX('[1]Technology Defaults'!$B$18:$AA$31,MATCH($AI186,'[1]Technology Defaults'!$A$18:$A$31,0),MATCH(BB$139,'[1]Technology Defaults'!$B$17:$AA$17,0)),0)</f>
        <v>36863.188284877462</v>
      </c>
      <c r="BC186" s="6">
        <f>IFERROR(INDEX('[1]Technology Defaults'!$B$18:$AA$31,MATCH($AI186,'[1]Technology Defaults'!$A$18:$A$31,0),MATCH(BC$139,'[1]Technology Defaults'!$B$17:$AA$17,0)),0)</f>
        <v>35976.038160596625</v>
      </c>
      <c r="BD186" s="6">
        <f>IFERROR(INDEX('[1]Technology Defaults'!$B$18:$AA$31,MATCH($AI186,'[1]Technology Defaults'!$A$18:$A$31,0),MATCH(BD$139,'[1]Technology Defaults'!$B$17:$AA$17,0)),0)</f>
        <v>35088.888098960349</v>
      </c>
      <c r="BE186" s="6">
        <f>IFERROR(INDEX('[1]Technology Defaults'!$B$18:$AA$31,MATCH($AI186,'[1]Technology Defaults'!$A$18:$A$31,0),MATCH(BE$139,'[1]Technology Defaults'!$B$17:$AA$17,0)),0)</f>
        <v>34201.737974679527</v>
      </c>
      <c r="BF186" s="6">
        <f>IFERROR(INDEX('[1]Technology Defaults'!$B$18:$AA$31,MATCH($AI186,'[1]Technology Defaults'!$A$18:$A$31,0),MATCH(BF$139,'[1]Technology Defaults'!$B$17:$AA$17,0)),0)</f>
        <v>33314.58785039869</v>
      </c>
      <c r="BG186" s="6">
        <f>IFERROR(INDEX('[1]Technology Defaults'!$B$18:$AA$31,MATCH($AI186,'[1]Technology Defaults'!$A$18:$A$31,0),MATCH(BG$139,'[1]Technology Defaults'!$B$17:$AA$17,0)),0)</f>
        <v>32427.437788762396</v>
      </c>
      <c r="BH186" s="6">
        <f>IFERROR(INDEX('[1]Technology Defaults'!$B$18:$AA$31,MATCH($AI186,'[1]Technology Defaults'!$A$18:$A$31,0),MATCH(BH$139,'[1]Technology Defaults'!$B$17:$AA$17,0)),0)</f>
        <v>31540.287664481573</v>
      </c>
      <c r="BI186" s="6">
        <f>IFERROR(INDEX('[1]Technology Defaults'!$B$18:$AA$31,MATCH($AI186,'[1]Technology Defaults'!$A$18:$A$31,0),MATCH(BI$139,'[1]Technology Defaults'!$B$17:$AA$17,0)),0)</f>
        <v>30653.137602845276</v>
      </c>
    </row>
    <row r="187" spans="7:61" ht="16" x14ac:dyDescent="0.2">
      <c r="G187" s="5" t="s">
        <v>91</v>
      </c>
      <c r="H187" s="6">
        <f>IFERROR(ROUND(AVERAGEIFS([1]!Resources[Fixed O&amp;M Cost],[1]!Resources[COD],"&lt;="&amp;H$139,[1]!Resources[Retirement Date],"&gt;="&amp;H$139,[1]!Resources[Unique Key],$G187,[1]!Resources[Summer Rating],"&gt;"&amp;0),2),0)*H125/10^6</f>
        <v>0</v>
      </c>
      <c r="I187" s="6">
        <f>IFERROR(ROUND(AVERAGEIFS([1]!Resources[Fixed O&amp;M Cost],[1]!Resources[COD],"&lt;="&amp;I$139,[1]!Resources[Retirement Date],"&gt;="&amp;I$139,[1]!Resources[Unique Key],$G187,[1]!Resources[Summer Rating],"&gt;"&amp;0),2),0)*I125/10^6</f>
        <v>4.8468749999999998</v>
      </c>
      <c r="J187" s="6">
        <f>IFERROR(ROUND(AVERAGEIFS([1]!Resources[Fixed O&amp;M Cost],[1]!Resources[COD],"&lt;="&amp;J$139,[1]!Resources[Retirement Date],"&gt;="&amp;J$139,[1]!Resources[Unique Key],$G187,[1]!Resources[Summer Rating],"&gt;"&amp;0),2),0)*J125/10^6</f>
        <v>4.8468749999999998</v>
      </c>
      <c r="K187" s="6">
        <f>IFERROR(ROUND(AVERAGEIFS([1]!Resources[Fixed O&amp;M Cost],[1]!Resources[COD],"&lt;="&amp;K$139,[1]!Resources[Retirement Date],"&gt;="&amp;K$139,[1]!Resources[Unique Key],$G187,[1]!Resources[Summer Rating],"&gt;"&amp;0),2),0)*K125/10^6</f>
        <v>22.295625000000001</v>
      </c>
      <c r="L187" s="6">
        <f>IFERROR(ROUND(AVERAGEIFS([1]!Resources[Fixed O&amp;M Cost],[1]!Resources[COD],"&lt;="&amp;L$139,[1]!Resources[Retirement Date],"&gt;="&amp;L$139,[1]!Resources[Unique Key],$G187,[1]!Resources[Summer Rating],"&gt;"&amp;0),2),0)*L125/10^6</f>
        <v>22.295625000000001</v>
      </c>
      <c r="M187" s="6">
        <f>IFERROR(ROUND(AVERAGEIFS([1]!Resources[Fixed O&amp;M Cost],[1]!Resources[COD],"&lt;="&amp;M$139,[1]!Resources[Retirement Date],"&gt;="&amp;M$139,[1]!Resources[Unique Key],$G187,[1]!Resources[Summer Rating],"&gt;"&amp;0),2),0)*M125/10^6</f>
        <v>22.295625000000001</v>
      </c>
      <c r="N187" s="6">
        <f>IFERROR(ROUND(AVERAGEIFS([1]!Resources[Fixed O&amp;M Cost],[1]!Resources[COD],"&lt;="&amp;N$139,[1]!Resources[Retirement Date],"&gt;="&amp;N$139,[1]!Resources[Unique Key],$G187,[1]!Resources[Summer Rating],"&gt;"&amp;0),2),0)*N125/10^6</f>
        <v>22.295625000000001</v>
      </c>
      <c r="O187" s="6">
        <f>IFERROR(ROUND(AVERAGEIFS([1]!Resources[Fixed O&amp;M Cost],[1]!Resources[COD],"&lt;="&amp;O$139,[1]!Resources[Retirement Date],"&gt;="&amp;O$139,[1]!Resources[Unique Key],$G187,[1]!Resources[Summer Rating],"&gt;"&amp;0),2),0)*O125/10^6</f>
        <v>22.295625000000001</v>
      </c>
      <c r="P187" s="6">
        <f>IFERROR(ROUND(AVERAGEIFS([1]!Resources[Fixed O&amp;M Cost],[1]!Resources[COD],"&lt;="&amp;P$139,[1]!Resources[Retirement Date],"&gt;="&amp;P$139,[1]!Resources[Unique Key],$G187,[1]!Resources[Summer Rating],"&gt;"&amp;0),2),0)*P125/10^6</f>
        <v>22.295625000000001</v>
      </c>
      <c r="Q187" s="6">
        <f>IFERROR(ROUND(AVERAGEIFS([1]!Resources[Fixed O&amp;M Cost],[1]!Resources[COD],"&lt;="&amp;Q$139,[1]!Resources[Retirement Date],"&gt;="&amp;Q$139,[1]!Resources[Unique Key],$G187,[1]!Resources[Summer Rating],"&gt;"&amp;0),2),0)*Q125/10^6</f>
        <v>22.295625000000001</v>
      </c>
      <c r="R187" s="6">
        <f>IFERROR(ROUND(AVERAGEIFS([1]!Resources[Fixed O&amp;M Cost],[1]!Resources[COD],"&lt;="&amp;R$139,[1]!Resources[Retirement Date],"&gt;="&amp;R$139,[1]!Resources[Unique Key],$G187,[1]!Resources[Summer Rating],"&gt;"&amp;0),2),0)*R125/10^6</f>
        <v>43.621875000000003</v>
      </c>
      <c r="S187" s="6">
        <f>IFERROR(ROUND(AVERAGEIFS([1]!Resources[Fixed O&amp;M Cost],[1]!Resources[COD],"&lt;="&amp;S$139,[1]!Resources[Retirement Date],"&gt;="&amp;S$139,[1]!Resources[Unique Key],$G187,[1]!Resources[Summer Rating],"&gt;"&amp;0),2),0)*S125/10^6</f>
        <v>43.621875000000003</v>
      </c>
      <c r="T187" s="6">
        <f>IFERROR(ROUND(AVERAGEIFS([1]!Resources[Fixed O&amp;M Cost],[1]!Resources[COD],"&lt;="&amp;T$139,[1]!Resources[Retirement Date],"&gt;="&amp;T$139,[1]!Resources[Unique Key],$G187,[1]!Resources[Summer Rating],"&gt;"&amp;0),2),0)*T125/10^6</f>
        <v>43.621875000000003</v>
      </c>
      <c r="U187" s="6">
        <f>IFERROR(ROUND(AVERAGEIFS([1]!Resources[Fixed O&amp;M Cost],[1]!Resources[COD],"&lt;="&amp;U$139,[1]!Resources[Retirement Date],"&gt;="&amp;U$139,[1]!Resources[Unique Key],$G187,[1]!Resources[Summer Rating],"&gt;"&amp;0),2),0)*U125/10^6</f>
        <v>43.621875000000003</v>
      </c>
      <c r="V187" s="6">
        <f>IFERROR(ROUND(AVERAGEIFS([1]!Resources[Fixed O&amp;M Cost],[1]!Resources[COD],"&lt;="&amp;V$139,[1]!Resources[Retirement Date],"&gt;="&amp;V$139,[1]!Resources[Unique Key],$G187,[1]!Resources[Summer Rating],"&gt;"&amp;0),2),0)*V125/10^6</f>
        <v>43.621875000000003</v>
      </c>
      <c r="W187" s="6">
        <f>IFERROR(ROUND(AVERAGEIFS([1]!Resources[Fixed O&amp;M Cost],[1]!Resources[COD],"&lt;="&amp;W$139,[1]!Resources[Retirement Date],"&gt;="&amp;W$139,[1]!Resources[Unique Key],$G187,[1]!Resources[Summer Rating],"&gt;"&amp;0),2),0)*W125/10^6</f>
        <v>43.621875000000003</v>
      </c>
      <c r="X187" s="6">
        <f>IFERROR(ROUND(AVERAGEIFS([1]!Resources[Fixed O&amp;M Cost],[1]!Resources[COD],"&lt;="&amp;X$139,[1]!Resources[Retirement Date],"&gt;="&amp;X$139,[1]!Resources[Unique Key],$G187,[1]!Resources[Summer Rating],"&gt;"&amp;0),2),0)*X125/10^6</f>
        <v>43.621875000000003</v>
      </c>
      <c r="Y187" s="6">
        <f>IFERROR(ROUND(AVERAGEIFS([1]!Resources[Fixed O&amp;M Cost],[1]!Resources[COD],"&lt;="&amp;Y$139,[1]!Resources[Retirement Date],"&gt;="&amp;Y$139,[1]!Resources[Unique Key],$G187,[1]!Resources[Summer Rating],"&gt;"&amp;0),2),0)*Y125/10^6</f>
        <v>43.621875000000003</v>
      </c>
      <c r="Z187" s="6">
        <f>IFERROR(ROUND(AVERAGEIFS([1]!Resources[Fixed O&amp;M Cost],[1]!Resources[COD],"&lt;="&amp;Z$139,[1]!Resources[Retirement Date],"&gt;="&amp;Z$139,[1]!Resources[Unique Key],$G187,[1]!Resources[Summer Rating],"&gt;"&amp;0),2),0)*Z125/10^6</f>
        <v>43.621875000000003</v>
      </c>
      <c r="AA187" s="6">
        <f>IFERROR(ROUND(AVERAGEIFS([1]!Resources[Fixed O&amp;M Cost],[1]!Resources[COD],"&lt;="&amp;AA$139,[1]!Resources[Retirement Date],"&gt;="&amp;AA$139,[1]!Resources[Unique Key],$G187,[1]!Resources[Summer Rating],"&gt;"&amp;0),2),0)*AA125/10^6</f>
        <v>43.621875000000003</v>
      </c>
      <c r="AB187" s="6">
        <f>IFERROR(ROUND(AVERAGEIFS([1]!Resources[Fixed O&amp;M Cost],[1]!Resources[COD],"&lt;="&amp;AB$139,[1]!Resources[Retirement Date],"&gt;="&amp;AB$139,[1]!Resources[Unique Key],$G187,[1]!Resources[Summer Rating],"&gt;"&amp;0),2),0)*AB125/10^6</f>
        <v>43.621875000000003</v>
      </c>
      <c r="AC187" s="6">
        <f>IFERROR(ROUND(AVERAGEIFS([1]!Resources[Fixed O&amp;M Cost],[1]!Resources[COD],"&lt;="&amp;AC$139,[1]!Resources[Retirement Date],"&gt;="&amp;AC$139,[1]!Resources[Unique Key],$G187,[1]!Resources[Summer Rating],"&gt;"&amp;0),2),0)*AC125/10^6</f>
        <v>43.621875000000003</v>
      </c>
      <c r="AD187" s="6">
        <f>IFERROR(ROUND(AVERAGEIFS([1]!Resources[Fixed O&amp;M Cost],[1]!Resources[COD],"&lt;="&amp;AD$139,[1]!Resources[Retirement Date],"&gt;="&amp;AD$139,[1]!Resources[Unique Key],$G187,[1]!Resources[Summer Rating],"&gt;"&amp;0),2),0)*AD125/10^6</f>
        <v>43.621875000000003</v>
      </c>
      <c r="AE187" s="6">
        <f>IFERROR(ROUND(AVERAGEIFS([1]!Resources[Fixed O&amp;M Cost],[1]!Resources[COD],"&lt;="&amp;AE$139,[1]!Resources[Retirement Date],"&gt;="&amp;AE$139,[1]!Resources[Unique Key],$G187,[1]!Resources[Summer Rating],"&gt;"&amp;0),2),0)*AE125/10^6</f>
        <v>43.621875000000003</v>
      </c>
      <c r="AF187" s="6">
        <f>IFERROR(ROUND(AVERAGEIFS([1]!Resources[Fixed O&amp;M Cost],[1]!Resources[COD],"&lt;="&amp;AF$139,[1]!Resources[Retirement Date],"&gt;="&amp;AF$139,[1]!Resources[Unique Key],$G187,[1]!Resources[Summer Rating],"&gt;"&amp;0),2),0)*AF125/10^6</f>
        <v>43.621875000000003</v>
      </c>
      <c r="AG187" s="6">
        <f>IFERROR(ROUND(AVERAGEIFS([1]!Resources[Fixed O&amp;M Cost],[1]!Resources[COD],"&lt;="&amp;AG$139,[1]!Resources[Retirement Date],"&gt;="&amp;AG$139,[1]!Resources[Unique Key],$G187,[1]!Resources[Summer Rating],"&gt;"&amp;0),2),0)*AG125/10^6</f>
        <v>43.621875000000003</v>
      </c>
      <c r="AI187" s="5" t="s">
        <v>91</v>
      </c>
      <c r="AJ187" s="13">
        <f>AJ188</f>
        <v>98319.034976507741</v>
      </c>
      <c r="AK187" s="13">
        <f t="shared" ref="AK187:BI187" si="40">AK188</f>
        <v>93359.339407093386</v>
      </c>
      <c r="AL187" s="13">
        <f t="shared" si="40"/>
        <v>88399.279981183441</v>
      </c>
      <c r="AM187" s="13">
        <f t="shared" si="40"/>
        <v>83438.813206015431</v>
      </c>
      <c r="AN187" s="13">
        <f t="shared" si="40"/>
        <v>78477.886791427518</v>
      </c>
      <c r="AO187" s="13">
        <f t="shared" si="40"/>
        <v>73516.441033718656</v>
      </c>
      <c r="AP187" s="13">
        <f t="shared" si="40"/>
        <v>71534.312163931085</v>
      </c>
      <c r="AQ187" s="13">
        <f t="shared" si="40"/>
        <v>69552.245271329884</v>
      </c>
      <c r="AR187" s="13">
        <f t="shared" si="40"/>
        <v>67570.242530553078</v>
      </c>
      <c r="AS187" s="13">
        <f t="shared" si="40"/>
        <v>65588.306412780337</v>
      </c>
      <c r="AT187" s="13">
        <f t="shared" si="40"/>
        <v>63606.439389191422</v>
      </c>
      <c r="AU187" s="13">
        <f t="shared" si="40"/>
        <v>61624.644721743411</v>
      </c>
      <c r="AV187" s="13">
        <f t="shared" si="40"/>
        <v>59642.9250793104</v>
      </c>
      <c r="AW187" s="13">
        <f t="shared" si="40"/>
        <v>57661.283921543967</v>
      </c>
      <c r="AX187" s="13">
        <f t="shared" si="40"/>
        <v>55679.724115012476</v>
      </c>
      <c r="AY187" s="13">
        <f t="shared" si="40"/>
        <v>53698.249613603468</v>
      </c>
      <c r="AZ187" s="13">
        <f t="shared" si="40"/>
        <v>51716.8635804269</v>
      </c>
      <c r="BA187" s="13">
        <f t="shared" si="40"/>
        <v>49735.570167064609</v>
      </c>
      <c r="BB187" s="13">
        <f t="shared" si="40"/>
        <v>47754.373722792894</v>
      </c>
      <c r="BC187" s="13">
        <f t="shared" si="40"/>
        <v>45773.278695735098</v>
      </c>
      <c r="BD187" s="13">
        <f t="shared" si="40"/>
        <v>43792.289534014686</v>
      </c>
      <c r="BE187" s="13">
        <f t="shared" si="40"/>
        <v>41811.410883449411</v>
      </c>
      <c r="BF187" s="13">
        <f t="shared" si="40"/>
        <v>39830.648576023363</v>
      </c>
      <c r="BG187" s="13">
        <f t="shared" si="40"/>
        <v>37850.007850637441</v>
      </c>
      <c r="BH187" s="13">
        <f t="shared" si="40"/>
        <v>35869.495231205947</v>
      </c>
      <c r="BI187" s="13">
        <f t="shared" si="40"/>
        <v>33889.116253171422</v>
      </c>
    </row>
    <row r="188" spans="7:61" ht="16" x14ac:dyDescent="0.2">
      <c r="G188" s="5" t="s">
        <v>92</v>
      </c>
      <c r="H188" s="6">
        <f>IFERROR(ROUND(AVERAGEIFS([1]!Resources[Fixed O&amp;M Cost],[1]!Resources[COD],"&lt;="&amp;H$139,[1]!Resources[Retirement Date],"&gt;="&amp;H$139,[1]!Resources[Unique Key],$G188,[1]!Resources[Summer Rating],"&gt;"&amp;0),2),0)*H126/10^6</f>
        <v>0</v>
      </c>
      <c r="I188" s="6">
        <f>IFERROR(ROUND(AVERAGEIFS([1]!Resources[Fixed O&amp;M Cost],[1]!Resources[COD],"&lt;="&amp;I$139,[1]!Resources[Retirement Date],"&gt;="&amp;I$139,[1]!Resources[Unique Key],$G188,[1]!Resources[Summer Rating],"&gt;"&amp;0),2),0)*I126/10^6</f>
        <v>0</v>
      </c>
      <c r="J188" s="6">
        <f>IFERROR(ROUND(AVERAGEIFS([1]!Resources[Fixed O&amp;M Cost],[1]!Resources[COD],"&lt;="&amp;J$139,[1]!Resources[Retirement Date],"&gt;="&amp;J$139,[1]!Resources[Unique Key],$G188,[1]!Resources[Summer Rating],"&gt;"&amp;0),2),0)*J126/10^6</f>
        <v>0</v>
      </c>
      <c r="K188" s="6">
        <f>IFERROR(ROUND(AVERAGEIFS([1]!Resources[Fixed O&amp;M Cost],[1]!Resources[COD],"&lt;="&amp;K$139,[1]!Resources[Retirement Date],"&gt;="&amp;K$139,[1]!Resources[Unique Key],$G188,[1]!Resources[Summer Rating],"&gt;"&amp;0),2),0)*K126/10^6</f>
        <v>0</v>
      </c>
      <c r="L188" s="6">
        <f>IFERROR(ROUND(AVERAGEIFS([1]!Resources[Fixed O&amp;M Cost],[1]!Resources[COD],"&lt;="&amp;L$139,[1]!Resources[Retirement Date],"&gt;="&amp;L$139,[1]!Resources[Unique Key],$G188,[1]!Resources[Summer Rating],"&gt;"&amp;0),2),0)*L126/10^6</f>
        <v>0</v>
      </c>
      <c r="M188" s="6">
        <f>IFERROR(ROUND(AVERAGEIFS([1]!Resources[Fixed O&amp;M Cost],[1]!Resources[COD],"&lt;="&amp;M$139,[1]!Resources[Retirement Date],"&gt;="&amp;M$139,[1]!Resources[Unique Key],$G188,[1]!Resources[Summer Rating],"&gt;"&amp;0),2),0)*M126/10^6</f>
        <v>0</v>
      </c>
      <c r="N188" s="6">
        <f>IFERROR(ROUND(AVERAGEIFS([1]!Resources[Fixed O&amp;M Cost],[1]!Resources[COD],"&lt;="&amp;N$139,[1]!Resources[Retirement Date],"&gt;="&amp;N$139,[1]!Resources[Unique Key],$G188,[1]!Resources[Summer Rating],"&gt;"&amp;0),2),0)*N126/10^6</f>
        <v>0</v>
      </c>
      <c r="O188" s="6">
        <f>IFERROR(ROUND(AVERAGEIFS([1]!Resources[Fixed O&amp;M Cost],[1]!Resources[COD],"&lt;="&amp;O$139,[1]!Resources[Retirement Date],"&gt;="&amp;O$139,[1]!Resources[Unique Key],$G188,[1]!Resources[Summer Rating],"&gt;"&amp;0),2),0)*O126/10^6</f>
        <v>0</v>
      </c>
      <c r="P188" s="6">
        <f>IFERROR(ROUND(AVERAGEIFS([1]!Resources[Fixed O&amp;M Cost],[1]!Resources[COD],"&lt;="&amp;P$139,[1]!Resources[Retirement Date],"&gt;="&amp;P$139,[1]!Resources[Unique Key],$G188,[1]!Resources[Summer Rating],"&gt;"&amp;0),2),0)*P126/10^6</f>
        <v>0</v>
      </c>
      <c r="Q188" s="6">
        <f>IFERROR(ROUND(AVERAGEIFS([1]!Resources[Fixed O&amp;M Cost],[1]!Resources[COD],"&lt;="&amp;Q$139,[1]!Resources[Retirement Date],"&gt;="&amp;Q$139,[1]!Resources[Unique Key],$G188,[1]!Resources[Summer Rating],"&gt;"&amp;0),2),0)*Q126/10^6</f>
        <v>0</v>
      </c>
      <c r="R188" s="6">
        <f>IFERROR(ROUND(AVERAGEIFS([1]!Resources[Fixed O&amp;M Cost],[1]!Resources[COD],"&lt;="&amp;R$139,[1]!Resources[Retirement Date],"&gt;="&amp;R$139,[1]!Resources[Unique Key],$G188,[1]!Resources[Summer Rating],"&gt;"&amp;0),2),0)*R126/10^6</f>
        <v>0</v>
      </c>
      <c r="S188" s="6">
        <f>IFERROR(ROUND(AVERAGEIFS([1]!Resources[Fixed O&amp;M Cost],[1]!Resources[COD],"&lt;="&amp;S$139,[1]!Resources[Retirement Date],"&gt;="&amp;S$139,[1]!Resources[Unique Key],$G188,[1]!Resources[Summer Rating],"&gt;"&amp;0),2),0)*S126/10^6</f>
        <v>0</v>
      </c>
      <c r="T188" s="6">
        <f>IFERROR(ROUND(AVERAGEIFS([1]!Resources[Fixed O&amp;M Cost],[1]!Resources[COD],"&lt;="&amp;T$139,[1]!Resources[Retirement Date],"&gt;="&amp;T$139,[1]!Resources[Unique Key],$G188,[1]!Resources[Summer Rating],"&gt;"&amp;0),2),0)*T126/10^6</f>
        <v>0</v>
      </c>
      <c r="U188" s="6">
        <f>IFERROR(ROUND(AVERAGEIFS([1]!Resources[Fixed O&amp;M Cost],[1]!Resources[COD],"&lt;="&amp;U$139,[1]!Resources[Retirement Date],"&gt;="&amp;U$139,[1]!Resources[Unique Key],$G188,[1]!Resources[Summer Rating],"&gt;"&amp;0),2),0)*U126/10^6</f>
        <v>0</v>
      </c>
      <c r="V188" s="6">
        <f>IFERROR(ROUND(AVERAGEIFS([1]!Resources[Fixed O&amp;M Cost],[1]!Resources[COD],"&lt;="&amp;V$139,[1]!Resources[Retirement Date],"&gt;="&amp;V$139,[1]!Resources[Unique Key],$G188,[1]!Resources[Summer Rating],"&gt;"&amp;0),2),0)*V126/10^6</f>
        <v>0</v>
      </c>
      <c r="W188" s="6">
        <f>IFERROR(ROUND(AVERAGEIFS([1]!Resources[Fixed O&amp;M Cost],[1]!Resources[COD],"&lt;="&amp;W$139,[1]!Resources[Retirement Date],"&gt;="&amp;W$139,[1]!Resources[Unique Key],$G188,[1]!Resources[Summer Rating],"&gt;"&amp;0),2),0)*W126/10^6</f>
        <v>0</v>
      </c>
      <c r="X188" s="6">
        <f>IFERROR(ROUND(AVERAGEIFS([1]!Resources[Fixed O&amp;M Cost],[1]!Resources[COD],"&lt;="&amp;X$139,[1]!Resources[Retirement Date],"&gt;="&amp;X$139,[1]!Resources[Unique Key],$G188,[1]!Resources[Summer Rating],"&gt;"&amp;0),2),0)*X126/10^6</f>
        <v>0</v>
      </c>
      <c r="Y188" s="6">
        <f>IFERROR(ROUND(AVERAGEIFS([1]!Resources[Fixed O&amp;M Cost],[1]!Resources[COD],"&lt;="&amp;Y$139,[1]!Resources[Retirement Date],"&gt;="&amp;Y$139,[1]!Resources[Unique Key],$G188,[1]!Resources[Summer Rating],"&gt;"&amp;0),2),0)*Y126/10^6</f>
        <v>0</v>
      </c>
      <c r="Z188" s="6">
        <f>IFERROR(ROUND(AVERAGEIFS([1]!Resources[Fixed O&amp;M Cost],[1]!Resources[COD],"&lt;="&amp;Z$139,[1]!Resources[Retirement Date],"&gt;="&amp;Z$139,[1]!Resources[Unique Key],$G188,[1]!Resources[Summer Rating],"&gt;"&amp;0),2),0)*Z126/10^6</f>
        <v>0</v>
      </c>
      <c r="AA188" s="6">
        <f>IFERROR(ROUND(AVERAGEIFS([1]!Resources[Fixed O&amp;M Cost],[1]!Resources[COD],"&lt;="&amp;AA$139,[1]!Resources[Retirement Date],"&gt;="&amp;AA$139,[1]!Resources[Unique Key],$G188,[1]!Resources[Summer Rating],"&gt;"&amp;0),2),0)*AA126/10^6</f>
        <v>0</v>
      </c>
      <c r="AB188" s="6">
        <f>IFERROR(ROUND(AVERAGEIFS([1]!Resources[Fixed O&amp;M Cost],[1]!Resources[COD],"&lt;="&amp;AB$139,[1]!Resources[Retirement Date],"&gt;="&amp;AB$139,[1]!Resources[Unique Key],$G188,[1]!Resources[Summer Rating],"&gt;"&amp;0),2),0)*AB126/10^6</f>
        <v>0</v>
      </c>
      <c r="AC188" s="6">
        <f>IFERROR(ROUND(AVERAGEIFS([1]!Resources[Fixed O&amp;M Cost],[1]!Resources[COD],"&lt;="&amp;AC$139,[1]!Resources[Retirement Date],"&gt;="&amp;AC$139,[1]!Resources[Unique Key],$G188,[1]!Resources[Summer Rating],"&gt;"&amp;0),2),0)*AC126/10^6</f>
        <v>0</v>
      </c>
      <c r="AD188" s="6">
        <f>IFERROR(ROUND(AVERAGEIFS([1]!Resources[Fixed O&amp;M Cost],[1]!Resources[COD],"&lt;="&amp;AD$139,[1]!Resources[Retirement Date],"&gt;="&amp;AD$139,[1]!Resources[Unique Key],$G188,[1]!Resources[Summer Rating],"&gt;"&amp;0),2),0)*AD126/10^6</f>
        <v>0</v>
      </c>
      <c r="AE188" s="6">
        <f>IFERROR(ROUND(AVERAGEIFS([1]!Resources[Fixed O&amp;M Cost],[1]!Resources[COD],"&lt;="&amp;AE$139,[1]!Resources[Retirement Date],"&gt;="&amp;AE$139,[1]!Resources[Unique Key],$G188,[1]!Resources[Summer Rating],"&gt;"&amp;0),2),0)*AE126/10^6</f>
        <v>0</v>
      </c>
      <c r="AF188" s="6">
        <f>IFERROR(ROUND(AVERAGEIFS([1]!Resources[Fixed O&amp;M Cost],[1]!Resources[COD],"&lt;="&amp;AF$139,[1]!Resources[Retirement Date],"&gt;="&amp;AF$139,[1]!Resources[Unique Key],$G188,[1]!Resources[Summer Rating],"&gt;"&amp;0),2),0)*AF126/10^6</f>
        <v>0</v>
      </c>
      <c r="AG188" s="6">
        <f>IFERROR(ROUND(AVERAGEIFS([1]!Resources[Fixed O&amp;M Cost],[1]!Resources[COD],"&lt;="&amp;AG$139,[1]!Resources[Retirement Date],"&gt;="&amp;AG$139,[1]!Resources[Unique Key],$G188,[1]!Resources[Summer Rating],"&gt;"&amp;0),2),0)*AG126/10^6</f>
        <v>0</v>
      </c>
      <c r="AI188" s="5" t="s">
        <v>92</v>
      </c>
      <c r="AJ188" s="6">
        <f>IFERROR(INDEX('[1]Technology Defaults'!$B$18:$AA$31,MATCH($AI188,'[1]Technology Defaults'!$A$18:$A$31,0),MATCH(AJ$139,'[1]Technology Defaults'!$B$17:$AA$17,0)),0)</f>
        <v>98319.034976507741</v>
      </c>
      <c r="AK188" s="6">
        <f>IFERROR(INDEX('[1]Technology Defaults'!$B$18:$AA$31,MATCH($AI188,'[1]Technology Defaults'!$A$18:$A$31,0),MATCH(AK$139,'[1]Technology Defaults'!$B$17:$AA$17,0)),0)</f>
        <v>93359.339407093386</v>
      </c>
      <c r="AL188" s="6">
        <f>IFERROR(INDEX('[1]Technology Defaults'!$B$18:$AA$31,MATCH($AI188,'[1]Technology Defaults'!$A$18:$A$31,0),MATCH(AL$139,'[1]Technology Defaults'!$B$17:$AA$17,0)),0)</f>
        <v>88399.279981183441</v>
      </c>
      <c r="AM188" s="6">
        <f>IFERROR(INDEX('[1]Technology Defaults'!$B$18:$AA$31,MATCH($AI188,'[1]Technology Defaults'!$A$18:$A$31,0),MATCH(AM$139,'[1]Technology Defaults'!$B$17:$AA$17,0)),0)</f>
        <v>83438.813206015431</v>
      </c>
      <c r="AN188" s="6">
        <f>IFERROR(INDEX('[1]Technology Defaults'!$B$18:$AA$31,MATCH($AI188,'[1]Technology Defaults'!$A$18:$A$31,0),MATCH(AN$139,'[1]Technology Defaults'!$B$17:$AA$17,0)),0)</f>
        <v>78477.886791427518</v>
      </c>
      <c r="AO188" s="6">
        <f>IFERROR(INDEX('[1]Technology Defaults'!$B$18:$AA$31,MATCH($AI188,'[1]Technology Defaults'!$A$18:$A$31,0),MATCH(AO$139,'[1]Technology Defaults'!$B$17:$AA$17,0)),0)</f>
        <v>73516.441033718656</v>
      </c>
      <c r="AP188" s="6">
        <f>IFERROR(INDEX('[1]Technology Defaults'!$B$18:$AA$31,MATCH($AI188,'[1]Technology Defaults'!$A$18:$A$31,0),MATCH(AP$139,'[1]Technology Defaults'!$B$17:$AA$17,0)),0)</f>
        <v>71534.312163931085</v>
      </c>
      <c r="AQ188" s="6">
        <f>IFERROR(INDEX('[1]Technology Defaults'!$B$18:$AA$31,MATCH($AI188,'[1]Technology Defaults'!$A$18:$A$31,0),MATCH(AQ$139,'[1]Technology Defaults'!$B$17:$AA$17,0)),0)</f>
        <v>69552.245271329884</v>
      </c>
      <c r="AR188" s="6">
        <f>IFERROR(INDEX('[1]Technology Defaults'!$B$18:$AA$31,MATCH($AI188,'[1]Technology Defaults'!$A$18:$A$31,0),MATCH(AR$139,'[1]Technology Defaults'!$B$17:$AA$17,0)),0)</f>
        <v>67570.242530553078</v>
      </c>
      <c r="AS188" s="6">
        <f>IFERROR(INDEX('[1]Technology Defaults'!$B$18:$AA$31,MATCH($AI188,'[1]Technology Defaults'!$A$18:$A$31,0),MATCH(AS$139,'[1]Technology Defaults'!$B$17:$AA$17,0)),0)</f>
        <v>65588.306412780337</v>
      </c>
      <c r="AT188" s="6">
        <f>IFERROR(INDEX('[1]Technology Defaults'!$B$18:$AA$31,MATCH($AI188,'[1]Technology Defaults'!$A$18:$A$31,0),MATCH(AT$139,'[1]Technology Defaults'!$B$17:$AA$17,0)),0)</f>
        <v>63606.439389191422</v>
      </c>
      <c r="AU188" s="6">
        <f>IFERROR(INDEX('[1]Technology Defaults'!$B$18:$AA$31,MATCH($AI188,'[1]Technology Defaults'!$A$18:$A$31,0),MATCH(AU$139,'[1]Technology Defaults'!$B$17:$AA$17,0)),0)</f>
        <v>61624.644721743411</v>
      </c>
      <c r="AV188" s="6">
        <f>IFERROR(INDEX('[1]Technology Defaults'!$B$18:$AA$31,MATCH($AI188,'[1]Technology Defaults'!$A$18:$A$31,0),MATCH(AV$139,'[1]Technology Defaults'!$B$17:$AA$17,0)),0)</f>
        <v>59642.9250793104</v>
      </c>
      <c r="AW188" s="6">
        <f>IFERROR(INDEX('[1]Technology Defaults'!$B$18:$AA$31,MATCH($AI188,'[1]Technology Defaults'!$A$18:$A$31,0),MATCH(AW$139,'[1]Technology Defaults'!$B$17:$AA$17,0)),0)</f>
        <v>57661.283921543967</v>
      </c>
      <c r="AX188" s="6">
        <f>IFERROR(INDEX('[1]Technology Defaults'!$B$18:$AA$31,MATCH($AI188,'[1]Technology Defaults'!$A$18:$A$31,0),MATCH(AX$139,'[1]Technology Defaults'!$B$17:$AA$17,0)),0)</f>
        <v>55679.724115012476</v>
      </c>
      <c r="AY188" s="6">
        <f>IFERROR(INDEX('[1]Technology Defaults'!$B$18:$AA$31,MATCH($AI188,'[1]Technology Defaults'!$A$18:$A$31,0),MATCH(AY$139,'[1]Technology Defaults'!$B$17:$AA$17,0)),0)</f>
        <v>53698.249613603468</v>
      </c>
      <c r="AZ188" s="6">
        <f>IFERROR(INDEX('[1]Technology Defaults'!$B$18:$AA$31,MATCH($AI188,'[1]Technology Defaults'!$A$18:$A$31,0),MATCH(AZ$139,'[1]Technology Defaults'!$B$17:$AA$17,0)),0)</f>
        <v>51716.8635804269</v>
      </c>
      <c r="BA188" s="6">
        <f>IFERROR(INDEX('[1]Technology Defaults'!$B$18:$AA$31,MATCH($AI188,'[1]Technology Defaults'!$A$18:$A$31,0),MATCH(BA$139,'[1]Technology Defaults'!$B$17:$AA$17,0)),0)</f>
        <v>49735.570167064609</v>
      </c>
      <c r="BB188" s="6">
        <f>IFERROR(INDEX('[1]Technology Defaults'!$B$18:$AA$31,MATCH($AI188,'[1]Technology Defaults'!$A$18:$A$31,0),MATCH(BB$139,'[1]Technology Defaults'!$B$17:$AA$17,0)),0)</f>
        <v>47754.373722792894</v>
      </c>
      <c r="BC188" s="6">
        <f>IFERROR(INDEX('[1]Technology Defaults'!$B$18:$AA$31,MATCH($AI188,'[1]Technology Defaults'!$A$18:$A$31,0),MATCH(BC$139,'[1]Technology Defaults'!$B$17:$AA$17,0)),0)</f>
        <v>45773.278695735098</v>
      </c>
      <c r="BD188" s="6">
        <f>IFERROR(INDEX('[1]Technology Defaults'!$B$18:$AA$31,MATCH($AI188,'[1]Technology Defaults'!$A$18:$A$31,0),MATCH(BD$139,'[1]Technology Defaults'!$B$17:$AA$17,0)),0)</f>
        <v>43792.289534014686</v>
      </c>
      <c r="BE188" s="6">
        <f>IFERROR(INDEX('[1]Technology Defaults'!$B$18:$AA$31,MATCH($AI188,'[1]Technology Defaults'!$A$18:$A$31,0),MATCH(BE$139,'[1]Technology Defaults'!$B$17:$AA$17,0)),0)</f>
        <v>41811.410883449411</v>
      </c>
      <c r="BF188" s="6">
        <f>IFERROR(INDEX('[1]Technology Defaults'!$B$18:$AA$31,MATCH($AI188,'[1]Technology Defaults'!$A$18:$A$31,0),MATCH(BF$139,'[1]Technology Defaults'!$B$17:$AA$17,0)),0)</f>
        <v>39830.648576023363</v>
      </c>
      <c r="BG188" s="6">
        <f>IFERROR(INDEX('[1]Technology Defaults'!$B$18:$AA$31,MATCH($AI188,'[1]Technology Defaults'!$A$18:$A$31,0),MATCH(BG$139,'[1]Technology Defaults'!$B$17:$AA$17,0)),0)</f>
        <v>37850.007850637441</v>
      </c>
      <c r="BH188" s="6">
        <f>IFERROR(INDEX('[1]Technology Defaults'!$B$18:$AA$31,MATCH($AI188,'[1]Technology Defaults'!$A$18:$A$31,0),MATCH(BH$139,'[1]Technology Defaults'!$B$17:$AA$17,0)),0)</f>
        <v>35869.495231205947</v>
      </c>
      <c r="BI188" s="6">
        <f>IFERROR(INDEX('[1]Technology Defaults'!$B$18:$AA$31,MATCH($AI188,'[1]Technology Defaults'!$A$18:$A$31,0),MATCH(BI$139,'[1]Technology Defaults'!$B$17:$AA$17,0)),0)</f>
        <v>33889.116253171422</v>
      </c>
    </row>
    <row r="189" spans="7:61" ht="16" x14ac:dyDescent="0.2">
      <c r="G189" s="5" t="s">
        <v>93</v>
      </c>
      <c r="H189" s="6">
        <f>IFERROR(ROUND(AVERAGEIFS([1]!Resources[Fixed O&amp;M Cost],[1]!Resources[COD],"&lt;="&amp;H$139,[1]!Resources[Retirement Date],"&gt;="&amp;H$139,[1]!Resources[Unique Key],$G189,[1]!Resources[Summer Rating],"&gt;"&amp;0),2),0)*H127/10^6</f>
        <v>0</v>
      </c>
      <c r="I189" s="6">
        <f>IFERROR(ROUND(AVERAGEIFS([1]!Resources[Fixed O&amp;M Cost],[1]!Resources[COD],"&lt;="&amp;I$139,[1]!Resources[Retirement Date],"&gt;="&amp;I$139,[1]!Resources[Unique Key],$G189,[1]!Resources[Summer Rating],"&gt;"&amp;0),2),0)*I127/10^6</f>
        <v>0</v>
      </c>
      <c r="J189" s="6">
        <f>IFERROR(ROUND(AVERAGEIFS([1]!Resources[Fixed O&amp;M Cost],[1]!Resources[COD],"&lt;="&amp;J$139,[1]!Resources[Retirement Date],"&gt;="&amp;J$139,[1]!Resources[Unique Key],$G189,[1]!Resources[Summer Rating],"&gt;"&amp;0),2),0)*J127/10^6</f>
        <v>0</v>
      </c>
      <c r="K189" s="6">
        <f>IFERROR(ROUND(AVERAGEIFS([1]!Resources[Fixed O&amp;M Cost],[1]!Resources[COD],"&lt;="&amp;K$139,[1]!Resources[Retirement Date],"&gt;="&amp;K$139,[1]!Resources[Unique Key],$G189,[1]!Resources[Summer Rating],"&gt;"&amp;0),2),0)*K127/10^6</f>
        <v>0</v>
      </c>
      <c r="L189" s="6">
        <f>IFERROR(ROUND(AVERAGEIFS([1]!Resources[Fixed O&amp;M Cost],[1]!Resources[COD],"&lt;="&amp;L$139,[1]!Resources[Retirement Date],"&gt;="&amp;L$139,[1]!Resources[Unique Key],$G189,[1]!Resources[Summer Rating],"&gt;"&amp;0),2),0)*L127/10^6</f>
        <v>0</v>
      </c>
      <c r="M189" s="6">
        <f>IFERROR(ROUND(AVERAGEIFS([1]!Resources[Fixed O&amp;M Cost],[1]!Resources[COD],"&lt;="&amp;M$139,[1]!Resources[Retirement Date],"&gt;="&amp;M$139,[1]!Resources[Unique Key],$G189,[1]!Resources[Summer Rating],"&gt;"&amp;0),2),0)*M127/10^6</f>
        <v>0</v>
      </c>
      <c r="N189" s="6">
        <f>IFERROR(ROUND(AVERAGEIFS([1]!Resources[Fixed O&amp;M Cost],[1]!Resources[COD],"&lt;="&amp;N$139,[1]!Resources[Retirement Date],"&gt;="&amp;N$139,[1]!Resources[Unique Key],$G189,[1]!Resources[Summer Rating],"&gt;"&amp;0),2),0)*N127/10^6</f>
        <v>0</v>
      </c>
      <c r="O189" s="6">
        <f>IFERROR(ROUND(AVERAGEIFS([1]!Resources[Fixed O&amp;M Cost],[1]!Resources[COD],"&lt;="&amp;O$139,[1]!Resources[Retirement Date],"&gt;="&amp;O$139,[1]!Resources[Unique Key],$G189,[1]!Resources[Summer Rating],"&gt;"&amp;0),2),0)*O127/10^6</f>
        <v>0</v>
      </c>
      <c r="P189" s="6">
        <f>IFERROR(ROUND(AVERAGEIFS([1]!Resources[Fixed O&amp;M Cost],[1]!Resources[COD],"&lt;="&amp;P$139,[1]!Resources[Retirement Date],"&gt;="&amp;P$139,[1]!Resources[Unique Key],$G189,[1]!Resources[Summer Rating],"&gt;"&amp;0),2),0)*P127/10^6</f>
        <v>0</v>
      </c>
      <c r="Q189" s="6">
        <f>IFERROR(ROUND(AVERAGEIFS([1]!Resources[Fixed O&amp;M Cost],[1]!Resources[COD],"&lt;="&amp;Q$139,[1]!Resources[Retirement Date],"&gt;="&amp;Q$139,[1]!Resources[Unique Key],$G189,[1]!Resources[Summer Rating],"&gt;"&amp;0),2),0)*Q127/10^6</f>
        <v>0</v>
      </c>
      <c r="R189" s="6">
        <f>IFERROR(ROUND(AVERAGEIFS([1]!Resources[Fixed O&amp;M Cost],[1]!Resources[COD],"&lt;="&amp;R$139,[1]!Resources[Retirement Date],"&gt;="&amp;R$139,[1]!Resources[Unique Key],$G189,[1]!Resources[Summer Rating],"&gt;"&amp;0),2),0)*R127/10^6</f>
        <v>0</v>
      </c>
      <c r="S189" s="6">
        <f>IFERROR(ROUND(AVERAGEIFS([1]!Resources[Fixed O&amp;M Cost],[1]!Resources[COD],"&lt;="&amp;S$139,[1]!Resources[Retirement Date],"&gt;="&amp;S$139,[1]!Resources[Unique Key],$G189,[1]!Resources[Summer Rating],"&gt;"&amp;0),2),0)*S127/10^6</f>
        <v>0</v>
      </c>
      <c r="T189" s="6">
        <f>IFERROR(ROUND(AVERAGEIFS([1]!Resources[Fixed O&amp;M Cost],[1]!Resources[COD],"&lt;="&amp;T$139,[1]!Resources[Retirement Date],"&gt;="&amp;T$139,[1]!Resources[Unique Key],$G189,[1]!Resources[Summer Rating],"&gt;"&amp;0),2),0)*T127/10^6</f>
        <v>0</v>
      </c>
      <c r="U189" s="6">
        <f>IFERROR(ROUND(AVERAGEIFS([1]!Resources[Fixed O&amp;M Cost],[1]!Resources[COD],"&lt;="&amp;U$139,[1]!Resources[Retirement Date],"&gt;="&amp;U$139,[1]!Resources[Unique Key],$G189,[1]!Resources[Summer Rating],"&gt;"&amp;0),2),0)*U127/10^6</f>
        <v>0</v>
      </c>
      <c r="V189" s="6">
        <f>IFERROR(ROUND(AVERAGEIFS([1]!Resources[Fixed O&amp;M Cost],[1]!Resources[COD],"&lt;="&amp;V$139,[1]!Resources[Retirement Date],"&gt;="&amp;V$139,[1]!Resources[Unique Key],$G189,[1]!Resources[Summer Rating],"&gt;"&amp;0),2),0)*V127/10^6</f>
        <v>0</v>
      </c>
      <c r="W189" s="6">
        <f>IFERROR(ROUND(AVERAGEIFS([1]!Resources[Fixed O&amp;M Cost],[1]!Resources[COD],"&lt;="&amp;W$139,[1]!Resources[Retirement Date],"&gt;="&amp;W$139,[1]!Resources[Unique Key],$G189,[1]!Resources[Summer Rating],"&gt;"&amp;0),2),0)*W127/10^6</f>
        <v>0</v>
      </c>
      <c r="X189" s="6">
        <f>IFERROR(ROUND(AVERAGEIFS([1]!Resources[Fixed O&amp;M Cost],[1]!Resources[COD],"&lt;="&amp;X$139,[1]!Resources[Retirement Date],"&gt;="&amp;X$139,[1]!Resources[Unique Key],$G189,[1]!Resources[Summer Rating],"&gt;"&amp;0),2),0)*X127/10^6</f>
        <v>0</v>
      </c>
      <c r="Y189" s="6">
        <f>IFERROR(ROUND(AVERAGEIFS([1]!Resources[Fixed O&amp;M Cost],[1]!Resources[COD],"&lt;="&amp;Y$139,[1]!Resources[Retirement Date],"&gt;="&amp;Y$139,[1]!Resources[Unique Key],$G189,[1]!Resources[Summer Rating],"&gt;"&amp;0),2),0)*Y127/10^6</f>
        <v>0</v>
      </c>
      <c r="Z189" s="6">
        <f>IFERROR(ROUND(AVERAGEIFS([1]!Resources[Fixed O&amp;M Cost],[1]!Resources[COD],"&lt;="&amp;Z$139,[1]!Resources[Retirement Date],"&gt;="&amp;Z$139,[1]!Resources[Unique Key],$G189,[1]!Resources[Summer Rating],"&gt;"&amp;0),2),0)*Z127/10^6</f>
        <v>0</v>
      </c>
      <c r="AA189" s="6">
        <f>IFERROR(ROUND(AVERAGEIFS([1]!Resources[Fixed O&amp;M Cost],[1]!Resources[COD],"&lt;="&amp;AA$139,[1]!Resources[Retirement Date],"&gt;="&amp;AA$139,[1]!Resources[Unique Key],$G189,[1]!Resources[Summer Rating],"&gt;"&amp;0),2),0)*AA127/10^6</f>
        <v>0</v>
      </c>
      <c r="AB189" s="6">
        <f>IFERROR(ROUND(AVERAGEIFS([1]!Resources[Fixed O&amp;M Cost],[1]!Resources[COD],"&lt;="&amp;AB$139,[1]!Resources[Retirement Date],"&gt;="&amp;AB$139,[1]!Resources[Unique Key],$G189,[1]!Resources[Summer Rating],"&gt;"&amp;0),2),0)*AB127/10^6</f>
        <v>0</v>
      </c>
      <c r="AC189" s="6">
        <f>IFERROR(ROUND(AVERAGEIFS([1]!Resources[Fixed O&amp;M Cost],[1]!Resources[COD],"&lt;="&amp;AC$139,[1]!Resources[Retirement Date],"&gt;="&amp;AC$139,[1]!Resources[Unique Key],$G189,[1]!Resources[Summer Rating],"&gt;"&amp;0),2),0)*AC127/10^6</f>
        <v>0</v>
      </c>
      <c r="AD189" s="6">
        <f>IFERROR(ROUND(AVERAGEIFS([1]!Resources[Fixed O&amp;M Cost],[1]!Resources[COD],"&lt;="&amp;AD$139,[1]!Resources[Retirement Date],"&gt;="&amp;AD$139,[1]!Resources[Unique Key],$G189,[1]!Resources[Summer Rating],"&gt;"&amp;0),2),0)*AD127/10^6</f>
        <v>0</v>
      </c>
      <c r="AE189" s="6">
        <f>IFERROR(ROUND(AVERAGEIFS([1]!Resources[Fixed O&amp;M Cost],[1]!Resources[COD],"&lt;="&amp;AE$139,[1]!Resources[Retirement Date],"&gt;="&amp;AE$139,[1]!Resources[Unique Key],$G189,[1]!Resources[Summer Rating],"&gt;"&amp;0),2),0)*AE127/10^6</f>
        <v>0</v>
      </c>
      <c r="AF189" s="6">
        <f>IFERROR(ROUND(AVERAGEIFS([1]!Resources[Fixed O&amp;M Cost],[1]!Resources[COD],"&lt;="&amp;AF$139,[1]!Resources[Retirement Date],"&gt;="&amp;AF$139,[1]!Resources[Unique Key],$G189,[1]!Resources[Summer Rating],"&gt;"&amp;0),2),0)*AF127/10^6</f>
        <v>0</v>
      </c>
      <c r="AG189" s="6">
        <f>IFERROR(ROUND(AVERAGEIFS([1]!Resources[Fixed O&amp;M Cost],[1]!Resources[COD],"&lt;="&amp;AG$139,[1]!Resources[Retirement Date],"&gt;="&amp;AG$139,[1]!Resources[Unique Key],$G189,[1]!Resources[Summer Rating],"&gt;"&amp;0),2),0)*AG127/10^6</f>
        <v>0</v>
      </c>
      <c r="AI189" s="5" t="s">
        <v>93</v>
      </c>
      <c r="AJ189" s="6">
        <f>IFERROR(INDEX('[1]Technology Defaults'!$B$18:$AA$31,MATCH($AI189,'[1]Technology Defaults'!$A$18:$A$31,0),MATCH(AJ$139,'[1]Technology Defaults'!$B$17:$AA$17,0)),0)</f>
        <v>176861.0769976679</v>
      </c>
      <c r="AK189" s="6">
        <f>IFERROR(INDEX('[1]Technology Defaults'!$B$18:$AA$31,MATCH($AI189,'[1]Technology Defaults'!$A$18:$A$31,0),MATCH(AK$139,'[1]Technology Defaults'!$B$17:$AA$17,0)),0)</f>
        <v>166843.76625375586</v>
      </c>
      <c r="AL189" s="6">
        <f>IFERROR(INDEX('[1]Technology Defaults'!$B$18:$AA$31,MATCH($AI189,'[1]Technology Defaults'!$A$18:$A$31,0),MATCH(AL$139,'[1]Technology Defaults'!$B$17:$AA$17,0)),0)</f>
        <v>156816.36627630499</v>
      </c>
      <c r="AM189" s="6">
        <f>IFERROR(INDEX('[1]Technology Defaults'!$B$18:$AA$31,MATCH($AI189,'[1]Technology Defaults'!$A$18:$A$31,0),MATCH(AM$139,'[1]Technology Defaults'!$B$17:$AA$17,0)),0)</f>
        <v>146777.65847719292</v>
      </c>
      <c r="AN189" s="6">
        <f>IFERROR(INDEX('[1]Technology Defaults'!$B$18:$AA$31,MATCH($AI189,'[1]Technology Defaults'!$A$18:$A$31,0),MATCH(AN$139,'[1]Technology Defaults'!$B$17:$AA$17,0)),0)</f>
        <v>136726.21659035713</v>
      </c>
      <c r="AO189" s="6">
        <f>IFERROR(INDEX('[1]Technology Defaults'!$B$18:$AA$31,MATCH($AI189,'[1]Technology Defaults'!$A$18:$A$31,0),MATCH(AO$139,'[1]Technology Defaults'!$B$17:$AA$17,0)),0)</f>
        <v>126660.36772600345</v>
      </c>
      <c r="AP189" s="6">
        <f>IFERROR(INDEX('[1]Technology Defaults'!$B$18:$AA$31,MATCH($AI189,'[1]Technology Defaults'!$A$18:$A$31,0),MATCH(AP$139,'[1]Technology Defaults'!$B$17:$AA$17,0)),0)</f>
        <v>122909.1470255934</v>
      </c>
      <c r="AQ189" s="6">
        <f>IFERROR(INDEX('[1]Technology Defaults'!$B$18:$AA$31,MATCH($AI189,'[1]Technology Defaults'!$A$18:$A$31,0),MATCH(AQ$139,'[1]Technology Defaults'!$B$17:$AA$17,0)),0)</f>
        <v>119159.63905039408</v>
      </c>
      <c r="AR189" s="6">
        <f>IFERROR(INDEX('[1]Technology Defaults'!$B$18:$AA$31,MATCH($AI189,'[1]Technology Defaults'!$A$18:$A$31,0),MATCH(AR$139,'[1]Technology Defaults'!$B$17:$AA$17,0)),0)</f>
        <v>115411.91002802079</v>
      </c>
      <c r="AS189" s="6">
        <f>IFERROR(INDEX('[1]Technology Defaults'!$B$18:$AA$31,MATCH($AI189,'[1]Technology Defaults'!$A$18:$A$31,0),MATCH(AS$139,'[1]Technology Defaults'!$B$17:$AA$17,0)),0)</f>
        <v>111666.03004112904</v>
      </c>
      <c r="AT189" s="6">
        <f>IFERROR(INDEX('[1]Technology Defaults'!$B$18:$AA$31,MATCH($AI189,'[1]Technology Defaults'!$A$18:$A$31,0),MATCH(AT$139,'[1]Technology Defaults'!$B$17:$AA$17,0)),0)</f>
        <v>107922.07273087345</v>
      </c>
      <c r="AU189" s="6">
        <f>IFERROR(INDEX('[1]Technology Defaults'!$B$18:$AA$31,MATCH($AI189,'[1]Technology Defaults'!$A$18:$A$31,0),MATCH(AU$139,'[1]Technology Defaults'!$B$17:$AA$17,0)),0)</f>
        <v>104180.11687846189</v>
      </c>
      <c r="AV189" s="6">
        <f>IFERROR(INDEX('[1]Technology Defaults'!$B$18:$AA$31,MATCH($AI189,'[1]Technology Defaults'!$A$18:$A$31,0),MATCH(AV$139,'[1]Technology Defaults'!$B$17:$AA$17,0)),0)</f>
        <v>100440.24423051823</v>
      </c>
      <c r="AW189" s="6">
        <f>IFERROR(INDEX('[1]Technology Defaults'!$B$18:$AA$31,MATCH($AI189,'[1]Technology Defaults'!$A$18:$A$31,0),MATCH(AW$139,'[1]Technology Defaults'!$B$17:$AA$17,0)),0)</f>
        <v>96702.54206910872</v>
      </c>
      <c r="AX189" s="6">
        <f>IFERROR(INDEX('[1]Technology Defaults'!$B$18:$AA$31,MATCH($AI189,'[1]Technology Defaults'!$A$18:$A$31,0),MATCH(AX$139,'[1]Technology Defaults'!$B$17:$AA$17,0)),0)</f>
        <v>92967.101432492505</v>
      </c>
      <c r="AY189" s="6">
        <f>IFERROR(INDEX('[1]Technology Defaults'!$B$18:$AA$31,MATCH($AI189,'[1]Technology Defaults'!$A$18:$A$31,0),MATCH(AY$139,'[1]Technology Defaults'!$B$17:$AA$17,0)),0)</f>
        <v>89234.019981690464</v>
      </c>
      <c r="AZ189" s="6">
        <f>IFERROR(INDEX('[1]Technology Defaults'!$B$18:$AA$31,MATCH($AI189,'[1]Technology Defaults'!$A$18:$A$31,0),MATCH(AZ$139,'[1]Technology Defaults'!$B$17:$AA$17,0)),0)</f>
        <v>85503.399331611014</v>
      </c>
      <c r="BA189" s="6">
        <f>IFERROR(INDEX('[1]Technology Defaults'!$B$18:$AA$31,MATCH($AI189,'[1]Technology Defaults'!$A$18:$A$31,0),MATCH(BA$139,'[1]Technology Defaults'!$B$17:$AA$17,0)),0)</f>
        <v>81775.348411854196</v>
      </c>
      <c r="BB189" s="6">
        <f>IFERROR(INDEX('[1]Technology Defaults'!$B$18:$AA$31,MATCH($AI189,'[1]Technology Defaults'!$A$18:$A$31,0),MATCH(BB$139,'[1]Technology Defaults'!$B$17:$AA$17,0)),0)</f>
        <v>78049.982675934647</v>
      </c>
      <c r="BC189" s="6">
        <f>IFERROR(INDEX('[1]Technology Defaults'!$B$18:$AA$31,MATCH($AI189,'[1]Technology Defaults'!$A$18:$A$31,0),MATCH(BC$139,'[1]Technology Defaults'!$B$17:$AA$17,0)),0)</f>
        <v>74327.424397822761</v>
      </c>
      <c r="BD189" s="6">
        <f>IFERROR(INDEX('[1]Technology Defaults'!$B$18:$AA$31,MATCH($AI189,'[1]Technology Defaults'!$A$18:$A$31,0),MATCH(BD$139,'[1]Technology Defaults'!$B$17:$AA$17,0)),0)</f>
        <v>70607.802573097637</v>
      </c>
      <c r="BE189" s="6">
        <f>IFERROR(INDEX('[1]Technology Defaults'!$B$18:$AA$31,MATCH($AI189,'[1]Technology Defaults'!$A$18:$A$31,0),MATCH(BE$139,'[1]Technology Defaults'!$B$17:$AA$17,0)),0)</f>
        <v>66891.254302807793</v>
      </c>
      <c r="BF189" s="6">
        <f>IFERROR(INDEX('[1]Technology Defaults'!$B$18:$AA$31,MATCH($AI189,'[1]Technology Defaults'!$A$18:$A$31,0),MATCH(BF$139,'[1]Technology Defaults'!$B$17:$AA$17,0)),0)</f>
        <v>63177.926968109176</v>
      </c>
      <c r="BG189" s="6">
        <f>IFERROR(INDEX('[1]Technology Defaults'!$B$18:$AA$31,MATCH($AI189,'[1]Technology Defaults'!$A$18:$A$31,0),MATCH(BG$139,'[1]Technology Defaults'!$B$17:$AA$17,0)),0)</f>
        <v>59467.975660238379</v>
      </c>
      <c r="BH189" s="6">
        <f>IFERROR(INDEX('[1]Technology Defaults'!$B$18:$AA$31,MATCH($AI189,'[1]Technology Defaults'!$A$18:$A$31,0),MATCH(BH$139,'[1]Technology Defaults'!$B$17:$AA$17,0)),0)</f>
        <v>55761.567430941512</v>
      </c>
      <c r="BI189" s="6">
        <f>IFERROR(INDEX('[1]Technology Defaults'!$B$18:$AA$31,MATCH($AI189,'[1]Technology Defaults'!$A$18:$A$31,0),MATCH(BI$139,'[1]Technology Defaults'!$B$17:$AA$17,0)),0)</f>
        <v>52058.877832822873</v>
      </c>
    </row>
    <row r="190" spans="7:61" ht="16" x14ac:dyDescent="0.2">
      <c r="G190" s="5" t="s">
        <v>94</v>
      </c>
      <c r="H190" s="6">
        <f>IFERROR(ROUND(AVERAGEIFS([1]!Resources[Fixed O&amp;M Cost],[1]!Resources[COD],"&lt;="&amp;H$139,[1]!Resources[Retirement Date],"&gt;="&amp;H$139,[1]!Resources[Unique Key],$G190,[1]!Resources[Summer Rating],"&gt;"&amp;0),2),0)*H128/10^6</f>
        <v>0</v>
      </c>
      <c r="I190" s="6">
        <f>IFERROR(ROUND(AVERAGEIFS([1]!Resources[Fixed O&amp;M Cost],[1]!Resources[COD],"&lt;="&amp;I$139,[1]!Resources[Retirement Date],"&gt;="&amp;I$139,[1]!Resources[Unique Key],$G190,[1]!Resources[Summer Rating],"&gt;"&amp;0),2),0)*I128/10^6</f>
        <v>0</v>
      </c>
      <c r="J190" s="6">
        <f>IFERROR(ROUND(AVERAGEIFS([1]!Resources[Fixed O&amp;M Cost],[1]!Resources[COD],"&lt;="&amp;J$139,[1]!Resources[Retirement Date],"&gt;="&amp;J$139,[1]!Resources[Unique Key],$G190,[1]!Resources[Summer Rating],"&gt;"&amp;0),2),0)*J128/10^6</f>
        <v>0</v>
      </c>
      <c r="K190" s="6">
        <f>IFERROR(ROUND(AVERAGEIFS([1]!Resources[Fixed O&amp;M Cost],[1]!Resources[COD],"&lt;="&amp;K$139,[1]!Resources[Retirement Date],"&gt;="&amp;K$139,[1]!Resources[Unique Key],$G190,[1]!Resources[Summer Rating],"&gt;"&amp;0),2),0)*K128/10^6</f>
        <v>0</v>
      </c>
      <c r="L190" s="6">
        <f>IFERROR(ROUND(AVERAGEIFS([1]!Resources[Fixed O&amp;M Cost],[1]!Resources[COD],"&lt;="&amp;L$139,[1]!Resources[Retirement Date],"&gt;="&amp;L$139,[1]!Resources[Unique Key],$G190,[1]!Resources[Summer Rating],"&gt;"&amp;0),2),0)*L128/10^6</f>
        <v>0</v>
      </c>
      <c r="M190" s="6">
        <f>IFERROR(ROUND(AVERAGEIFS([1]!Resources[Fixed O&amp;M Cost],[1]!Resources[COD],"&lt;="&amp;M$139,[1]!Resources[Retirement Date],"&gt;="&amp;M$139,[1]!Resources[Unique Key],$G190,[1]!Resources[Summer Rating],"&gt;"&amp;0),2),0)*M128/10^6</f>
        <v>0</v>
      </c>
      <c r="N190" s="6">
        <f>IFERROR(ROUND(AVERAGEIFS([1]!Resources[Fixed O&amp;M Cost],[1]!Resources[COD],"&lt;="&amp;N$139,[1]!Resources[Retirement Date],"&gt;="&amp;N$139,[1]!Resources[Unique Key],$G190,[1]!Resources[Summer Rating],"&gt;"&amp;0),2),0)*N128/10^6</f>
        <v>0</v>
      </c>
      <c r="O190" s="6">
        <f>IFERROR(ROUND(AVERAGEIFS([1]!Resources[Fixed O&amp;M Cost],[1]!Resources[COD],"&lt;="&amp;O$139,[1]!Resources[Retirement Date],"&gt;="&amp;O$139,[1]!Resources[Unique Key],$G190,[1]!Resources[Summer Rating],"&gt;"&amp;0),2),0)*O128/10^6</f>
        <v>0</v>
      </c>
      <c r="P190" s="6">
        <f>IFERROR(ROUND(AVERAGEIFS([1]!Resources[Fixed O&amp;M Cost],[1]!Resources[COD],"&lt;="&amp;P$139,[1]!Resources[Retirement Date],"&gt;="&amp;P$139,[1]!Resources[Unique Key],$G190,[1]!Resources[Summer Rating],"&gt;"&amp;0),2),0)*P128/10^6</f>
        <v>0</v>
      </c>
      <c r="Q190" s="6">
        <f>IFERROR(ROUND(AVERAGEIFS([1]!Resources[Fixed O&amp;M Cost],[1]!Resources[COD],"&lt;="&amp;Q$139,[1]!Resources[Retirement Date],"&gt;="&amp;Q$139,[1]!Resources[Unique Key],$G190,[1]!Resources[Summer Rating],"&gt;"&amp;0),2),0)*Q128/10^6</f>
        <v>0</v>
      </c>
      <c r="R190" s="6">
        <f>IFERROR(ROUND(AVERAGEIFS([1]!Resources[Fixed O&amp;M Cost],[1]!Resources[COD],"&lt;="&amp;R$139,[1]!Resources[Retirement Date],"&gt;="&amp;R$139,[1]!Resources[Unique Key],$G190,[1]!Resources[Summer Rating],"&gt;"&amp;0),2),0)*R128/10^6</f>
        <v>0</v>
      </c>
      <c r="S190" s="6">
        <f>IFERROR(ROUND(AVERAGEIFS([1]!Resources[Fixed O&amp;M Cost],[1]!Resources[COD],"&lt;="&amp;S$139,[1]!Resources[Retirement Date],"&gt;="&amp;S$139,[1]!Resources[Unique Key],$G190,[1]!Resources[Summer Rating],"&gt;"&amp;0),2),0)*S128/10^6</f>
        <v>0</v>
      </c>
      <c r="T190" s="6">
        <f>IFERROR(ROUND(AVERAGEIFS([1]!Resources[Fixed O&amp;M Cost],[1]!Resources[COD],"&lt;="&amp;T$139,[1]!Resources[Retirement Date],"&gt;="&amp;T$139,[1]!Resources[Unique Key],$G190,[1]!Resources[Summer Rating],"&gt;"&amp;0),2),0)*T128/10^6</f>
        <v>0</v>
      </c>
      <c r="U190" s="6">
        <f>IFERROR(ROUND(AVERAGEIFS([1]!Resources[Fixed O&amp;M Cost],[1]!Resources[COD],"&lt;="&amp;U$139,[1]!Resources[Retirement Date],"&gt;="&amp;U$139,[1]!Resources[Unique Key],$G190,[1]!Resources[Summer Rating],"&gt;"&amp;0),2),0)*U128/10^6</f>
        <v>0</v>
      </c>
      <c r="V190" s="6">
        <f>IFERROR(ROUND(AVERAGEIFS([1]!Resources[Fixed O&amp;M Cost],[1]!Resources[COD],"&lt;="&amp;V$139,[1]!Resources[Retirement Date],"&gt;="&amp;V$139,[1]!Resources[Unique Key],$G190,[1]!Resources[Summer Rating],"&gt;"&amp;0),2),0)*V128/10^6</f>
        <v>0</v>
      </c>
      <c r="W190" s="6">
        <f>IFERROR(ROUND(AVERAGEIFS([1]!Resources[Fixed O&amp;M Cost],[1]!Resources[COD],"&lt;="&amp;W$139,[1]!Resources[Retirement Date],"&gt;="&amp;W$139,[1]!Resources[Unique Key],$G190,[1]!Resources[Summer Rating],"&gt;"&amp;0),2),0)*W128/10^6</f>
        <v>0</v>
      </c>
      <c r="X190" s="6">
        <f>IFERROR(ROUND(AVERAGEIFS([1]!Resources[Fixed O&amp;M Cost],[1]!Resources[COD],"&lt;="&amp;X$139,[1]!Resources[Retirement Date],"&gt;="&amp;X$139,[1]!Resources[Unique Key],$G190,[1]!Resources[Summer Rating],"&gt;"&amp;0),2),0)*X128/10^6</f>
        <v>0</v>
      </c>
      <c r="Y190" s="6">
        <f>IFERROR(ROUND(AVERAGEIFS([1]!Resources[Fixed O&amp;M Cost],[1]!Resources[COD],"&lt;="&amp;Y$139,[1]!Resources[Retirement Date],"&gt;="&amp;Y$139,[1]!Resources[Unique Key],$G190,[1]!Resources[Summer Rating],"&gt;"&amp;0),2),0)*Y128/10^6</f>
        <v>0</v>
      </c>
      <c r="Z190" s="6">
        <f>IFERROR(ROUND(AVERAGEIFS([1]!Resources[Fixed O&amp;M Cost],[1]!Resources[COD],"&lt;="&amp;Z$139,[1]!Resources[Retirement Date],"&gt;="&amp;Z$139,[1]!Resources[Unique Key],$G190,[1]!Resources[Summer Rating],"&gt;"&amp;0),2),0)*Z128/10^6</f>
        <v>0</v>
      </c>
      <c r="AA190" s="6">
        <f>IFERROR(ROUND(AVERAGEIFS([1]!Resources[Fixed O&amp;M Cost],[1]!Resources[COD],"&lt;="&amp;AA$139,[1]!Resources[Retirement Date],"&gt;="&amp;AA$139,[1]!Resources[Unique Key],$G190,[1]!Resources[Summer Rating],"&gt;"&amp;0),2),0)*AA128/10^6</f>
        <v>0</v>
      </c>
      <c r="AB190" s="6">
        <f>IFERROR(ROUND(AVERAGEIFS([1]!Resources[Fixed O&amp;M Cost],[1]!Resources[COD],"&lt;="&amp;AB$139,[1]!Resources[Retirement Date],"&gt;="&amp;AB$139,[1]!Resources[Unique Key],$G190,[1]!Resources[Summer Rating],"&gt;"&amp;0),2),0)*AB128/10^6</f>
        <v>0</v>
      </c>
      <c r="AC190" s="6">
        <f>IFERROR(ROUND(AVERAGEIFS([1]!Resources[Fixed O&amp;M Cost],[1]!Resources[COD],"&lt;="&amp;AC$139,[1]!Resources[Retirement Date],"&gt;="&amp;AC$139,[1]!Resources[Unique Key],$G190,[1]!Resources[Summer Rating],"&gt;"&amp;0),2),0)*AC128/10^6</f>
        <v>0</v>
      </c>
      <c r="AD190" s="6">
        <f>IFERROR(ROUND(AVERAGEIFS([1]!Resources[Fixed O&amp;M Cost],[1]!Resources[COD],"&lt;="&amp;AD$139,[1]!Resources[Retirement Date],"&gt;="&amp;AD$139,[1]!Resources[Unique Key],$G190,[1]!Resources[Summer Rating],"&gt;"&amp;0),2),0)*AD128/10^6</f>
        <v>0</v>
      </c>
      <c r="AE190" s="6">
        <f>IFERROR(ROUND(AVERAGEIFS([1]!Resources[Fixed O&amp;M Cost],[1]!Resources[COD],"&lt;="&amp;AE$139,[1]!Resources[Retirement Date],"&gt;="&amp;AE$139,[1]!Resources[Unique Key],$G190,[1]!Resources[Summer Rating],"&gt;"&amp;0),2),0)*AE128/10^6</f>
        <v>0</v>
      </c>
      <c r="AF190" s="6">
        <f>IFERROR(ROUND(AVERAGEIFS([1]!Resources[Fixed O&amp;M Cost],[1]!Resources[COD],"&lt;="&amp;AF$139,[1]!Resources[Retirement Date],"&gt;="&amp;AF$139,[1]!Resources[Unique Key],$G190,[1]!Resources[Summer Rating],"&gt;"&amp;0),2),0)*AF128/10^6</f>
        <v>0</v>
      </c>
      <c r="AG190" s="6">
        <f>IFERROR(ROUND(AVERAGEIFS([1]!Resources[Fixed O&amp;M Cost],[1]!Resources[COD],"&lt;="&amp;AG$139,[1]!Resources[Retirement Date],"&gt;="&amp;AG$139,[1]!Resources[Unique Key],$G190,[1]!Resources[Summer Rating],"&gt;"&amp;0),2),0)*AG128/10^6</f>
        <v>0</v>
      </c>
      <c r="AI190" s="5" t="s">
        <v>94</v>
      </c>
      <c r="AJ190" s="6">
        <f>IFERROR(INDEX('[1]Technology Defaults'!$B$18:$AA$31,MATCH($AI190,'[1]Technology Defaults'!$A$18:$A$31,0),MATCH(AJ$139,'[1]Technology Defaults'!$B$17:$AA$17,0)),0)</f>
        <v>195029.32057975198</v>
      </c>
      <c r="AK190" s="6">
        <f>IFERROR(INDEX('[1]Technology Defaults'!$B$18:$AA$31,MATCH($AI190,'[1]Technology Defaults'!$A$18:$A$31,0),MATCH(AK$139,'[1]Technology Defaults'!$B$17:$AA$17,0)),0)</f>
        <v>185774.25845278823</v>
      </c>
      <c r="AL190" s="6">
        <f>IFERROR(INDEX('[1]Technology Defaults'!$B$18:$AA$31,MATCH($AI190,'[1]Technology Defaults'!$A$18:$A$31,0),MATCH(AL$139,'[1]Technology Defaults'!$B$17:$AA$17,0)),0)</f>
        <v>176520.18479769537</v>
      </c>
      <c r="AM190" s="6">
        <f>IFERROR(INDEX('[1]Technology Defaults'!$B$18:$AA$31,MATCH($AI190,'[1]Technology Defaults'!$A$18:$A$31,0),MATCH(AM$139,'[1]Technology Defaults'!$B$17:$AA$17,0)),0)</f>
        <v>167167.26395551546</v>
      </c>
      <c r="AN190" s="6">
        <f>IFERROR(INDEX('[1]Technology Defaults'!$B$18:$AA$31,MATCH($AI190,'[1]Technology Defaults'!$A$18:$A$31,0),MATCH(AN$139,'[1]Technology Defaults'!$B$17:$AA$17,0)),0)</f>
        <v>157913.19030042258</v>
      </c>
      <c r="AO190" s="6">
        <f>IFERROR(INDEX('[1]Technology Defaults'!$B$18:$AA$31,MATCH($AI190,'[1]Technology Defaults'!$A$18:$A$31,0),MATCH(AO$139,'[1]Technology Defaults'!$B$17:$AA$17,0)),0)</f>
        <v>148658.1281734588</v>
      </c>
      <c r="AP190" s="6">
        <f>IFERROR(INDEX('[1]Technology Defaults'!$B$18:$AA$31,MATCH($AI190,'[1]Technology Defaults'!$A$18:$A$31,0),MATCH(AP$139,'[1]Technology Defaults'!$B$17:$AA$17,0)),0)</f>
        <v>141617.24303724576</v>
      </c>
      <c r="AQ190" s="6">
        <f>IFERROR(INDEX('[1]Technology Defaults'!$B$18:$AA$31,MATCH($AI190,'[1]Technology Defaults'!$A$18:$A$31,0),MATCH(AQ$139,'[1]Technology Defaults'!$B$17:$AA$17,0)),0)</f>
        <v>134476.52224207475</v>
      </c>
      <c r="AR190" s="6">
        <f>IFERROR(INDEX('[1]Technology Defaults'!$B$18:$AA$31,MATCH($AI190,'[1]Technology Defaults'!$A$18:$A$31,0),MATCH(AR$139,'[1]Technology Defaults'!$B$17:$AA$17,0)),0)</f>
        <v>127435.63710586175</v>
      </c>
      <c r="AS190" s="6">
        <f>IFERROR(INDEX('[1]Technology Defaults'!$B$18:$AA$31,MATCH($AI190,'[1]Technology Defaults'!$A$18:$A$31,0),MATCH(AS$139,'[1]Technology Defaults'!$B$17:$AA$17,0)),0)</f>
        <v>120394.75196964864</v>
      </c>
      <c r="AT190" s="6">
        <f>IFERROR(INDEX('[1]Technology Defaults'!$B$18:$AA$31,MATCH($AI190,'[1]Technology Defaults'!$A$18:$A$31,0),MATCH(AT$139,'[1]Technology Defaults'!$B$17:$AA$17,0)),0)</f>
        <v>113352.87836156477</v>
      </c>
      <c r="AU190" s="6">
        <f>IFERROR(INDEX('[1]Technology Defaults'!$B$18:$AA$31,MATCH($AI190,'[1]Technology Defaults'!$A$18:$A$31,0),MATCH(AU$139,'[1]Technology Defaults'!$B$17:$AA$17,0)),0)</f>
        <v>112817.12660755272</v>
      </c>
      <c r="AV190" s="6">
        <f>IFERROR(INDEX('[1]Technology Defaults'!$B$18:$AA$31,MATCH($AI190,'[1]Technology Defaults'!$A$18:$A$31,0),MATCH(AV$139,'[1]Technology Defaults'!$B$17:$AA$17,0)),0)</f>
        <v>112280.3863816699</v>
      </c>
      <c r="AW190" s="6">
        <f>IFERROR(INDEX('[1]Technology Defaults'!$B$18:$AA$31,MATCH($AI190,'[1]Technology Defaults'!$A$18:$A$31,0),MATCH(AW$139,'[1]Technology Defaults'!$B$17:$AA$17,0)),0)</f>
        <v>111743.64615578702</v>
      </c>
      <c r="AX190" s="6">
        <f>IFERROR(INDEX('[1]Technology Defaults'!$B$18:$AA$31,MATCH($AI190,'[1]Technology Defaults'!$A$18:$A$31,0),MATCH(AX$139,'[1]Technology Defaults'!$B$17:$AA$17,0)),0)</f>
        <v>111206.90592990414</v>
      </c>
      <c r="AY190" s="6">
        <f>IFERROR(INDEX('[1]Technology Defaults'!$B$18:$AA$31,MATCH($AI190,'[1]Technology Defaults'!$A$18:$A$31,0),MATCH(AY$139,'[1]Technology Defaults'!$B$17:$AA$17,0)),0)</f>
        <v>110670.16570402129</v>
      </c>
      <c r="AZ190" s="6">
        <f>IFERROR(INDEX('[1]Technology Defaults'!$B$18:$AA$31,MATCH($AI190,'[1]Technology Defaults'!$A$18:$A$31,0),MATCH(AZ$139,'[1]Technology Defaults'!$B$17:$AA$17,0)),0)</f>
        <v>110670.16570402129</v>
      </c>
      <c r="BA190" s="6">
        <f>IFERROR(INDEX('[1]Technology Defaults'!$B$18:$AA$31,MATCH($AI190,'[1]Technology Defaults'!$A$18:$A$31,0),MATCH(BA$139,'[1]Technology Defaults'!$B$17:$AA$17,0)),0)</f>
        <v>110670.16570402129</v>
      </c>
      <c r="BB190" s="6">
        <f>IFERROR(INDEX('[1]Technology Defaults'!$B$18:$AA$31,MATCH($AI190,'[1]Technology Defaults'!$A$18:$A$31,0),MATCH(BB$139,'[1]Technology Defaults'!$B$17:$AA$17,0)),0)</f>
        <v>110670.16570402129</v>
      </c>
      <c r="BC190" s="6">
        <f>IFERROR(INDEX('[1]Technology Defaults'!$B$18:$AA$31,MATCH($AI190,'[1]Technology Defaults'!$A$18:$A$31,0),MATCH(BC$139,'[1]Technology Defaults'!$B$17:$AA$17,0)),0)</f>
        <v>110670.16570402129</v>
      </c>
      <c r="BD190" s="6">
        <f>IFERROR(INDEX('[1]Technology Defaults'!$B$18:$AA$31,MATCH($AI190,'[1]Technology Defaults'!$A$18:$A$31,0),MATCH(BD$139,'[1]Technology Defaults'!$B$17:$AA$17,0)),0)</f>
        <v>110670.16570402129</v>
      </c>
      <c r="BE190" s="6">
        <f>IFERROR(INDEX('[1]Technology Defaults'!$B$18:$AA$31,MATCH($AI190,'[1]Technology Defaults'!$A$18:$A$31,0),MATCH(BE$139,'[1]Technology Defaults'!$B$17:$AA$17,0)),0)</f>
        <v>110670.16570402129</v>
      </c>
      <c r="BF190" s="6">
        <f>IFERROR(INDEX('[1]Technology Defaults'!$B$18:$AA$31,MATCH($AI190,'[1]Technology Defaults'!$A$18:$A$31,0),MATCH(BF$139,'[1]Technology Defaults'!$B$17:$AA$17,0)),0)</f>
        <v>110670.16570402129</v>
      </c>
      <c r="BG190" s="6">
        <f>IFERROR(INDEX('[1]Technology Defaults'!$B$18:$AA$31,MATCH($AI190,'[1]Technology Defaults'!$A$18:$A$31,0),MATCH(BG$139,'[1]Technology Defaults'!$B$17:$AA$17,0)),0)</f>
        <v>110670.16570402129</v>
      </c>
      <c r="BH190" s="6">
        <f>IFERROR(INDEX('[1]Technology Defaults'!$B$18:$AA$31,MATCH($AI190,'[1]Technology Defaults'!$A$18:$A$31,0),MATCH(BH$139,'[1]Technology Defaults'!$B$17:$AA$17,0)),0)</f>
        <v>110670.16570402129</v>
      </c>
      <c r="BI190" s="6">
        <f>IFERROR(INDEX('[1]Technology Defaults'!$B$18:$AA$31,MATCH($AI190,'[1]Technology Defaults'!$A$18:$A$31,0),MATCH(BI$139,'[1]Technology Defaults'!$B$17:$AA$17,0)),0)</f>
        <v>110670.16570402129</v>
      </c>
    </row>
    <row r="191" spans="7:61" ht="16" x14ac:dyDescent="0.2">
      <c r="G191" s="5" t="s">
        <v>95</v>
      </c>
      <c r="H191" s="6">
        <f>IFERROR(ROUND(AVERAGEIFS([1]!Resources[Fixed O&amp;M Cost],[1]!Resources[COD],"&lt;="&amp;H$139,[1]!Resources[Retirement Date],"&gt;="&amp;H$139,[1]!Resources[Unique Key],$G191,[1]!Resources[Summer Rating],"&gt;"&amp;0),2),0)*H129/10^6</f>
        <v>2.9684000000000004</v>
      </c>
      <c r="I191" s="6">
        <f>IFERROR(ROUND(AVERAGEIFS([1]!Resources[Fixed O&amp;M Cost],[1]!Resources[COD],"&lt;="&amp;I$139,[1]!Resources[Retirement Date],"&gt;="&amp;I$139,[1]!Resources[Unique Key],$G191,[1]!Resources[Summer Rating],"&gt;"&amp;0),2),0)*I129/10^6</f>
        <v>2.9684000000000004</v>
      </c>
      <c r="J191" s="6">
        <f>IFERROR(ROUND(AVERAGEIFS([1]!Resources[Fixed O&amp;M Cost],[1]!Resources[COD],"&lt;="&amp;J$139,[1]!Resources[Retirement Date],"&gt;="&amp;J$139,[1]!Resources[Unique Key],$G191,[1]!Resources[Summer Rating],"&gt;"&amp;0),2),0)*J129/10^6</f>
        <v>2.9684000000000004</v>
      </c>
      <c r="K191" s="6">
        <f>IFERROR(ROUND(AVERAGEIFS([1]!Resources[Fixed O&amp;M Cost],[1]!Resources[COD],"&lt;="&amp;K$139,[1]!Resources[Retirement Date],"&gt;="&amp;K$139,[1]!Resources[Unique Key],$G191,[1]!Resources[Summer Rating],"&gt;"&amp;0),2),0)*K129/10^6</f>
        <v>2.9684000000000004</v>
      </c>
      <c r="L191" s="6">
        <f>IFERROR(ROUND(AVERAGEIFS([1]!Resources[Fixed O&amp;M Cost],[1]!Resources[COD],"&lt;="&amp;L$139,[1]!Resources[Retirement Date],"&gt;="&amp;L$139,[1]!Resources[Unique Key],$G191,[1]!Resources[Summer Rating],"&gt;"&amp;0),2),0)*L129/10^6</f>
        <v>2.9684000000000004</v>
      </c>
      <c r="M191" s="6">
        <f>IFERROR(ROUND(AVERAGEIFS([1]!Resources[Fixed O&amp;M Cost],[1]!Resources[COD],"&lt;="&amp;M$139,[1]!Resources[Retirement Date],"&gt;="&amp;M$139,[1]!Resources[Unique Key],$G191,[1]!Resources[Summer Rating],"&gt;"&amp;0),2),0)*M129/10^6</f>
        <v>2.9684000000000004</v>
      </c>
      <c r="N191" s="6">
        <f>IFERROR(ROUND(AVERAGEIFS([1]!Resources[Fixed O&amp;M Cost],[1]!Resources[COD],"&lt;="&amp;N$139,[1]!Resources[Retirement Date],"&gt;="&amp;N$139,[1]!Resources[Unique Key],$G191,[1]!Resources[Summer Rating],"&gt;"&amp;0),2),0)*N129/10^6</f>
        <v>2.9684000000000004</v>
      </c>
      <c r="O191" s="6">
        <f>IFERROR(ROUND(AVERAGEIFS([1]!Resources[Fixed O&amp;M Cost],[1]!Resources[COD],"&lt;="&amp;O$139,[1]!Resources[Retirement Date],"&gt;="&amp;O$139,[1]!Resources[Unique Key],$G191,[1]!Resources[Summer Rating],"&gt;"&amp;0),2),0)*O129/10^6</f>
        <v>2.9684000000000004</v>
      </c>
      <c r="P191" s="6">
        <f>IFERROR(ROUND(AVERAGEIFS([1]!Resources[Fixed O&amp;M Cost],[1]!Resources[COD],"&lt;="&amp;P$139,[1]!Resources[Retirement Date],"&gt;="&amp;P$139,[1]!Resources[Unique Key],$G191,[1]!Resources[Summer Rating],"&gt;"&amp;0),2),0)*P129/10^6</f>
        <v>2.9684000000000004</v>
      </c>
      <c r="Q191" s="6">
        <f>IFERROR(ROUND(AVERAGEIFS([1]!Resources[Fixed O&amp;M Cost],[1]!Resources[COD],"&lt;="&amp;Q$139,[1]!Resources[Retirement Date],"&gt;="&amp;Q$139,[1]!Resources[Unique Key],$G191,[1]!Resources[Summer Rating],"&gt;"&amp;0),2),0)*Q129/10^6</f>
        <v>2.9684000000000004</v>
      </c>
      <c r="R191" s="6">
        <f>IFERROR(ROUND(AVERAGEIFS([1]!Resources[Fixed O&amp;M Cost],[1]!Resources[COD],"&lt;="&amp;R$139,[1]!Resources[Retirement Date],"&gt;="&amp;R$139,[1]!Resources[Unique Key],$G191,[1]!Resources[Summer Rating],"&gt;"&amp;0),2),0)*R129/10^6</f>
        <v>2.9684000000000004</v>
      </c>
      <c r="S191" s="6">
        <f>IFERROR(ROUND(AVERAGEIFS([1]!Resources[Fixed O&amp;M Cost],[1]!Resources[COD],"&lt;="&amp;S$139,[1]!Resources[Retirement Date],"&gt;="&amp;S$139,[1]!Resources[Unique Key],$G191,[1]!Resources[Summer Rating],"&gt;"&amp;0),2),0)*S129/10^6</f>
        <v>2.9684000000000004</v>
      </c>
      <c r="T191" s="6">
        <f>IFERROR(ROUND(AVERAGEIFS([1]!Resources[Fixed O&amp;M Cost],[1]!Resources[COD],"&lt;="&amp;T$139,[1]!Resources[Retirement Date],"&gt;="&amp;T$139,[1]!Resources[Unique Key],$G191,[1]!Resources[Summer Rating],"&gt;"&amp;0),2),0)*T129/10^6</f>
        <v>2.9684000000000004</v>
      </c>
      <c r="U191" s="6">
        <f>IFERROR(ROUND(AVERAGEIFS([1]!Resources[Fixed O&amp;M Cost],[1]!Resources[COD],"&lt;="&amp;U$139,[1]!Resources[Retirement Date],"&gt;="&amp;U$139,[1]!Resources[Unique Key],$G191,[1]!Resources[Summer Rating],"&gt;"&amp;0),2),0)*U129/10^6</f>
        <v>2.9684000000000004</v>
      </c>
      <c r="V191" s="6">
        <f>IFERROR(ROUND(AVERAGEIFS([1]!Resources[Fixed O&amp;M Cost],[1]!Resources[COD],"&lt;="&amp;V$139,[1]!Resources[Retirement Date],"&gt;="&amp;V$139,[1]!Resources[Unique Key],$G191,[1]!Resources[Summer Rating],"&gt;"&amp;0),2),0)*V129/10^6</f>
        <v>2.9684000000000004</v>
      </c>
      <c r="W191" s="6">
        <f>IFERROR(ROUND(AVERAGEIFS([1]!Resources[Fixed O&amp;M Cost],[1]!Resources[COD],"&lt;="&amp;W$139,[1]!Resources[Retirement Date],"&gt;="&amp;W$139,[1]!Resources[Unique Key],$G191,[1]!Resources[Summer Rating],"&gt;"&amp;0),2),0)*W129/10^6</f>
        <v>2.9684000000000004</v>
      </c>
      <c r="X191" s="6">
        <f>IFERROR(ROUND(AVERAGEIFS([1]!Resources[Fixed O&amp;M Cost],[1]!Resources[COD],"&lt;="&amp;X$139,[1]!Resources[Retirement Date],"&gt;="&amp;X$139,[1]!Resources[Unique Key],$G191,[1]!Resources[Summer Rating],"&gt;"&amp;0),2),0)*X129/10^6</f>
        <v>2.9684000000000004</v>
      </c>
      <c r="Y191" s="6">
        <f>IFERROR(ROUND(AVERAGEIFS([1]!Resources[Fixed O&amp;M Cost],[1]!Resources[COD],"&lt;="&amp;Y$139,[1]!Resources[Retirement Date],"&gt;="&amp;Y$139,[1]!Resources[Unique Key],$G191,[1]!Resources[Summer Rating],"&gt;"&amp;0),2),0)*Y129/10^6</f>
        <v>2.9684000000000004</v>
      </c>
      <c r="Z191" s="6">
        <f>IFERROR(ROUND(AVERAGEIFS([1]!Resources[Fixed O&amp;M Cost],[1]!Resources[COD],"&lt;="&amp;Z$139,[1]!Resources[Retirement Date],"&gt;="&amp;Z$139,[1]!Resources[Unique Key],$G191,[1]!Resources[Summer Rating],"&gt;"&amp;0),2),0)*Z129/10^6</f>
        <v>2.9684000000000004</v>
      </c>
      <c r="AA191" s="6">
        <f>IFERROR(ROUND(AVERAGEIFS([1]!Resources[Fixed O&amp;M Cost],[1]!Resources[COD],"&lt;="&amp;AA$139,[1]!Resources[Retirement Date],"&gt;="&amp;AA$139,[1]!Resources[Unique Key],$G191,[1]!Resources[Summer Rating],"&gt;"&amp;0),2),0)*AA129/10^6</f>
        <v>2.9684000000000004</v>
      </c>
      <c r="AB191" s="6">
        <f>IFERROR(ROUND(AVERAGEIFS([1]!Resources[Fixed O&amp;M Cost],[1]!Resources[COD],"&lt;="&amp;AB$139,[1]!Resources[Retirement Date],"&gt;="&amp;AB$139,[1]!Resources[Unique Key],$G191,[1]!Resources[Summer Rating],"&gt;"&amp;0),2),0)*AB129/10^6</f>
        <v>2.9684000000000004</v>
      </c>
      <c r="AC191" s="6">
        <f>IFERROR(ROUND(AVERAGEIFS([1]!Resources[Fixed O&amp;M Cost],[1]!Resources[COD],"&lt;="&amp;AC$139,[1]!Resources[Retirement Date],"&gt;="&amp;AC$139,[1]!Resources[Unique Key],$G191,[1]!Resources[Summer Rating],"&gt;"&amp;0),2),0)*AC129/10^6</f>
        <v>2.9684000000000004</v>
      </c>
      <c r="AD191" s="6">
        <f>IFERROR(ROUND(AVERAGEIFS([1]!Resources[Fixed O&amp;M Cost],[1]!Resources[COD],"&lt;="&amp;AD$139,[1]!Resources[Retirement Date],"&gt;="&amp;AD$139,[1]!Resources[Unique Key],$G191,[1]!Resources[Summer Rating],"&gt;"&amp;0),2),0)*AD129/10^6</f>
        <v>2.9684000000000004</v>
      </c>
      <c r="AE191" s="6">
        <f>IFERROR(ROUND(AVERAGEIFS([1]!Resources[Fixed O&amp;M Cost],[1]!Resources[COD],"&lt;="&amp;AE$139,[1]!Resources[Retirement Date],"&gt;="&amp;AE$139,[1]!Resources[Unique Key],$G191,[1]!Resources[Summer Rating],"&gt;"&amp;0),2),0)*AE129/10^6</f>
        <v>2.9684000000000004</v>
      </c>
      <c r="AF191" s="6">
        <f>IFERROR(ROUND(AVERAGEIFS([1]!Resources[Fixed O&amp;M Cost],[1]!Resources[COD],"&lt;="&amp;AF$139,[1]!Resources[Retirement Date],"&gt;="&amp;AF$139,[1]!Resources[Unique Key],$G191,[1]!Resources[Summer Rating],"&gt;"&amp;0),2),0)*AF129/10^6</f>
        <v>2.9684000000000004</v>
      </c>
      <c r="AG191" s="6">
        <f>IFERROR(ROUND(AVERAGEIFS([1]!Resources[Fixed O&amp;M Cost],[1]!Resources[COD],"&lt;="&amp;AG$139,[1]!Resources[Retirement Date],"&gt;="&amp;AG$139,[1]!Resources[Unique Key],$G191,[1]!Resources[Summer Rating],"&gt;"&amp;0),2),0)*AG129/10^6</f>
        <v>2.9684000000000004</v>
      </c>
      <c r="AI191" s="5" t="s">
        <v>95</v>
      </c>
      <c r="AJ191" s="6">
        <f>IFERROR(INDEX('[1]Technology Defaults'!$B$18:$AA$31,MATCH($AI191,'[1]Technology Defaults'!$A$18:$A$31,0),MATCH(AJ$139,'[1]Technology Defaults'!$B$17:$AA$17,0)),0)</f>
        <v>0</v>
      </c>
      <c r="AK191" s="6">
        <f>IFERROR(INDEX('[1]Technology Defaults'!$B$18:$AA$31,MATCH($AI191,'[1]Technology Defaults'!$A$18:$A$31,0),MATCH(AK$139,'[1]Technology Defaults'!$B$17:$AA$17,0)),0)</f>
        <v>0</v>
      </c>
      <c r="AL191" s="6">
        <f>IFERROR(INDEX('[1]Technology Defaults'!$B$18:$AA$31,MATCH($AI191,'[1]Technology Defaults'!$A$18:$A$31,0),MATCH(AL$139,'[1]Technology Defaults'!$B$17:$AA$17,0)),0)</f>
        <v>0</v>
      </c>
      <c r="AM191" s="6">
        <f>IFERROR(INDEX('[1]Technology Defaults'!$B$18:$AA$31,MATCH($AI191,'[1]Technology Defaults'!$A$18:$A$31,0),MATCH(AM$139,'[1]Technology Defaults'!$B$17:$AA$17,0)),0)</f>
        <v>0</v>
      </c>
      <c r="AN191" s="6">
        <f>IFERROR(INDEX('[1]Technology Defaults'!$B$18:$AA$31,MATCH($AI191,'[1]Technology Defaults'!$A$18:$A$31,0),MATCH(AN$139,'[1]Technology Defaults'!$B$17:$AA$17,0)),0)</f>
        <v>0</v>
      </c>
      <c r="AO191" s="6">
        <f>IFERROR(INDEX('[1]Technology Defaults'!$B$18:$AA$31,MATCH($AI191,'[1]Technology Defaults'!$A$18:$A$31,0),MATCH(AO$139,'[1]Technology Defaults'!$B$17:$AA$17,0)),0)</f>
        <v>0</v>
      </c>
      <c r="AP191" s="6">
        <f>IFERROR(INDEX('[1]Technology Defaults'!$B$18:$AA$31,MATCH($AI191,'[1]Technology Defaults'!$A$18:$A$31,0),MATCH(AP$139,'[1]Technology Defaults'!$B$17:$AA$17,0)),0)</f>
        <v>0</v>
      </c>
      <c r="AQ191" s="6">
        <f>IFERROR(INDEX('[1]Technology Defaults'!$B$18:$AA$31,MATCH($AI191,'[1]Technology Defaults'!$A$18:$A$31,0),MATCH(AQ$139,'[1]Technology Defaults'!$B$17:$AA$17,0)),0)</f>
        <v>0</v>
      </c>
      <c r="AR191" s="6">
        <f>IFERROR(INDEX('[1]Technology Defaults'!$B$18:$AA$31,MATCH($AI191,'[1]Technology Defaults'!$A$18:$A$31,0),MATCH(AR$139,'[1]Technology Defaults'!$B$17:$AA$17,0)),0)</f>
        <v>0</v>
      </c>
      <c r="AS191" s="6">
        <f>IFERROR(INDEX('[1]Technology Defaults'!$B$18:$AA$31,MATCH($AI191,'[1]Technology Defaults'!$A$18:$A$31,0),MATCH(AS$139,'[1]Technology Defaults'!$B$17:$AA$17,0)),0)</f>
        <v>0</v>
      </c>
      <c r="AT191" s="6">
        <f>IFERROR(INDEX('[1]Technology Defaults'!$B$18:$AA$31,MATCH($AI191,'[1]Technology Defaults'!$A$18:$A$31,0),MATCH(AT$139,'[1]Technology Defaults'!$B$17:$AA$17,0)),0)</f>
        <v>0</v>
      </c>
      <c r="AU191" s="6">
        <f>IFERROR(INDEX('[1]Technology Defaults'!$B$18:$AA$31,MATCH($AI191,'[1]Technology Defaults'!$A$18:$A$31,0),MATCH(AU$139,'[1]Technology Defaults'!$B$17:$AA$17,0)),0)</f>
        <v>0</v>
      </c>
      <c r="AV191" s="6">
        <f>IFERROR(INDEX('[1]Technology Defaults'!$B$18:$AA$31,MATCH($AI191,'[1]Technology Defaults'!$A$18:$A$31,0),MATCH(AV$139,'[1]Technology Defaults'!$B$17:$AA$17,0)),0)</f>
        <v>0</v>
      </c>
      <c r="AW191" s="6">
        <f>IFERROR(INDEX('[1]Technology Defaults'!$B$18:$AA$31,MATCH($AI191,'[1]Technology Defaults'!$A$18:$A$31,0),MATCH(AW$139,'[1]Technology Defaults'!$B$17:$AA$17,0)),0)</f>
        <v>0</v>
      </c>
      <c r="AX191" s="6">
        <f>IFERROR(INDEX('[1]Technology Defaults'!$B$18:$AA$31,MATCH($AI191,'[1]Technology Defaults'!$A$18:$A$31,0),MATCH(AX$139,'[1]Technology Defaults'!$B$17:$AA$17,0)),0)</f>
        <v>0</v>
      </c>
      <c r="AY191" s="6">
        <f>IFERROR(INDEX('[1]Technology Defaults'!$B$18:$AA$31,MATCH($AI191,'[1]Technology Defaults'!$A$18:$A$31,0),MATCH(AY$139,'[1]Technology Defaults'!$B$17:$AA$17,0)),0)</f>
        <v>0</v>
      </c>
      <c r="AZ191" s="6">
        <f>IFERROR(INDEX('[1]Technology Defaults'!$B$18:$AA$31,MATCH($AI191,'[1]Technology Defaults'!$A$18:$A$31,0),MATCH(AZ$139,'[1]Technology Defaults'!$B$17:$AA$17,0)),0)</f>
        <v>0</v>
      </c>
      <c r="BA191" s="6">
        <f>IFERROR(INDEX('[1]Technology Defaults'!$B$18:$AA$31,MATCH($AI191,'[1]Technology Defaults'!$A$18:$A$31,0),MATCH(BA$139,'[1]Technology Defaults'!$B$17:$AA$17,0)),0)</f>
        <v>0</v>
      </c>
      <c r="BB191" s="6">
        <f>IFERROR(INDEX('[1]Technology Defaults'!$B$18:$AA$31,MATCH($AI191,'[1]Technology Defaults'!$A$18:$A$31,0),MATCH(BB$139,'[1]Technology Defaults'!$B$17:$AA$17,0)),0)</f>
        <v>0</v>
      </c>
      <c r="BC191" s="6">
        <f>IFERROR(INDEX('[1]Technology Defaults'!$B$18:$AA$31,MATCH($AI191,'[1]Technology Defaults'!$A$18:$A$31,0),MATCH(BC$139,'[1]Technology Defaults'!$B$17:$AA$17,0)),0)</f>
        <v>0</v>
      </c>
      <c r="BD191" s="6">
        <f>IFERROR(INDEX('[1]Technology Defaults'!$B$18:$AA$31,MATCH($AI191,'[1]Technology Defaults'!$A$18:$A$31,0),MATCH(BD$139,'[1]Technology Defaults'!$B$17:$AA$17,0)),0)</f>
        <v>0</v>
      </c>
      <c r="BE191" s="6">
        <f>IFERROR(INDEX('[1]Technology Defaults'!$B$18:$AA$31,MATCH($AI191,'[1]Technology Defaults'!$A$18:$A$31,0),MATCH(BE$139,'[1]Technology Defaults'!$B$17:$AA$17,0)),0)</f>
        <v>0</v>
      </c>
      <c r="BF191" s="6">
        <f>IFERROR(INDEX('[1]Technology Defaults'!$B$18:$AA$31,MATCH($AI191,'[1]Technology Defaults'!$A$18:$A$31,0),MATCH(BF$139,'[1]Technology Defaults'!$B$17:$AA$17,0)),0)</f>
        <v>0</v>
      </c>
      <c r="BG191" s="6">
        <f>IFERROR(INDEX('[1]Technology Defaults'!$B$18:$AA$31,MATCH($AI191,'[1]Technology Defaults'!$A$18:$A$31,0),MATCH(BG$139,'[1]Technology Defaults'!$B$17:$AA$17,0)),0)</f>
        <v>0</v>
      </c>
      <c r="BH191" s="6">
        <f>IFERROR(INDEX('[1]Technology Defaults'!$B$18:$AA$31,MATCH($AI191,'[1]Technology Defaults'!$A$18:$A$31,0),MATCH(BH$139,'[1]Technology Defaults'!$B$17:$AA$17,0)),0)</f>
        <v>0</v>
      </c>
      <c r="BI191" s="6">
        <f>IFERROR(INDEX('[1]Technology Defaults'!$B$18:$AA$31,MATCH($AI191,'[1]Technology Defaults'!$A$18:$A$31,0),MATCH(BI$139,'[1]Technology Defaults'!$B$17:$AA$17,0)),0)</f>
        <v>0</v>
      </c>
    </row>
    <row r="192" spans="7:61" ht="16" x14ac:dyDescent="0.2">
      <c r="G192" s="5" t="s">
        <v>25</v>
      </c>
      <c r="H192" s="6">
        <f>IFERROR(ROUND(AVERAGEIFS([1]!Resources[Fixed O&amp;M Cost],[1]!Resources[COD],"&lt;="&amp;H$139,[1]!Resources[Retirement Date],"&gt;="&amp;H$139,[1]!Resources[Unique Key],$G192,[1]!Resources[Summer Rating],"&gt;"&amp;0),2),0)*H130/10^6</f>
        <v>0</v>
      </c>
      <c r="I192" s="6">
        <f>IFERROR(ROUND(AVERAGEIFS([1]!Resources[Fixed O&amp;M Cost],[1]!Resources[COD],"&lt;="&amp;I$139,[1]!Resources[Retirement Date],"&gt;="&amp;I$139,[1]!Resources[Unique Key],$G192,[1]!Resources[Summer Rating],"&gt;"&amp;0),2),0)*I130/10^6</f>
        <v>0</v>
      </c>
      <c r="J192" s="6">
        <f>IFERROR(ROUND(AVERAGEIFS([1]!Resources[Fixed O&amp;M Cost],[1]!Resources[COD],"&lt;="&amp;J$139,[1]!Resources[Retirement Date],"&gt;="&amp;J$139,[1]!Resources[Unique Key],$G192,[1]!Resources[Summer Rating],"&gt;"&amp;0),2),0)*J130/10^6</f>
        <v>0</v>
      </c>
      <c r="K192" s="6">
        <f>IFERROR(ROUND(AVERAGEIFS([1]!Resources[Fixed O&amp;M Cost],[1]!Resources[COD],"&lt;="&amp;K$139,[1]!Resources[Retirement Date],"&gt;="&amp;K$139,[1]!Resources[Unique Key],$G192,[1]!Resources[Summer Rating],"&gt;"&amp;0),2),0)*K130/10^6</f>
        <v>0</v>
      </c>
      <c r="L192" s="6">
        <f>IFERROR(ROUND(AVERAGEIFS([1]!Resources[Fixed O&amp;M Cost],[1]!Resources[COD],"&lt;="&amp;L$139,[1]!Resources[Retirement Date],"&gt;="&amp;L$139,[1]!Resources[Unique Key],$G192,[1]!Resources[Summer Rating],"&gt;"&amp;0),2),0)*L130/10^6</f>
        <v>0</v>
      </c>
      <c r="M192" s="6">
        <f>IFERROR(ROUND(AVERAGEIFS([1]!Resources[Fixed O&amp;M Cost],[1]!Resources[COD],"&lt;="&amp;M$139,[1]!Resources[Retirement Date],"&gt;="&amp;M$139,[1]!Resources[Unique Key],$G192,[1]!Resources[Summer Rating],"&gt;"&amp;0),2),0)*M130/10^6</f>
        <v>0</v>
      </c>
      <c r="N192" s="6">
        <f>IFERROR(ROUND(AVERAGEIFS([1]!Resources[Fixed O&amp;M Cost],[1]!Resources[COD],"&lt;="&amp;N$139,[1]!Resources[Retirement Date],"&gt;="&amp;N$139,[1]!Resources[Unique Key],$G192,[1]!Resources[Summer Rating],"&gt;"&amp;0),2),0)*N130/10^6</f>
        <v>0</v>
      </c>
      <c r="O192" s="6">
        <f>IFERROR(ROUND(AVERAGEIFS([1]!Resources[Fixed O&amp;M Cost],[1]!Resources[COD],"&lt;="&amp;O$139,[1]!Resources[Retirement Date],"&gt;="&amp;O$139,[1]!Resources[Unique Key],$G192,[1]!Resources[Summer Rating],"&gt;"&amp;0),2),0)*O130/10^6</f>
        <v>0</v>
      </c>
      <c r="P192" s="6">
        <f>IFERROR(ROUND(AVERAGEIFS([1]!Resources[Fixed O&amp;M Cost],[1]!Resources[COD],"&lt;="&amp;P$139,[1]!Resources[Retirement Date],"&gt;="&amp;P$139,[1]!Resources[Unique Key],$G192,[1]!Resources[Summer Rating],"&gt;"&amp;0),2),0)*P130/10^6</f>
        <v>0</v>
      </c>
      <c r="Q192" s="6">
        <f>IFERROR(ROUND(AVERAGEIFS([1]!Resources[Fixed O&amp;M Cost],[1]!Resources[COD],"&lt;="&amp;Q$139,[1]!Resources[Retirement Date],"&gt;="&amp;Q$139,[1]!Resources[Unique Key],$G192,[1]!Resources[Summer Rating],"&gt;"&amp;0),2),0)*Q130/10^6</f>
        <v>0</v>
      </c>
      <c r="R192" s="6">
        <f>IFERROR(ROUND(AVERAGEIFS([1]!Resources[Fixed O&amp;M Cost],[1]!Resources[COD],"&lt;="&amp;R$139,[1]!Resources[Retirement Date],"&gt;="&amp;R$139,[1]!Resources[Unique Key],$G192,[1]!Resources[Summer Rating],"&gt;"&amp;0),2),0)*R130/10^6</f>
        <v>0</v>
      </c>
      <c r="S192" s="6">
        <f>IFERROR(ROUND(AVERAGEIFS([1]!Resources[Fixed O&amp;M Cost],[1]!Resources[COD],"&lt;="&amp;S$139,[1]!Resources[Retirement Date],"&gt;="&amp;S$139,[1]!Resources[Unique Key],$G192,[1]!Resources[Summer Rating],"&gt;"&amp;0),2),0)*S130/10^6</f>
        <v>0</v>
      </c>
      <c r="T192" s="6">
        <f>IFERROR(ROUND(AVERAGEIFS([1]!Resources[Fixed O&amp;M Cost],[1]!Resources[COD],"&lt;="&amp;T$139,[1]!Resources[Retirement Date],"&gt;="&amp;T$139,[1]!Resources[Unique Key],$G192,[1]!Resources[Summer Rating],"&gt;"&amp;0),2),0)*T130/10^6</f>
        <v>0</v>
      </c>
      <c r="U192" s="6">
        <f>IFERROR(ROUND(AVERAGEIFS([1]!Resources[Fixed O&amp;M Cost],[1]!Resources[COD],"&lt;="&amp;U$139,[1]!Resources[Retirement Date],"&gt;="&amp;U$139,[1]!Resources[Unique Key],$G192,[1]!Resources[Summer Rating],"&gt;"&amp;0),2),0)*U130/10^6</f>
        <v>0</v>
      </c>
      <c r="V192" s="6">
        <f>IFERROR(ROUND(AVERAGEIFS([1]!Resources[Fixed O&amp;M Cost],[1]!Resources[COD],"&lt;="&amp;V$139,[1]!Resources[Retirement Date],"&gt;="&amp;V$139,[1]!Resources[Unique Key],$G192,[1]!Resources[Summer Rating],"&gt;"&amp;0),2),0)*V130/10^6</f>
        <v>0</v>
      </c>
      <c r="W192" s="6">
        <f>IFERROR(ROUND(AVERAGEIFS([1]!Resources[Fixed O&amp;M Cost],[1]!Resources[COD],"&lt;="&amp;W$139,[1]!Resources[Retirement Date],"&gt;="&amp;W$139,[1]!Resources[Unique Key],$G192,[1]!Resources[Summer Rating],"&gt;"&amp;0),2),0)*W130/10^6</f>
        <v>0</v>
      </c>
      <c r="X192" s="6">
        <f>IFERROR(ROUND(AVERAGEIFS([1]!Resources[Fixed O&amp;M Cost],[1]!Resources[COD],"&lt;="&amp;X$139,[1]!Resources[Retirement Date],"&gt;="&amp;X$139,[1]!Resources[Unique Key],$G192,[1]!Resources[Summer Rating],"&gt;"&amp;0),2),0)*X130/10^6</f>
        <v>0</v>
      </c>
      <c r="Y192" s="6">
        <f>IFERROR(ROUND(AVERAGEIFS([1]!Resources[Fixed O&amp;M Cost],[1]!Resources[COD],"&lt;="&amp;Y$139,[1]!Resources[Retirement Date],"&gt;="&amp;Y$139,[1]!Resources[Unique Key],$G192,[1]!Resources[Summer Rating],"&gt;"&amp;0),2),0)*Y130/10^6</f>
        <v>0</v>
      </c>
      <c r="Z192" s="6">
        <f>IFERROR(ROUND(AVERAGEIFS([1]!Resources[Fixed O&amp;M Cost],[1]!Resources[COD],"&lt;="&amp;Z$139,[1]!Resources[Retirement Date],"&gt;="&amp;Z$139,[1]!Resources[Unique Key],$G192,[1]!Resources[Summer Rating],"&gt;"&amp;0),2),0)*Z130/10^6</f>
        <v>0</v>
      </c>
      <c r="AA192" s="6">
        <f>IFERROR(ROUND(AVERAGEIFS([1]!Resources[Fixed O&amp;M Cost],[1]!Resources[COD],"&lt;="&amp;AA$139,[1]!Resources[Retirement Date],"&gt;="&amp;AA$139,[1]!Resources[Unique Key],$G192,[1]!Resources[Summer Rating],"&gt;"&amp;0),2),0)*AA130/10^6</f>
        <v>0</v>
      </c>
      <c r="AB192" s="6">
        <f>IFERROR(ROUND(AVERAGEIFS([1]!Resources[Fixed O&amp;M Cost],[1]!Resources[COD],"&lt;="&amp;AB$139,[1]!Resources[Retirement Date],"&gt;="&amp;AB$139,[1]!Resources[Unique Key],$G192,[1]!Resources[Summer Rating],"&gt;"&amp;0),2),0)*AB130/10^6</f>
        <v>0</v>
      </c>
      <c r="AC192" s="6">
        <f>IFERROR(ROUND(AVERAGEIFS([1]!Resources[Fixed O&amp;M Cost],[1]!Resources[COD],"&lt;="&amp;AC$139,[1]!Resources[Retirement Date],"&gt;="&amp;AC$139,[1]!Resources[Unique Key],$G192,[1]!Resources[Summer Rating],"&gt;"&amp;0),2),0)*AC130/10^6</f>
        <v>0</v>
      </c>
      <c r="AD192" s="6">
        <f>IFERROR(ROUND(AVERAGEIFS([1]!Resources[Fixed O&amp;M Cost],[1]!Resources[COD],"&lt;="&amp;AD$139,[1]!Resources[Retirement Date],"&gt;="&amp;AD$139,[1]!Resources[Unique Key],$G192,[1]!Resources[Summer Rating],"&gt;"&amp;0),2),0)*AD130/10^6</f>
        <v>0</v>
      </c>
      <c r="AE192" s="6">
        <f>IFERROR(ROUND(AVERAGEIFS([1]!Resources[Fixed O&amp;M Cost],[1]!Resources[COD],"&lt;="&amp;AE$139,[1]!Resources[Retirement Date],"&gt;="&amp;AE$139,[1]!Resources[Unique Key],$G192,[1]!Resources[Summer Rating],"&gt;"&amp;0),2),0)*AE130/10^6</f>
        <v>0</v>
      </c>
      <c r="AF192" s="6">
        <f>IFERROR(ROUND(AVERAGEIFS([1]!Resources[Fixed O&amp;M Cost],[1]!Resources[COD],"&lt;="&amp;AF$139,[1]!Resources[Retirement Date],"&gt;="&amp;AF$139,[1]!Resources[Unique Key],$G192,[1]!Resources[Summer Rating],"&gt;"&amp;0),2),0)*AF130/10^6</f>
        <v>0</v>
      </c>
      <c r="AG192" s="6">
        <f>IFERROR(ROUND(AVERAGEIFS([1]!Resources[Fixed O&amp;M Cost],[1]!Resources[COD],"&lt;="&amp;AG$139,[1]!Resources[Retirement Date],"&gt;="&amp;AG$139,[1]!Resources[Unique Key],$G192,[1]!Resources[Summer Rating],"&gt;"&amp;0),2),0)*AG130/10^6</f>
        <v>0</v>
      </c>
      <c r="AI192" s="5" t="s">
        <v>25</v>
      </c>
      <c r="AJ192" s="6">
        <f>IFERROR(INDEX('[1]Technology Defaults'!$B$18:$AA$31,MATCH($AI192,'[1]Technology Defaults'!$A$18:$A$31,0),MATCH(AJ$139,'[1]Technology Defaults'!$B$17:$AA$17,0)),0)</f>
        <v>0</v>
      </c>
      <c r="AK192" s="6">
        <f>IFERROR(INDEX('[1]Technology Defaults'!$B$18:$AA$31,MATCH($AI192,'[1]Technology Defaults'!$A$18:$A$31,0),MATCH(AK$139,'[1]Technology Defaults'!$B$17:$AA$17,0)),0)</f>
        <v>0</v>
      </c>
      <c r="AL192" s="6">
        <f>IFERROR(INDEX('[1]Technology Defaults'!$B$18:$AA$31,MATCH($AI192,'[1]Technology Defaults'!$A$18:$A$31,0),MATCH(AL$139,'[1]Technology Defaults'!$B$17:$AA$17,0)),0)</f>
        <v>0</v>
      </c>
      <c r="AM192" s="6">
        <f>IFERROR(INDEX('[1]Technology Defaults'!$B$18:$AA$31,MATCH($AI192,'[1]Technology Defaults'!$A$18:$A$31,0),MATCH(AM$139,'[1]Technology Defaults'!$B$17:$AA$17,0)),0)</f>
        <v>0</v>
      </c>
      <c r="AN192" s="6">
        <f>IFERROR(INDEX('[1]Technology Defaults'!$B$18:$AA$31,MATCH($AI192,'[1]Technology Defaults'!$A$18:$A$31,0),MATCH(AN$139,'[1]Technology Defaults'!$B$17:$AA$17,0)),0)</f>
        <v>0</v>
      </c>
      <c r="AO192" s="6">
        <f>IFERROR(INDEX('[1]Technology Defaults'!$B$18:$AA$31,MATCH($AI192,'[1]Technology Defaults'!$A$18:$A$31,0),MATCH(AO$139,'[1]Technology Defaults'!$B$17:$AA$17,0)),0)</f>
        <v>0</v>
      </c>
      <c r="AP192" s="6">
        <f>IFERROR(INDEX('[1]Technology Defaults'!$B$18:$AA$31,MATCH($AI192,'[1]Technology Defaults'!$A$18:$A$31,0),MATCH(AP$139,'[1]Technology Defaults'!$B$17:$AA$17,0)),0)</f>
        <v>0</v>
      </c>
      <c r="AQ192" s="6">
        <f>IFERROR(INDEX('[1]Technology Defaults'!$B$18:$AA$31,MATCH($AI192,'[1]Technology Defaults'!$A$18:$A$31,0),MATCH(AQ$139,'[1]Technology Defaults'!$B$17:$AA$17,0)),0)</f>
        <v>0</v>
      </c>
      <c r="AR192" s="6">
        <f>IFERROR(INDEX('[1]Technology Defaults'!$B$18:$AA$31,MATCH($AI192,'[1]Technology Defaults'!$A$18:$A$31,0),MATCH(AR$139,'[1]Technology Defaults'!$B$17:$AA$17,0)),0)</f>
        <v>0</v>
      </c>
      <c r="AS192" s="6">
        <f>IFERROR(INDEX('[1]Technology Defaults'!$B$18:$AA$31,MATCH($AI192,'[1]Technology Defaults'!$A$18:$A$31,0),MATCH(AS$139,'[1]Technology Defaults'!$B$17:$AA$17,0)),0)</f>
        <v>0</v>
      </c>
      <c r="AT192" s="6">
        <f>IFERROR(INDEX('[1]Technology Defaults'!$B$18:$AA$31,MATCH($AI192,'[1]Technology Defaults'!$A$18:$A$31,0),MATCH(AT$139,'[1]Technology Defaults'!$B$17:$AA$17,0)),0)</f>
        <v>0</v>
      </c>
      <c r="AU192" s="6">
        <f>IFERROR(INDEX('[1]Technology Defaults'!$B$18:$AA$31,MATCH($AI192,'[1]Technology Defaults'!$A$18:$A$31,0),MATCH(AU$139,'[1]Technology Defaults'!$B$17:$AA$17,0)),0)</f>
        <v>0</v>
      </c>
      <c r="AV192" s="6">
        <f>IFERROR(INDEX('[1]Technology Defaults'!$B$18:$AA$31,MATCH($AI192,'[1]Technology Defaults'!$A$18:$A$31,0),MATCH(AV$139,'[1]Technology Defaults'!$B$17:$AA$17,0)),0)</f>
        <v>0</v>
      </c>
      <c r="AW192" s="6">
        <f>IFERROR(INDEX('[1]Technology Defaults'!$B$18:$AA$31,MATCH($AI192,'[1]Technology Defaults'!$A$18:$A$31,0),MATCH(AW$139,'[1]Technology Defaults'!$B$17:$AA$17,0)),0)</f>
        <v>0</v>
      </c>
      <c r="AX192" s="6">
        <f>IFERROR(INDEX('[1]Technology Defaults'!$B$18:$AA$31,MATCH($AI192,'[1]Technology Defaults'!$A$18:$A$31,0),MATCH(AX$139,'[1]Technology Defaults'!$B$17:$AA$17,0)),0)</f>
        <v>0</v>
      </c>
      <c r="AY192" s="6">
        <f>IFERROR(INDEX('[1]Technology Defaults'!$B$18:$AA$31,MATCH($AI192,'[1]Technology Defaults'!$A$18:$A$31,0),MATCH(AY$139,'[1]Technology Defaults'!$B$17:$AA$17,0)),0)</f>
        <v>0</v>
      </c>
      <c r="AZ192" s="6">
        <f>IFERROR(INDEX('[1]Technology Defaults'!$B$18:$AA$31,MATCH($AI192,'[1]Technology Defaults'!$A$18:$A$31,0),MATCH(AZ$139,'[1]Technology Defaults'!$B$17:$AA$17,0)),0)</f>
        <v>0</v>
      </c>
      <c r="BA192" s="6">
        <f>IFERROR(INDEX('[1]Technology Defaults'!$B$18:$AA$31,MATCH($AI192,'[1]Technology Defaults'!$A$18:$A$31,0),MATCH(BA$139,'[1]Technology Defaults'!$B$17:$AA$17,0)),0)</f>
        <v>0</v>
      </c>
      <c r="BB192" s="6">
        <f>IFERROR(INDEX('[1]Technology Defaults'!$B$18:$AA$31,MATCH($AI192,'[1]Technology Defaults'!$A$18:$A$31,0),MATCH(BB$139,'[1]Technology Defaults'!$B$17:$AA$17,0)),0)</f>
        <v>0</v>
      </c>
      <c r="BC192" s="6">
        <f>IFERROR(INDEX('[1]Technology Defaults'!$B$18:$AA$31,MATCH($AI192,'[1]Technology Defaults'!$A$18:$A$31,0),MATCH(BC$139,'[1]Technology Defaults'!$B$17:$AA$17,0)),0)</f>
        <v>0</v>
      </c>
      <c r="BD192" s="6">
        <f>IFERROR(INDEX('[1]Technology Defaults'!$B$18:$AA$31,MATCH($AI192,'[1]Technology Defaults'!$A$18:$A$31,0),MATCH(BD$139,'[1]Technology Defaults'!$B$17:$AA$17,0)),0)</f>
        <v>0</v>
      </c>
      <c r="BE192" s="6">
        <f>IFERROR(INDEX('[1]Technology Defaults'!$B$18:$AA$31,MATCH($AI192,'[1]Technology Defaults'!$A$18:$A$31,0),MATCH(BE$139,'[1]Technology Defaults'!$B$17:$AA$17,0)),0)</f>
        <v>0</v>
      </c>
      <c r="BF192" s="6">
        <f>IFERROR(INDEX('[1]Technology Defaults'!$B$18:$AA$31,MATCH($AI192,'[1]Technology Defaults'!$A$18:$A$31,0),MATCH(BF$139,'[1]Technology Defaults'!$B$17:$AA$17,0)),0)</f>
        <v>0</v>
      </c>
      <c r="BG192" s="6">
        <f>IFERROR(INDEX('[1]Technology Defaults'!$B$18:$AA$31,MATCH($AI192,'[1]Technology Defaults'!$A$18:$A$31,0),MATCH(BG$139,'[1]Technology Defaults'!$B$17:$AA$17,0)),0)</f>
        <v>0</v>
      </c>
      <c r="BH192" s="6">
        <f>IFERROR(INDEX('[1]Technology Defaults'!$B$18:$AA$31,MATCH($AI192,'[1]Technology Defaults'!$A$18:$A$31,0),MATCH(BH$139,'[1]Technology Defaults'!$B$17:$AA$17,0)),0)</f>
        <v>0</v>
      </c>
      <c r="BI192" s="6">
        <f>IFERROR(INDEX('[1]Technology Defaults'!$B$18:$AA$31,MATCH($AI192,'[1]Technology Defaults'!$A$18:$A$31,0),MATCH(BI$139,'[1]Technology Defaults'!$B$17:$AA$17,0)),0)</f>
        <v>0</v>
      </c>
    </row>
    <row r="195" spans="35:61" x14ac:dyDescent="0.2">
      <c r="AI195" s="4" t="s">
        <v>34</v>
      </c>
      <c r="AJ195" s="4">
        <v>2025</v>
      </c>
      <c r="AK195" s="4">
        <v>2026</v>
      </c>
      <c r="AL195" s="4">
        <v>2027</v>
      </c>
      <c r="AM195" s="4">
        <v>2028</v>
      </c>
      <c r="AN195" s="4">
        <v>2029</v>
      </c>
      <c r="AO195" s="4">
        <v>2030</v>
      </c>
      <c r="AP195" s="4">
        <v>2031</v>
      </c>
      <c r="AQ195" s="4">
        <v>2032</v>
      </c>
      <c r="AR195" s="4">
        <v>2033</v>
      </c>
      <c r="AS195" s="4">
        <v>2034</v>
      </c>
      <c r="AT195" s="4">
        <v>2035</v>
      </c>
      <c r="AU195" s="4">
        <v>2036</v>
      </c>
      <c r="AV195" s="4">
        <v>2037</v>
      </c>
      <c r="AW195" s="4">
        <v>2038</v>
      </c>
      <c r="AX195" s="4">
        <v>2039</v>
      </c>
      <c r="AY195" s="4">
        <v>2040</v>
      </c>
      <c r="AZ195" s="4">
        <v>2041</v>
      </c>
      <c r="BA195" s="4">
        <v>2042</v>
      </c>
      <c r="BB195" s="4">
        <v>2043</v>
      </c>
      <c r="BC195" s="4">
        <v>2044</v>
      </c>
      <c r="BD195" s="4">
        <v>2045</v>
      </c>
      <c r="BE195" s="4">
        <v>2046</v>
      </c>
      <c r="BF195" s="4">
        <v>2047</v>
      </c>
      <c r="BG195" s="4">
        <v>2048</v>
      </c>
      <c r="BH195" s="4">
        <v>2049</v>
      </c>
      <c r="BI195" s="4">
        <v>2050</v>
      </c>
    </row>
    <row r="196" spans="35:61" ht="16" x14ac:dyDescent="0.2">
      <c r="AI196" s="5" t="s">
        <v>37</v>
      </c>
      <c r="AJ196" s="6">
        <f t="shared" ref="AJ196:BI205" si="41">AJ140*AJ78/10^6</f>
        <v>0</v>
      </c>
      <c r="AK196" s="6">
        <f t="shared" si="41"/>
        <v>0</v>
      </c>
      <c r="AL196" s="6">
        <f t="shared" si="41"/>
        <v>0</v>
      </c>
      <c r="AM196" s="6">
        <f t="shared" si="41"/>
        <v>0</v>
      </c>
      <c r="AN196" s="6">
        <f t="shared" si="41"/>
        <v>0</v>
      </c>
      <c r="AO196" s="6">
        <f t="shared" si="41"/>
        <v>0</v>
      </c>
      <c r="AP196" s="6">
        <f t="shared" si="41"/>
        <v>0</v>
      </c>
      <c r="AQ196" s="6">
        <f t="shared" si="41"/>
        <v>0</v>
      </c>
      <c r="AR196" s="6">
        <f t="shared" si="41"/>
        <v>0</v>
      </c>
      <c r="AS196" s="6">
        <f t="shared" si="41"/>
        <v>0</v>
      </c>
      <c r="AT196" s="6">
        <f t="shared" si="41"/>
        <v>0</v>
      </c>
      <c r="AU196" s="6">
        <f t="shared" si="41"/>
        <v>0</v>
      </c>
      <c r="AV196" s="6">
        <f t="shared" si="41"/>
        <v>0</v>
      </c>
      <c r="AW196" s="6">
        <f t="shared" si="41"/>
        <v>0</v>
      </c>
      <c r="AX196" s="6">
        <f t="shared" si="41"/>
        <v>0</v>
      </c>
      <c r="AY196" s="6">
        <f t="shared" si="41"/>
        <v>0</v>
      </c>
      <c r="AZ196" s="6">
        <f t="shared" si="41"/>
        <v>0</v>
      </c>
      <c r="BA196" s="6">
        <f t="shared" si="41"/>
        <v>0</v>
      </c>
      <c r="BB196" s="6">
        <f t="shared" si="41"/>
        <v>0</v>
      </c>
      <c r="BC196" s="6">
        <f t="shared" si="41"/>
        <v>0</v>
      </c>
      <c r="BD196" s="6">
        <f t="shared" si="41"/>
        <v>0</v>
      </c>
      <c r="BE196" s="6">
        <f t="shared" si="41"/>
        <v>0</v>
      </c>
      <c r="BF196" s="6">
        <f t="shared" si="41"/>
        <v>0</v>
      </c>
      <c r="BG196" s="6">
        <f t="shared" si="41"/>
        <v>0</v>
      </c>
      <c r="BH196" s="6">
        <f t="shared" si="41"/>
        <v>0</v>
      </c>
      <c r="BI196" s="6">
        <f t="shared" si="41"/>
        <v>0</v>
      </c>
    </row>
    <row r="197" spans="35:61" ht="16" x14ac:dyDescent="0.2">
      <c r="AI197" s="5" t="s">
        <v>39</v>
      </c>
      <c r="AJ197" s="6">
        <f t="shared" si="41"/>
        <v>0</v>
      </c>
      <c r="AK197" s="6">
        <f t="shared" si="41"/>
        <v>0</v>
      </c>
      <c r="AL197" s="6">
        <f t="shared" si="41"/>
        <v>0</v>
      </c>
      <c r="AM197" s="6">
        <f t="shared" si="41"/>
        <v>0</v>
      </c>
      <c r="AN197" s="6">
        <f t="shared" si="41"/>
        <v>0</v>
      </c>
      <c r="AO197" s="6">
        <f t="shared" si="41"/>
        <v>0</v>
      </c>
      <c r="AP197" s="6">
        <f t="shared" si="41"/>
        <v>0</v>
      </c>
      <c r="AQ197" s="6">
        <f t="shared" si="41"/>
        <v>0</v>
      </c>
      <c r="AR197" s="6">
        <f t="shared" si="41"/>
        <v>0</v>
      </c>
      <c r="AS197" s="6">
        <f t="shared" si="41"/>
        <v>0</v>
      </c>
      <c r="AT197" s="6">
        <f t="shared" si="41"/>
        <v>0</v>
      </c>
      <c r="AU197" s="6">
        <f t="shared" si="41"/>
        <v>0</v>
      </c>
      <c r="AV197" s="6">
        <f t="shared" si="41"/>
        <v>0</v>
      </c>
      <c r="AW197" s="6">
        <f t="shared" si="41"/>
        <v>0</v>
      </c>
      <c r="AX197" s="6">
        <f t="shared" si="41"/>
        <v>0</v>
      </c>
      <c r="AY197" s="6">
        <f t="shared" si="41"/>
        <v>0</v>
      </c>
      <c r="AZ197" s="6">
        <f t="shared" si="41"/>
        <v>0</v>
      </c>
      <c r="BA197" s="6">
        <f t="shared" si="41"/>
        <v>0</v>
      </c>
      <c r="BB197" s="6">
        <f t="shared" si="41"/>
        <v>0</v>
      </c>
      <c r="BC197" s="6">
        <f t="shared" si="41"/>
        <v>0</v>
      </c>
      <c r="BD197" s="6">
        <f t="shared" si="41"/>
        <v>0</v>
      </c>
      <c r="BE197" s="6">
        <f t="shared" si="41"/>
        <v>0</v>
      </c>
      <c r="BF197" s="6">
        <f t="shared" si="41"/>
        <v>0</v>
      </c>
      <c r="BG197" s="6">
        <f t="shared" si="41"/>
        <v>0</v>
      </c>
      <c r="BH197" s="6">
        <f t="shared" si="41"/>
        <v>0</v>
      </c>
      <c r="BI197" s="6">
        <f t="shared" si="41"/>
        <v>0</v>
      </c>
    </row>
    <row r="198" spans="35:61" ht="16" x14ac:dyDescent="0.2">
      <c r="AI198" s="5" t="s">
        <v>40</v>
      </c>
      <c r="AJ198" s="6">
        <f t="shared" si="41"/>
        <v>0</v>
      </c>
      <c r="AK198" s="6">
        <f t="shared" si="41"/>
        <v>0</v>
      </c>
      <c r="AL198" s="6">
        <f t="shared" si="41"/>
        <v>0</v>
      </c>
      <c r="AM198" s="6">
        <f t="shared" si="41"/>
        <v>0</v>
      </c>
      <c r="AN198" s="6">
        <f t="shared" si="41"/>
        <v>0</v>
      </c>
      <c r="AO198" s="6">
        <f t="shared" si="41"/>
        <v>0</v>
      </c>
      <c r="AP198" s="6">
        <f t="shared" si="41"/>
        <v>0</v>
      </c>
      <c r="AQ198" s="6">
        <f t="shared" si="41"/>
        <v>0</v>
      </c>
      <c r="AR198" s="6">
        <f t="shared" si="41"/>
        <v>0</v>
      </c>
      <c r="AS198" s="6">
        <f t="shared" si="41"/>
        <v>0</v>
      </c>
      <c r="AT198" s="6">
        <f t="shared" si="41"/>
        <v>0</v>
      </c>
      <c r="AU198" s="6">
        <f t="shared" si="41"/>
        <v>0</v>
      </c>
      <c r="AV198" s="6">
        <f t="shared" si="41"/>
        <v>0</v>
      </c>
      <c r="AW198" s="6">
        <f t="shared" si="41"/>
        <v>0</v>
      </c>
      <c r="AX198" s="6">
        <f t="shared" si="41"/>
        <v>0</v>
      </c>
      <c r="AY198" s="6">
        <f t="shared" si="41"/>
        <v>0</v>
      </c>
      <c r="AZ198" s="6">
        <f t="shared" si="41"/>
        <v>0</v>
      </c>
      <c r="BA198" s="6">
        <f t="shared" si="41"/>
        <v>0</v>
      </c>
      <c r="BB198" s="6">
        <f t="shared" si="41"/>
        <v>0</v>
      </c>
      <c r="BC198" s="6">
        <f t="shared" si="41"/>
        <v>0</v>
      </c>
      <c r="BD198" s="6">
        <f t="shared" si="41"/>
        <v>0</v>
      </c>
      <c r="BE198" s="6">
        <f t="shared" si="41"/>
        <v>0</v>
      </c>
      <c r="BF198" s="6">
        <f t="shared" si="41"/>
        <v>0</v>
      </c>
      <c r="BG198" s="6">
        <f t="shared" si="41"/>
        <v>0</v>
      </c>
      <c r="BH198" s="6">
        <f t="shared" si="41"/>
        <v>0</v>
      </c>
      <c r="BI198" s="6">
        <f t="shared" si="41"/>
        <v>0</v>
      </c>
    </row>
    <row r="199" spans="35:61" ht="16" x14ac:dyDescent="0.2">
      <c r="AI199" s="5" t="s">
        <v>41</v>
      </c>
      <c r="AJ199" s="6">
        <f t="shared" si="41"/>
        <v>0</v>
      </c>
      <c r="AK199" s="6">
        <f t="shared" si="41"/>
        <v>0</v>
      </c>
      <c r="AL199" s="6">
        <f t="shared" si="41"/>
        <v>0</v>
      </c>
      <c r="AM199" s="6">
        <f t="shared" si="41"/>
        <v>0</v>
      </c>
      <c r="AN199" s="6">
        <f t="shared" si="41"/>
        <v>81.40276380205492</v>
      </c>
      <c r="AO199" s="6">
        <f t="shared" si="41"/>
        <v>182.47786218960647</v>
      </c>
      <c r="AP199" s="6">
        <f t="shared" si="41"/>
        <v>269.98583327681547</v>
      </c>
      <c r="AQ199" s="6">
        <f t="shared" si="41"/>
        <v>269.98583327681547</v>
      </c>
      <c r="AR199" s="6">
        <f t="shared" si="41"/>
        <v>269.98583327681547</v>
      </c>
      <c r="AS199" s="6">
        <f t="shared" si="41"/>
        <v>269.98583327681547</v>
      </c>
      <c r="AT199" s="6">
        <f t="shared" si="41"/>
        <v>269.98583327681547</v>
      </c>
      <c r="AU199" s="6">
        <f t="shared" si="41"/>
        <v>269.98583327681547</v>
      </c>
      <c r="AV199" s="6">
        <f t="shared" si="41"/>
        <v>269.98583327681547</v>
      </c>
      <c r="AW199" s="6">
        <f t="shared" si="41"/>
        <v>269.98583327681547</v>
      </c>
      <c r="AX199" s="6">
        <f t="shared" si="41"/>
        <v>269.98583327681547</v>
      </c>
      <c r="AY199" s="6">
        <f t="shared" si="41"/>
        <v>269.98583327681547</v>
      </c>
      <c r="AZ199" s="6">
        <f t="shared" si="41"/>
        <v>269.98583327681547</v>
      </c>
      <c r="BA199" s="6">
        <f t="shared" si="41"/>
        <v>269.98583327681547</v>
      </c>
      <c r="BB199" s="6">
        <f t="shared" si="41"/>
        <v>269.98583327681547</v>
      </c>
      <c r="BC199" s="6">
        <f t="shared" si="41"/>
        <v>269.98583327681547</v>
      </c>
      <c r="BD199" s="6">
        <f t="shared" si="41"/>
        <v>269.98583327681547</v>
      </c>
      <c r="BE199" s="6">
        <f t="shared" si="41"/>
        <v>269.98583327681547</v>
      </c>
      <c r="BF199" s="6">
        <f t="shared" si="41"/>
        <v>269.98583327681547</v>
      </c>
      <c r="BG199" s="6">
        <f t="shared" si="41"/>
        <v>269.98583327681547</v>
      </c>
      <c r="BH199" s="6">
        <f t="shared" si="41"/>
        <v>269.98583327681547</v>
      </c>
      <c r="BI199" s="6">
        <f t="shared" si="41"/>
        <v>269.98583327681547</v>
      </c>
    </row>
    <row r="200" spans="35:61" ht="16" x14ac:dyDescent="0.2">
      <c r="AI200" s="5" t="s">
        <v>43</v>
      </c>
      <c r="AJ200" s="6">
        <f t="shared" si="41"/>
        <v>0</v>
      </c>
      <c r="AK200" s="6">
        <f t="shared" si="41"/>
        <v>0</v>
      </c>
      <c r="AL200" s="6">
        <f t="shared" si="41"/>
        <v>0</v>
      </c>
      <c r="AM200" s="6">
        <f t="shared" si="41"/>
        <v>19.795672106408809</v>
      </c>
      <c r="AN200" s="6">
        <f t="shared" si="41"/>
        <v>64.197179634802396</v>
      </c>
      <c r="AO200" s="6">
        <f t="shared" si="41"/>
        <v>64.197179634802396</v>
      </c>
      <c r="AP200" s="6">
        <f t="shared" si="41"/>
        <v>64.197179634802396</v>
      </c>
      <c r="AQ200" s="6">
        <f t="shared" si="41"/>
        <v>64.197179634802396</v>
      </c>
      <c r="AR200" s="6">
        <f t="shared" si="41"/>
        <v>64.197179634802396</v>
      </c>
      <c r="AS200" s="6">
        <f t="shared" si="41"/>
        <v>64.197179634802396</v>
      </c>
      <c r="AT200" s="6">
        <f t="shared" si="41"/>
        <v>64.197179634802396</v>
      </c>
      <c r="AU200" s="6">
        <f t="shared" si="41"/>
        <v>64.197179634802396</v>
      </c>
      <c r="AV200" s="6">
        <f t="shared" si="41"/>
        <v>64.197179634802396</v>
      </c>
      <c r="AW200" s="6">
        <f t="shared" si="41"/>
        <v>64.197179634802396</v>
      </c>
      <c r="AX200" s="6">
        <f t="shared" si="41"/>
        <v>64.197179634802396</v>
      </c>
      <c r="AY200" s="6">
        <f t="shared" si="41"/>
        <v>64.197179634802396</v>
      </c>
      <c r="AZ200" s="6">
        <f t="shared" si="41"/>
        <v>64.197179634802396</v>
      </c>
      <c r="BA200" s="6">
        <f t="shared" si="41"/>
        <v>64.197179634802396</v>
      </c>
      <c r="BB200" s="6">
        <f t="shared" si="41"/>
        <v>64.197179634802396</v>
      </c>
      <c r="BC200" s="6">
        <f t="shared" si="41"/>
        <v>64.197179634802396</v>
      </c>
      <c r="BD200" s="6">
        <f t="shared" si="41"/>
        <v>64.197179634802396</v>
      </c>
      <c r="BE200" s="6">
        <f t="shared" si="41"/>
        <v>64.197179634802396</v>
      </c>
      <c r="BF200" s="6">
        <f t="shared" si="41"/>
        <v>64.197179634802396</v>
      </c>
      <c r="BG200" s="6">
        <f t="shared" si="41"/>
        <v>64.197179634802396</v>
      </c>
      <c r="BH200" s="6">
        <f t="shared" si="41"/>
        <v>64.197179634802396</v>
      </c>
      <c r="BI200" s="6">
        <f t="shared" si="41"/>
        <v>64.197179634802396</v>
      </c>
    </row>
    <row r="201" spans="35:61" ht="16" x14ac:dyDescent="0.2">
      <c r="AI201" s="5" t="s">
        <v>45</v>
      </c>
      <c r="AJ201" s="6">
        <f t="shared" si="41"/>
        <v>0</v>
      </c>
      <c r="AK201" s="6">
        <f t="shared" si="41"/>
        <v>0</v>
      </c>
      <c r="AL201" s="6">
        <f t="shared" si="41"/>
        <v>0</v>
      </c>
      <c r="AM201" s="6">
        <f t="shared" si="41"/>
        <v>0</v>
      </c>
      <c r="AN201" s="6">
        <f t="shared" si="41"/>
        <v>0</v>
      </c>
      <c r="AO201" s="6">
        <f t="shared" si="41"/>
        <v>0</v>
      </c>
      <c r="AP201" s="6">
        <f t="shared" si="41"/>
        <v>0</v>
      </c>
      <c r="AQ201" s="6">
        <f t="shared" si="41"/>
        <v>0</v>
      </c>
      <c r="AR201" s="6">
        <f t="shared" si="41"/>
        <v>0</v>
      </c>
      <c r="AS201" s="6">
        <f t="shared" si="41"/>
        <v>0</v>
      </c>
      <c r="AT201" s="6">
        <f t="shared" si="41"/>
        <v>0</v>
      </c>
      <c r="AU201" s="6">
        <f t="shared" si="41"/>
        <v>0</v>
      </c>
      <c r="AV201" s="6">
        <f t="shared" si="41"/>
        <v>0</v>
      </c>
      <c r="AW201" s="6">
        <f t="shared" si="41"/>
        <v>0</v>
      </c>
      <c r="AX201" s="6">
        <f t="shared" si="41"/>
        <v>61.422085414277802</v>
      </c>
      <c r="AY201" s="6">
        <f t="shared" si="41"/>
        <v>61.422085414277802</v>
      </c>
      <c r="AZ201" s="6">
        <f t="shared" si="41"/>
        <v>61.422085414277802</v>
      </c>
      <c r="BA201" s="6">
        <f t="shared" si="41"/>
        <v>61.422085414277802</v>
      </c>
      <c r="BB201" s="6">
        <f t="shared" si="41"/>
        <v>61.422085414277802</v>
      </c>
      <c r="BC201" s="6">
        <f t="shared" si="41"/>
        <v>61.422085414277802</v>
      </c>
      <c r="BD201" s="6">
        <f t="shared" si="41"/>
        <v>61.422085414277802</v>
      </c>
      <c r="BE201" s="6">
        <f t="shared" si="41"/>
        <v>61.422085414277802</v>
      </c>
      <c r="BF201" s="6">
        <f t="shared" si="41"/>
        <v>61.422085414277802</v>
      </c>
      <c r="BG201" s="6">
        <f t="shared" si="41"/>
        <v>61.422085414277802</v>
      </c>
      <c r="BH201" s="6">
        <f t="shared" si="41"/>
        <v>61.422085414277802</v>
      </c>
      <c r="BI201" s="6">
        <f t="shared" si="41"/>
        <v>61.422085414277802</v>
      </c>
    </row>
    <row r="202" spans="35:61" ht="16" x14ac:dyDescent="0.2">
      <c r="AI202" s="5" t="s">
        <v>47</v>
      </c>
      <c r="AJ202" s="6">
        <f t="shared" si="41"/>
        <v>0</v>
      </c>
      <c r="AK202" s="6">
        <f t="shared" si="41"/>
        <v>0</v>
      </c>
      <c r="AL202" s="6">
        <f t="shared" si="41"/>
        <v>0</v>
      </c>
      <c r="AM202" s="6">
        <f t="shared" si="41"/>
        <v>0</v>
      </c>
      <c r="AN202" s="6">
        <f t="shared" si="41"/>
        <v>0</v>
      </c>
      <c r="AO202" s="6">
        <f t="shared" si="41"/>
        <v>0</v>
      </c>
      <c r="AP202" s="6">
        <f t="shared" si="41"/>
        <v>0</v>
      </c>
      <c r="AQ202" s="6">
        <f t="shared" si="41"/>
        <v>0</v>
      </c>
      <c r="AR202" s="6">
        <f t="shared" si="41"/>
        <v>0</v>
      </c>
      <c r="AS202" s="6">
        <f t="shared" si="41"/>
        <v>0</v>
      </c>
      <c r="AT202" s="6">
        <f t="shared" si="41"/>
        <v>0</v>
      </c>
      <c r="AU202" s="6">
        <f t="shared" si="41"/>
        <v>0</v>
      </c>
      <c r="AV202" s="6">
        <f t="shared" si="41"/>
        <v>0</v>
      </c>
      <c r="AW202" s="6">
        <f t="shared" si="41"/>
        <v>0</v>
      </c>
      <c r="AX202" s="6">
        <f t="shared" si="41"/>
        <v>0</v>
      </c>
      <c r="AY202" s="6">
        <f t="shared" si="41"/>
        <v>0</v>
      </c>
      <c r="AZ202" s="6">
        <f t="shared" si="41"/>
        <v>0</v>
      </c>
      <c r="BA202" s="6">
        <f t="shared" si="41"/>
        <v>0</v>
      </c>
      <c r="BB202" s="6">
        <f t="shared" si="41"/>
        <v>0</v>
      </c>
      <c r="BC202" s="6">
        <f t="shared" si="41"/>
        <v>0</v>
      </c>
      <c r="BD202" s="6">
        <f t="shared" si="41"/>
        <v>0</v>
      </c>
      <c r="BE202" s="6">
        <f t="shared" si="41"/>
        <v>0</v>
      </c>
      <c r="BF202" s="6">
        <f t="shared" si="41"/>
        <v>0</v>
      </c>
      <c r="BG202" s="6">
        <f t="shared" si="41"/>
        <v>0</v>
      </c>
      <c r="BH202" s="6">
        <f t="shared" si="41"/>
        <v>0</v>
      </c>
      <c r="BI202" s="6">
        <f t="shared" si="41"/>
        <v>0</v>
      </c>
    </row>
    <row r="203" spans="35:61" ht="16" x14ac:dyDescent="0.2">
      <c r="AI203" s="5" t="s">
        <v>49</v>
      </c>
      <c r="AJ203" s="6">
        <f t="shared" si="41"/>
        <v>0</v>
      </c>
      <c r="AK203" s="6">
        <f t="shared" si="41"/>
        <v>0</v>
      </c>
      <c r="AL203" s="6">
        <f t="shared" si="41"/>
        <v>0</v>
      </c>
      <c r="AM203" s="6">
        <f t="shared" si="41"/>
        <v>0</v>
      </c>
      <c r="AN203" s="6">
        <f t="shared" si="41"/>
        <v>0</v>
      </c>
      <c r="AO203" s="6">
        <f t="shared" si="41"/>
        <v>0</v>
      </c>
      <c r="AP203" s="6">
        <f t="shared" si="41"/>
        <v>0</v>
      </c>
      <c r="AQ203" s="6">
        <f t="shared" si="41"/>
        <v>0</v>
      </c>
      <c r="AR203" s="6">
        <f t="shared" si="41"/>
        <v>0</v>
      </c>
      <c r="AS203" s="6">
        <f t="shared" si="41"/>
        <v>0</v>
      </c>
      <c r="AT203" s="6">
        <f t="shared" si="41"/>
        <v>0</v>
      </c>
      <c r="AU203" s="6">
        <f t="shared" si="41"/>
        <v>0</v>
      </c>
      <c r="AV203" s="6">
        <f t="shared" si="41"/>
        <v>0</v>
      </c>
      <c r="AW203" s="6">
        <f t="shared" si="41"/>
        <v>0</v>
      </c>
      <c r="AX203" s="6">
        <f t="shared" si="41"/>
        <v>0</v>
      </c>
      <c r="AY203" s="6">
        <f t="shared" si="41"/>
        <v>0</v>
      </c>
      <c r="AZ203" s="6">
        <f t="shared" si="41"/>
        <v>0</v>
      </c>
      <c r="BA203" s="6">
        <f t="shared" si="41"/>
        <v>0</v>
      </c>
      <c r="BB203" s="6">
        <f t="shared" si="41"/>
        <v>0</v>
      </c>
      <c r="BC203" s="6">
        <f t="shared" si="41"/>
        <v>0</v>
      </c>
      <c r="BD203" s="6">
        <f t="shared" si="41"/>
        <v>0</v>
      </c>
      <c r="BE203" s="6">
        <f t="shared" si="41"/>
        <v>0</v>
      </c>
      <c r="BF203" s="6">
        <f t="shared" si="41"/>
        <v>0</v>
      </c>
      <c r="BG203" s="6">
        <f t="shared" si="41"/>
        <v>0</v>
      </c>
      <c r="BH203" s="6">
        <f t="shared" si="41"/>
        <v>0</v>
      </c>
      <c r="BI203" s="6">
        <f t="shared" si="41"/>
        <v>0</v>
      </c>
    </row>
    <row r="204" spans="35:61" ht="16" x14ac:dyDescent="0.2">
      <c r="AI204" s="5" t="s">
        <v>51</v>
      </c>
      <c r="AJ204" s="6">
        <f t="shared" si="41"/>
        <v>0</v>
      </c>
      <c r="AK204" s="6">
        <f t="shared" si="41"/>
        <v>0</v>
      </c>
      <c r="AL204" s="6">
        <f t="shared" si="41"/>
        <v>0</v>
      </c>
      <c r="AM204" s="6">
        <f t="shared" si="41"/>
        <v>0</v>
      </c>
      <c r="AN204" s="6">
        <f t="shared" si="41"/>
        <v>0</v>
      </c>
      <c r="AO204" s="6">
        <f t="shared" si="41"/>
        <v>0</v>
      </c>
      <c r="AP204" s="6">
        <f t="shared" si="41"/>
        <v>0</v>
      </c>
      <c r="AQ204" s="6">
        <f t="shared" si="41"/>
        <v>0</v>
      </c>
      <c r="AR204" s="6">
        <f t="shared" si="41"/>
        <v>0</v>
      </c>
      <c r="AS204" s="6">
        <f t="shared" si="41"/>
        <v>0</v>
      </c>
      <c r="AT204" s="6">
        <f t="shared" si="41"/>
        <v>0</v>
      </c>
      <c r="AU204" s="6">
        <f t="shared" si="41"/>
        <v>0</v>
      </c>
      <c r="AV204" s="6">
        <f t="shared" si="41"/>
        <v>0</v>
      </c>
      <c r="AW204" s="6">
        <f t="shared" si="41"/>
        <v>0</v>
      </c>
      <c r="AX204" s="6">
        <f t="shared" si="41"/>
        <v>0</v>
      </c>
      <c r="AY204" s="6">
        <f t="shared" si="41"/>
        <v>0</v>
      </c>
      <c r="AZ204" s="6">
        <f t="shared" si="41"/>
        <v>0</v>
      </c>
      <c r="BA204" s="6">
        <f t="shared" si="41"/>
        <v>0</v>
      </c>
      <c r="BB204" s="6">
        <f t="shared" si="41"/>
        <v>0</v>
      </c>
      <c r="BC204" s="6">
        <f t="shared" si="41"/>
        <v>0</v>
      </c>
      <c r="BD204" s="6">
        <f t="shared" si="41"/>
        <v>0</v>
      </c>
      <c r="BE204" s="6">
        <f t="shared" si="41"/>
        <v>0</v>
      </c>
      <c r="BF204" s="6">
        <f t="shared" si="41"/>
        <v>0</v>
      </c>
      <c r="BG204" s="6">
        <f t="shared" si="41"/>
        <v>0</v>
      </c>
      <c r="BH204" s="6">
        <f t="shared" si="41"/>
        <v>0</v>
      </c>
      <c r="BI204" s="6">
        <f t="shared" si="41"/>
        <v>0</v>
      </c>
    </row>
    <row r="205" spans="35:61" ht="16" x14ac:dyDescent="0.2">
      <c r="AI205" s="5" t="s">
        <v>53</v>
      </c>
      <c r="AJ205" s="6">
        <f t="shared" si="41"/>
        <v>0</v>
      </c>
      <c r="AK205" s="6">
        <f t="shared" si="41"/>
        <v>0</v>
      </c>
      <c r="AL205" s="6">
        <f t="shared" si="41"/>
        <v>0</v>
      </c>
      <c r="AM205" s="6">
        <f t="shared" si="41"/>
        <v>0</v>
      </c>
      <c r="AN205" s="6">
        <f t="shared" si="41"/>
        <v>0</v>
      </c>
      <c r="AO205" s="6">
        <f t="shared" si="41"/>
        <v>0</v>
      </c>
      <c r="AP205" s="6">
        <f t="shared" si="41"/>
        <v>0</v>
      </c>
      <c r="AQ205" s="6">
        <f t="shared" si="41"/>
        <v>0</v>
      </c>
      <c r="AR205" s="6">
        <f t="shared" si="41"/>
        <v>0</v>
      </c>
      <c r="AS205" s="6">
        <f t="shared" si="41"/>
        <v>0</v>
      </c>
      <c r="AT205" s="6">
        <f t="shared" si="41"/>
        <v>0</v>
      </c>
      <c r="AU205" s="6">
        <f t="shared" si="41"/>
        <v>0</v>
      </c>
      <c r="AV205" s="6">
        <f t="shared" si="41"/>
        <v>0</v>
      </c>
      <c r="AW205" s="6">
        <f t="shared" si="41"/>
        <v>0</v>
      </c>
      <c r="AX205" s="6">
        <f t="shared" si="41"/>
        <v>0</v>
      </c>
      <c r="AY205" s="6">
        <f t="shared" si="41"/>
        <v>0</v>
      </c>
      <c r="AZ205" s="6">
        <f t="shared" si="41"/>
        <v>0</v>
      </c>
      <c r="BA205" s="6">
        <f t="shared" si="41"/>
        <v>0</v>
      </c>
      <c r="BB205" s="6">
        <f t="shared" si="41"/>
        <v>0</v>
      </c>
      <c r="BC205" s="6">
        <f t="shared" si="41"/>
        <v>0</v>
      </c>
      <c r="BD205" s="6">
        <f t="shared" si="41"/>
        <v>0</v>
      </c>
      <c r="BE205" s="6">
        <f t="shared" ref="BE205:BI205" si="42">BE149*BE87/10^6</f>
        <v>0</v>
      </c>
      <c r="BF205" s="6">
        <f t="shared" si="42"/>
        <v>0</v>
      </c>
      <c r="BG205" s="6">
        <f t="shared" si="42"/>
        <v>0</v>
      </c>
      <c r="BH205" s="6">
        <f t="shared" si="42"/>
        <v>0</v>
      </c>
      <c r="BI205" s="6">
        <f t="shared" si="42"/>
        <v>0</v>
      </c>
    </row>
    <row r="206" spans="35:61" ht="16" x14ac:dyDescent="0.2">
      <c r="AI206" s="5" t="s">
        <v>54</v>
      </c>
      <c r="AJ206" s="6">
        <f t="shared" ref="AJ206:BI215" si="43">AJ150*AJ88/10^6</f>
        <v>0</v>
      </c>
      <c r="AK206" s="6">
        <f t="shared" si="43"/>
        <v>0</v>
      </c>
      <c r="AL206" s="6">
        <f t="shared" si="43"/>
        <v>0</v>
      </c>
      <c r="AM206" s="6">
        <f t="shared" si="43"/>
        <v>0</v>
      </c>
      <c r="AN206" s="6">
        <f t="shared" si="43"/>
        <v>0</v>
      </c>
      <c r="AO206" s="6">
        <f t="shared" si="43"/>
        <v>0</v>
      </c>
      <c r="AP206" s="6">
        <f t="shared" si="43"/>
        <v>0</v>
      </c>
      <c r="AQ206" s="6">
        <f t="shared" si="43"/>
        <v>0</v>
      </c>
      <c r="AR206" s="6">
        <f t="shared" si="43"/>
        <v>0</v>
      </c>
      <c r="AS206" s="6">
        <f t="shared" si="43"/>
        <v>0</v>
      </c>
      <c r="AT206" s="6">
        <f t="shared" si="43"/>
        <v>0</v>
      </c>
      <c r="AU206" s="6">
        <f t="shared" si="43"/>
        <v>0</v>
      </c>
      <c r="AV206" s="6">
        <f t="shared" si="43"/>
        <v>0</v>
      </c>
      <c r="AW206" s="6">
        <f t="shared" si="43"/>
        <v>0</v>
      </c>
      <c r="AX206" s="6">
        <f t="shared" si="43"/>
        <v>0</v>
      </c>
      <c r="AY206" s="6">
        <f t="shared" si="43"/>
        <v>0</v>
      </c>
      <c r="AZ206" s="6">
        <f t="shared" si="43"/>
        <v>0</v>
      </c>
      <c r="BA206" s="6">
        <f t="shared" si="43"/>
        <v>0</v>
      </c>
      <c r="BB206" s="6">
        <f t="shared" si="43"/>
        <v>0</v>
      </c>
      <c r="BC206" s="6">
        <f t="shared" si="43"/>
        <v>0</v>
      </c>
      <c r="BD206" s="6">
        <f t="shared" si="43"/>
        <v>0</v>
      </c>
      <c r="BE206" s="6">
        <f t="shared" si="43"/>
        <v>0</v>
      </c>
      <c r="BF206" s="6">
        <f t="shared" si="43"/>
        <v>0</v>
      </c>
      <c r="BG206" s="6">
        <f t="shared" si="43"/>
        <v>0</v>
      </c>
      <c r="BH206" s="6">
        <f t="shared" si="43"/>
        <v>0</v>
      </c>
      <c r="BI206" s="6">
        <f t="shared" si="43"/>
        <v>0</v>
      </c>
    </row>
    <row r="207" spans="35:61" ht="16" x14ac:dyDescent="0.2">
      <c r="AI207" s="5" t="s">
        <v>55</v>
      </c>
      <c r="AJ207" s="6">
        <f t="shared" si="43"/>
        <v>0</v>
      </c>
      <c r="AK207" s="6">
        <f t="shared" si="43"/>
        <v>0</v>
      </c>
      <c r="AL207" s="6">
        <f t="shared" si="43"/>
        <v>0</v>
      </c>
      <c r="AM207" s="6">
        <f t="shared" si="43"/>
        <v>0</v>
      </c>
      <c r="AN207" s="6">
        <f t="shared" si="43"/>
        <v>0</v>
      </c>
      <c r="AO207" s="6">
        <f t="shared" si="43"/>
        <v>0</v>
      </c>
      <c r="AP207" s="6">
        <f t="shared" si="43"/>
        <v>0</v>
      </c>
      <c r="AQ207" s="6">
        <f t="shared" si="43"/>
        <v>0</v>
      </c>
      <c r="AR207" s="6">
        <f t="shared" si="43"/>
        <v>0</v>
      </c>
      <c r="AS207" s="6">
        <f t="shared" si="43"/>
        <v>0</v>
      </c>
      <c r="AT207" s="6">
        <f t="shared" si="43"/>
        <v>0</v>
      </c>
      <c r="AU207" s="6">
        <f t="shared" si="43"/>
        <v>0</v>
      </c>
      <c r="AV207" s="6">
        <f t="shared" si="43"/>
        <v>0</v>
      </c>
      <c r="AW207" s="6">
        <f t="shared" si="43"/>
        <v>0</v>
      </c>
      <c r="AX207" s="6">
        <f t="shared" si="43"/>
        <v>0</v>
      </c>
      <c r="AY207" s="6">
        <f t="shared" si="43"/>
        <v>0</v>
      </c>
      <c r="AZ207" s="6">
        <f t="shared" si="43"/>
        <v>0</v>
      </c>
      <c r="BA207" s="6">
        <f t="shared" si="43"/>
        <v>0</v>
      </c>
      <c r="BB207" s="6">
        <f t="shared" si="43"/>
        <v>0</v>
      </c>
      <c r="BC207" s="6">
        <f t="shared" si="43"/>
        <v>0</v>
      </c>
      <c r="BD207" s="6">
        <f t="shared" si="43"/>
        <v>0</v>
      </c>
      <c r="BE207" s="6">
        <f t="shared" si="43"/>
        <v>0</v>
      </c>
      <c r="BF207" s="6">
        <f t="shared" si="43"/>
        <v>0</v>
      </c>
      <c r="BG207" s="6">
        <f t="shared" si="43"/>
        <v>0</v>
      </c>
      <c r="BH207" s="6">
        <f t="shared" si="43"/>
        <v>0</v>
      </c>
      <c r="BI207" s="6">
        <f t="shared" si="43"/>
        <v>0</v>
      </c>
    </row>
    <row r="208" spans="35:61" ht="16" x14ac:dyDescent="0.2">
      <c r="AI208" s="5" t="s">
        <v>56</v>
      </c>
      <c r="AJ208" s="6">
        <f t="shared" si="43"/>
        <v>0</v>
      </c>
      <c r="AK208" s="6">
        <f t="shared" si="43"/>
        <v>0</v>
      </c>
      <c r="AL208" s="6">
        <f t="shared" si="43"/>
        <v>0</v>
      </c>
      <c r="AM208" s="6">
        <f t="shared" si="43"/>
        <v>0</v>
      </c>
      <c r="AN208" s="6">
        <f t="shared" si="43"/>
        <v>0</v>
      </c>
      <c r="AO208" s="6">
        <f t="shared" si="43"/>
        <v>0</v>
      </c>
      <c r="AP208" s="6">
        <f t="shared" si="43"/>
        <v>0</v>
      </c>
      <c r="AQ208" s="6">
        <f t="shared" si="43"/>
        <v>0</v>
      </c>
      <c r="AR208" s="6">
        <f t="shared" si="43"/>
        <v>0</v>
      </c>
      <c r="AS208" s="6">
        <f t="shared" si="43"/>
        <v>0</v>
      </c>
      <c r="AT208" s="6">
        <f t="shared" si="43"/>
        <v>0</v>
      </c>
      <c r="AU208" s="6">
        <f t="shared" si="43"/>
        <v>0</v>
      </c>
      <c r="AV208" s="6">
        <f t="shared" si="43"/>
        <v>0</v>
      </c>
      <c r="AW208" s="6">
        <f t="shared" si="43"/>
        <v>0</v>
      </c>
      <c r="AX208" s="6">
        <f t="shared" si="43"/>
        <v>0</v>
      </c>
      <c r="AY208" s="6">
        <f t="shared" si="43"/>
        <v>0</v>
      </c>
      <c r="AZ208" s="6">
        <f t="shared" si="43"/>
        <v>0</v>
      </c>
      <c r="BA208" s="6">
        <f t="shared" si="43"/>
        <v>0</v>
      </c>
      <c r="BB208" s="6">
        <f t="shared" si="43"/>
        <v>0</v>
      </c>
      <c r="BC208" s="6">
        <f t="shared" si="43"/>
        <v>0</v>
      </c>
      <c r="BD208" s="6">
        <f t="shared" si="43"/>
        <v>0</v>
      </c>
      <c r="BE208" s="6">
        <f t="shared" si="43"/>
        <v>0</v>
      </c>
      <c r="BF208" s="6">
        <f t="shared" si="43"/>
        <v>0</v>
      </c>
      <c r="BG208" s="6">
        <f t="shared" si="43"/>
        <v>0</v>
      </c>
      <c r="BH208" s="6">
        <f t="shared" si="43"/>
        <v>0</v>
      </c>
      <c r="BI208" s="6">
        <f t="shared" si="43"/>
        <v>0</v>
      </c>
    </row>
    <row r="209" spans="35:61" ht="16" x14ac:dyDescent="0.2">
      <c r="AI209" s="5" t="s">
        <v>57</v>
      </c>
      <c r="AJ209" s="6">
        <f t="shared" si="43"/>
        <v>0</v>
      </c>
      <c r="AK209" s="6">
        <f t="shared" si="43"/>
        <v>0</v>
      </c>
      <c r="AL209" s="6">
        <f t="shared" si="43"/>
        <v>0</v>
      </c>
      <c r="AM209" s="6">
        <f t="shared" si="43"/>
        <v>0</v>
      </c>
      <c r="AN209" s="6">
        <f t="shared" si="43"/>
        <v>0</v>
      </c>
      <c r="AO209" s="6">
        <f t="shared" si="43"/>
        <v>0</v>
      </c>
      <c r="AP209" s="6">
        <f t="shared" si="43"/>
        <v>0</v>
      </c>
      <c r="AQ209" s="6">
        <f t="shared" si="43"/>
        <v>0</v>
      </c>
      <c r="AR209" s="6">
        <f t="shared" si="43"/>
        <v>0</v>
      </c>
      <c r="AS209" s="6">
        <f t="shared" si="43"/>
        <v>0</v>
      </c>
      <c r="AT209" s="6">
        <f t="shared" si="43"/>
        <v>0</v>
      </c>
      <c r="AU209" s="6">
        <f t="shared" si="43"/>
        <v>0</v>
      </c>
      <c r="AV209" s="6">
        <f t="shared" si="43"/>
        <v>0</v>
      </c>
      <c r="AW209" s="6">
        <f t="shared" si="43"/>
        <v>0</v>
      </c>
      <c r="AX209" s="6">
        <f t="shared" si="43"/>
        <v>0</v>
      </c>
      <c r="AY209" s="6">
        <f t="shared" si="43"/>
        <v>0</v>
      </c>
      <c r="AZ209" s="6">
        <f t="shared" si="43"/>
        <v>0</v>
      </c>
      <c r="BA209" s="6">
        <f t="shared" si="43"/>
        <v>0</v>
      </c>
      <c r="BB209" s="6">
        <f t="shared" si="43"/>
        <v>0</v>
      </c>
      <c r="BC209" s="6">
        <f t="shared" si="43"/>
        <v>0</v>
      </c>
      <c r="BD209" s="6">
        <f t="shared" si="43"/>
        <v>0</v>
      </c>
      <c r="BE209" s="6">
        <f t="shared" si="43"/>
        <v>0</v>
      </c>
      <c r="BF209" s="6">
        <f t="shared" si="43"/>
        <v>0</v>
      </c>
      <c r="BG209" s="6">
        <f t="shared" si="43"/>
        <v>0</v>
      </c>
      <c r="BH209" s="6">
        <f t="shared" si="43"/>
        <v>0</v>
      </c>
      <c r="BI209" s="6">
        <f t="shared" si="43"/>
        <v>0</v>
      </c>
    </row>
    <row r="210" spans="35:61" ht="16" x14ac:dyDescent="0.2">
      <c r="AI210" s="5" t="s">
        <v>58</v>
      </c>
      <c r="AJ210" s="6">
        <f t="shared" si="43"/>
        <v>0</v>
      </c>
      <c r="AK210" s="6">
        <f t="shared" si="43"/>
        <v>0</v>
      </c>
      <c r="AL210" s="6">
        <f t="shared" si="43"/>
        <v>0</v>
      </c>
      <c r="AM210" s="6">
        <f t="shared" si="43"/>
        <v>0</v>
      </c>
      <c r="AN210" s="6">
        <f t="shared" si="43"/>
        <v>0</v>
      </c>
      <c r="AO210" s="6">
        <f t="shared" si="43"/>
        <v>0</v>
      </c>
      <c r="AP210" s="6">
        <f t="shared" si="43"/>
        <v>0</v>
      </c>
      <c r="AQ210" s="6">
        <f t="shared" si="43"/>
        <v>0</v>
      </c>
      <c r="AR210" s="6">
        <f t="shared" si="43"/>
        <v>0</v>
      </c>
      <c r="AS210" s="6">
        <f t="shared" si="43"/>
        <v>0</v>
      </c>
      <c r="AT210" s="6">
        <f t="shared" si="43"/>
        <v>0</v>
      </c>
      <c r="AU210" s="6">
        <f t="shared" si="43"/>
        <v>0</v>
      </c>
      <c r="AV210" s="6">
        <f t="shared" si="43"/>
        <v>0</v>
      </c>
      <c r="AW210" s="6">
        <f t="shared" si="43"/>
        <v>0</v>
      </c>
      <c r="AX210" s="6">
        <f t="shared" si="43"/>
        <v>0</v>
      </c>
      <c r="AY210" s="6">
        <f t="shared" si="43"/>
        <v>0</v>
      </c>
      <c r="AZ210" s="6">
        <f t="shared" si="43"/>
        <v>0</v>
      </c>
      <c r="BA210" s="6">
        <f t="shared" si="43"/>
        <v>0</v>
      </c>
      <c r="BB210" s="6">
        <f t="shared" si="43"/>
        <v>0</v>
      </c>
      <c r="BC210" s="6">
        <f t="shared" si="43"/>
        <v>0</v>
      </c>
      <c r="BD210" s="6">
        <f t="shared" si="43"/>
        <v>0</v>
      </c>
      <c r="BE210" s="6">
        <f t="shared" si="43"/>
        <v>0</v>
      </c>
      <c r="BF210" s="6">
        <f t="shared" si="43"/>
        <v>0</v>
      </c>
      <c r="BG210" s="6">
        <f t="shared" si="43"/>
        <v>0</v>
      </c>
      <c r="BH210" s="6">
        <f t="shared" si="43"/>
        <v>0</v>
      </c>
      <c r="BI210" s="6">
        <f t="shared" si="43"/>
        <v>0</v>
      </c>
    </row>
    <row r="211" spans="35:61" ht="16" x14ac:dyDescent="0.2">
      <c r="AI211" s="5" t="s">
        <v>59</v>
      </c>
      <c r="AJ211" s="6">
        <f t="shared" si="43"/>
        <v>0</v>
      </c>
      <c r="AK211" s="6">
        <f t="shared" si="43"/>
        <v>0</v>
      </c>
      <c r="AL211" s="6">
        <f t="shared" si="43"/>
        <v>0</v>
      </c>
      <c r="AM211" s="6">
        <f t="shared" si="43"/>
        <v>0</v>
      </c>
      <c r="AN211" s="6">
        <f t="shared" si="43"/>
        <v>0</v>
      </c>
      <c r="AO211" s="6">
        <f t="shared" si="43"/>
        <v>0</v>
      </c>
      <c r="AP211" s="6">
        <f t="shared" si="43"/>
        <v>0</v>
      </c>
      <c r="AQ211" s="6">
        <f t="shared" si="43"/>
        <v>0</v>
      </c>
      <c r="AR211" s="6">
        <f t="shared" si="43"/>
        <v>0</v>
      </c>
      <c r="AS211" s="6">
        <f t="shared" si="43"/>
        <v>0</v>
      </c>
      <c r="AT211" s="6">
        <f t="shared" si="43"/>
        <v>0</v>
      </c>
      <c r="AU211" s="6">
        <f t="shared" si="43"/>
        <v>0</v>
      </c>
      <c r="AV211" s="6">
        <f t="shared" si="43"/>
        <v>0</v>
      </c>
      <c r="AW211" s="6">
        <f t="shared" si="43"/>
        <v>0</v>
      </c>
      <c r="AX211" s="6">
        <f t="shared" si="43"/>
        <v>0</v>
      </c>
      <c r="AY211" s="6">
        <f t="shared" si="43"/>
        <v>0</v>
      </c>
      <c r="AZ211" s="6">
        <f t="shared" si="43"/>
        <v>0</v>
      </c>
      <c r="BA211" s="6">
        <f t="shared" si="43"/>
        <v>0</v>
      </c>
      <c r="BB211" s="6">
        <f t="shared" si="43"/>
        <v>0</v>
      </c>
      <c r="BC211" s="6">
        <f t="shared" si="43"/>
        <v>0</v>
      </c>
      <c r="BD211" s="6">
        <f t="shared" si="43"/>
        <v>0</v>
      </c>
      <c r="BE211" s="6">
        <f t="shared" si="43"/>
        <v>0</v>
      </c>
      <c r="BF211" s="6">
        <f t="shared" si="43"/>
        <v>0</v>
      </c>
      <c r="BG211" s="6">
        <f t="shared" si="43"/>
        <v>0</v>
      </c>
      <c r="BH211" s="6">
        <f t="shared" si="43"/>
        <v>0</v>
      </c>
      <c r="BI211" s="6">
        <f t="shared" si="43"/>
        <v>0</v>
      </c>
    </row>
    <row r="212" spans="35:61" ht="16" x14ac:dyDescent="0.2">
      <c r="AI212" s="5" t="s">
        <v>60</v>
      </c>
      <c r="AJ212" s="6">
        <f t="shared" si="43"/>
        <v>0</v>
      </c>
      <c r="AK212" s="6">
        <f t="shared" si="43"/>
        <v>0</v>
      </c>
      <c r="AL212" s="6">
        <f t="shared" si="43"/>
        <v>0</v>
      </c>
      <c r="AM212" s="6">
        <f t="shared" si="43"/>
        <v>0</v>
      </c>
      <c r="AN212" s="6">
        <f t="shared" si="43"/>
        <v>0</v>
      </c>
      <c r="AO212" s="6">
        <f t="shared" si="43"/>
        <v>0</v>
      </c>
      <c r="AP212" s="6">
        <f t="shared" si="43"/>
        <v>0</v>
      </c>
      <c r="AQ212" s="6">
        <f t="shared" si="43"/>
        <v>0</v>
      </c>
      <c r="AR212" s="6">
        <f t="shared" si="43"/>
        <v>0</v>
      </c>
      <c r="AS212" s="6">
        <f t="shared" si="43"/>
        <v>0</v>
      </c>
      <c r="AT212" s="6">
        <f t="shared" si="43"/>
        <v>0</v>
      </c>
      <c r="AU212" s="6">
        <f t="shared" si="43"/>
        <v>0</v>
      </c>
      <c r="AV212" s="6">
        <f t="shared" si="43"/>
        <v>0</v>
      </c>
      <c r="AW212" s="6">
        <f t="shared" si="43"/>
        <v>0</v>
      </c>
      <c r="AX212" s="6">
        <f t="shared" si="43"/>
        <v>0</v>
      </c>
      <c r="AY212" s="6">
        <f t="shared" si="43"/>
        <v>0</v>
      </c>
      <c r="AZ212" s="6">
        <f t="shared" si="43"/>
        <v>0</v>
      </c>
      <c r="BA212" s="6">
        <f t="shared" si="43"/>
        <v>0</v>
      </c>
      <c r="BB212" s="6">
        <f t="shared" si="43"/>
        <v>0</v>
      </c>
      <c r="BC212" s="6">
        <f t="shared" si="43"/>
        <v>0</v>
      </c>
      <c r="BD212" s="6">
        <f t="shared" si="43"/>
        <v>0</v>
      </c>
      <c r="BE212" s="6">
        <f t="shared" si="43"/>
        <v>0</v>
      </c>
      <c r="BF212" s="6">
        <f t="shared" si="43"/>
        <v>0</v>
      </c>
      <c r="BG212" s="6">
        <f t="shared" si="43"/>
        <v>0</v>
      </c>
      <c r="BH212" s="6">
        <f t="shared" si="43"/>
        <v>0</v>
      </c>
      <c r="BI212" s="6">
        <f t="shared" si="43"/>
        <v>0</v>
      </c>
    </row>
    <row r="213" spans="35:61" ht="16" x14ac:dyDescent="0.2">
      <c r="AI213" s="5" t="s">
        <v>61</v>
      </c>
      <c r="AJ213" s="6">
        <f t="shared" si="43"/>
        <v>0</v>
      </c>
      <c r="AK213" s="6">
        <f t="shared" si="43"/>
        <v>0</v>
      </c>
      <c r="AL213" s="6">
        <f t="shared" si="43"/>
        <v>0</v>
      </c>
      <c r="AM213" s="6">
        <f t="shared" si="43"/>
        <v>0</v>
      </c>
      <c r="AN213" s="6">
        <f t="shared" si="43"/>
        <v>0</v>
      </c>
      <c r="AO213" s="6">
        <f t="shared" si="43"/>
        <v>0</v>
      </c>
      <c r="AP213" s="6">
        <f t="shared" si="43"/>
        <v>0</v>
      </c>
      <c r="AQ213" s="6">
        <f t="shared" si="43"/>
        <v>0</v>
      </c>
      <c r="AR213" s="6">
        <f t="shared" si="43"/>
        <v>0</v>
      </c>
      <c r="AS213" s="6">
        <f t="shared" si="43"/>
        <v>0</v>
      </c>
      <c r="AT213" s="6">
        <f t="shared" si="43"/>
        <v>0</v>
      </c>
      <c r="AU213" s="6">
        <f t="shared" si="43"/>
        <v>0</v>
      </c>
      <c r="AV213" s="6">
        <f t="shared" si="43"/>
        <v>0</v>
      </c>
      <c r="AW213" s="6">
        <f t="shared" si="43"/>
        <v>0</v>
      </c>
      <c r="AX213" s="6">
        <f t="shared" si="43"/>
        <v>0</v>
      </c>
      <c r="AY213" s="6">
        <f t="shared" si="43"/>
        <v>0</v>
      </c>
      <c r="AZ213" s="6">
        <f t="shared" si="43"/>
        <v>0</v>
      </c>
      <c r="BA213" s="6">
        <f t="shared" si="43"/>
        <v>0</v>
      </c>
      <c r="BB213" s="6">
        <f t="shared" si="43"/>
        <v>0</v>
      </c>
      <c r="BC213" s="6">
        <f t="shared" si="43"/>
        <v>0</v>
      </c>
      <c r="BD213" s="6">
        <f t="shared" si="43"/>
        <v>0</v>
      </c>
      <c r="BE213" s="6">
        <f t="shared" si="43"/>
        <v>0</v>
      </c>
      <c r="BF213" s="6">
        <f t="shared" si="43"/>
        <v>0</v>
      </c>
      <c r="BG213" s="6">
        <f t="shared" si="43"/>
        <v>0</v>
      </c>
      <c r="BH213" s="6">
        <f t="shared" si="43"/>
        <v>0</v>
      </c>
      <c r="BI213" s="6">
        <f t="shared" si="43"/>
        <v>0</v>
      </c>
    </row>
    <row r="214" spans="35:61" ht="16" x14ac:dyDescent="0.2">
      <c r="AI214" s="5" t="s">
        <v>62</v>
      </c>
      <c r="AJ214" s="6">
        <f t="shared" si="43"/>
        <v>0</v>
      </c>
      <c r="AK214" s="6">
        <f t="shared" si="43"/>
        <v>0</v>
      </c>
      <c r="AL214" s="6">
        <f t="shared" si="43"/>
        <v>0</v>
      </c>
      <c r="AM214" s="6">
        <f t="shared" si="43"/>
        <v>0</v>
      </c>
      <c r="AN214" s="6">
        <f t="shared" si="43"/>
        <v>0</v>
      </c>
      <c r="AO214" s="6">
        <f t="shared" si="43"/>
        <v>0</v>
      </c>
      <c r="AP214" s="6">
        <f t="shared" si="43"/>
        <v>0</v>
      </c>
      <c r="AQ214" s="6">
        <f t="shared" si="43"/>
        <v>0</v>
      </c>
      <c r="AR214" s="6">
        <f t="shared" si="43"/>
        <v>0</v>
      </c>
      <c r="AS214" s="6">
        <f t="shared" si="43"/>
        <v>0</v>
      </c>
      <c r="AT214" s="6">
        <f t="shared" si="43"/>
        <v>0</v>
      </c>
      <c r="AU214" s="6">
        <f t="shared" si="43"/>
        <v>0</v>
      </c>
      <c r="AV214" s="6">
        <f t="shared" si="43"/>
        <v>0</v>
      </c>
      <c r="AW214" s="6">
        <f t="shared" si="43"/>
        <v>0</v>
      </c>
      <c r="AX214" s="6">
        <f t="shared" si="43"/>
        <v>0</v>
      </c>
      <c r="AY214" s="6">
        <f t="shared" si="43"/>
        <v>0</v>
      </c>
      <c r="AZ214" s="6">
        <f t="shared" si="43"/>
        <v>0</v>
      </c>
      <c r="BA214" s="6">
        <f t="shared" si="43"/>
        <v>0</v>
      </c>
      <c r="BB214" s="6">
        <f t="shared" si="43"/>
        <v>0</v>
      </c>
      <c r="BC214" s="6">
        <f t="shared" si="43"/>
        <v>0</v>
      </c>
      <c r="BD214" s="6">
        <f t="shared" si="43"/>
        <v>0</v>
      </c>
      <c r="BE214" s="6">
        <f t="shared" si="43"/>
        <v>0</v>
      </c>
      <c r="BF214" s="6">
        <f t="shared" si="43"/>
        <v>0</v>
      </c>
      <c r="BG214" s="6">
        <f t="shared" si="43"/>
        <v>0</v>
      </c>
      <c r="BH214" s="6">
        <f t="shared" si="43"/>
        <v>0</v>
      </c>
      <c r="BI214" s="6">
        <f t="shared" si="43"/>
        <v>0</v>
      </c>
    </row>
    <row r="215" spans="35:61" ht="16" x14ac:dyDescent="0.2">
      <c r="AI215" s="5" t="s">
        <v>63</v>
      </c>
      <c r="AJ215" s="6">
        <f t="shared" si="43"/>
        <v>0</v>
      </c>
      <c r="AK215" s="6">
        <f t="shared" si="43"/>
        <v>0</v>
      </c>
      <c r="AL215" s="6">
        <f t="shared" si="43"/>
        <v>0</v>
      </c>
      <c r="AM215" s="6">
        <f t="shared" si="43"/>
        <v>0</v>
      </c>
      <c r="AN215" s="6">
        <f t="shared" si="43"/>
        <v>0</v>
      </c>
      <c r="AO215" s="6">
        <f t="shared" si="43"/>
        <v>0</v>
      </c>
      <c r="AP215" s="6">
        <f t="shared" si="43"/>
        <v>0</v>
      </c>
      <c r="AQ215" s="6">
        <f t="shared" si="43"/>
        <v>0</v>
      </c>
      <c r="AR215" s="6">
        <f t="shared" si="43"/>
        <v>0</v>
      </c>
      <c r="AS215" s="6">
        <f t="shared" si="43"/>
        <v>0</v>
      </c>
      <c r="AT215" s="6">
        <f t="shared" si="43"/>
        <v>0</v>
      </c>
      <c r="AU215" s="6">
        <f t="shared" si="43"/>
        <v>0</v>
      </c>
      <c r="AV215" s="6">
        <f t="shared" si="43"/>
        <v>0</v>
      </c>
      <c r="AW215" s="6">
        <f t="shared" si="43"/>
        <v>0</v>
      </c>
      <c r="AX215" s="6">
        <f t="shared" si="43"/>
        <v>0</v>
      </c>
      <c r="AY215" s="6">
        <f t="shared" si="43"/>
        <v>0</v>
      </c>
      <c r="AZ215" s="6">
        <f t="shared" si="43"/>
        <v>0</v>
      </c>
      <c r="BA215" s="6">
        <f t="shared" si="43"/>
        <v>0</v>
      </c>
      <c r="BB215" s="6">
        <f t="shared" si="43"/>
        <v>0</v>
      </c>
      <c r="BC215" s="6">
        <f t="shared" si="43"/>
        <v>0</v>
      </c>
      <c r="BD215" s="6">
        <f t="shared" si="43"/>
        <v>0</v>
      </c>
      <c r="BE215" s="6">
        <f t="shared" ref="BE215:BI215" si="44">BE159*BE97/10^6</f>
        <v>0</v>
      </c>
      <c r="BF215" s="6">
        <f t="shared" si="44"/>
        <v>0</v>
      </c>
      <c r="BG215" s="6">
        <f t="shared" si="44"/>
        <v>0</v>
      </c>
      <c r="BH215" s="6">
        <f t="shared" si="44"/>
        <v>0</v>
      </c>
      <c r="BI215" s="6">
        <f t="shared" si="44"/>
        <v>0</v>
      </c>
    </row>
    <row r="216" spans="35:61" ht="16" x14ac:dyDescent="0.2">
      <c r="AI216" s="5" t="s">
        <v>64</v>
      </c>
      <c r="AJ216" s="6">
        <f t="shared" ref="AJ216:BI225" si="45">AJ160*AJ98/10^6</f>
        <v>0</v>
      </c>
      <c r="AK216" s="6">
        <f t="shared" si="45"/>
        <v>0</v>
      </c>
      <c r="AL216" s="6">
        <f t="shared" si="45"/>
        <v>0</v>
      </c>
      <c r="AM216" s="6">
        <f t="shared" si="45"/>
        <v>0</v>
      </c>
      <c r="AN216" s="6">
        <f t="shared" si="45"/>
        <v>0</v>
      </c>
      <c r="AO216" s="6">
        <f t="shared" si="45"/>
        <v>0</v>
      </c>
      <c r="AP216" s="6">
        <f t="shared" si="45"/>
        <v>0</v>
      </c>
      <c r="AQ216" s="6">
        <f t="shared" si="45"/>
        <v>0</v>
      </c>
      <c r="AR216" s="6">
        <f t="shared" si="45"/>
        <v>0</v>
      </c>
      <c r="AS216" s="6">
        <f t="shared" si="45"/>
        <v>0</v>
      </c>
      <c r="AT216" s="6">
        <f t="shared" si="45"/>
        <v>0</v>
      </c>
      <c r="AU216" s="6">
        <f t="shared" si="45"/>
        <v>0</v>
      </c>
      <c r="AV216" s="6">
        <f t="shared" si="45"/>
        <v>0</v>
      </c>
      <c r="AW216" s="6">
        <f t="shared" si="45"/>
        <v>0</v>
      </c>
      <c r="AX216" s="6">
        <f t="shared" si="45"/>
        <v>0</v>
      </c>
      <c r="AY216" s="6">
        <f t="shared" si="45"/>
        <v>0</v>
      </c>
      <c r="AZ216" s="6">
        <f t="shared" si="45"/>
        <v>0</v>
      </c>
      <c r="BA216" s="6">
        <f t="shared" si="45"/>
        <v>0</v>
      </c>
      <c r="BB216" s="6">
        <f t="shared" si="45"/>
        <v>0</v>
      </c>
      <c r="BC216" s="6">
        <f t="shared" si="45"/>
        <v>0</v>
      </c>
      <c r="BD216" s="6">
        <f t="shared" si="45"/>
        <v>0</v>
      </c>
      <c r="BE216" s="6">
        <f t="shared" si="45"/>
        <v>0</v>
      </c>
      <c r="BF216" s="6">
        <f t="shared" si="45"/>
        <v>0</v>
      </c>
      <c r="BG216" s="6">
        <f t="shared" si="45"/>
        <v>0</v>
      </c>
      <c r="BH216" s="6">
        <f t="shared" si="45"/>
        <v>0</v>
      </c>
      <c r="BI216" s="6">
        <f t="shared" si="45"/>
        <v>0</v>
      </c>
    </row>
    <row r="217" spans="35:61" ht="16" x14ac:dyDescent="0.2">
      <c r="AI217" s="5" t="s">
        <v>65</v>
      </c>
      <c r="AJ217" s="6">
        <f t="shared" si="45"/>
        <v>0</v>
      </c>
      <c r="AK217" s="6">
        <f t="shared" si="45"/>
        <v>0</v>
      </c>
      <c r="AL217" s="6">
        <f t="shared" si="45"/>
        <v>0</v>
      </c>
      <c r="AM217" s="6">
        <f t="shared" si="45"/>
        <v>87.507971087209043</v>
      </c>
      <c r="AN217" s="6">
        <f t="shared" si="45"/>
        <v>87.507971087209043</v>
      </c>
      <c r="AO217" s="6">
        <f t="shared" si="45"/>
        <v>87.507971087209043</v>
      </c>
      <c r="AP217" s="6">
        <f t="shared" si="45"/>
        <v>87.507971087209043</v>
      </c>
      <c r="AQ217" s="6">
        <f t="shared" si="45"/>
        <v>87.507971087209043</v>
      </c>
      <c r="AR217" s="6">
        <f t="shared" si="45"/>
        <v>87.507971087209043</v>
      </c>
      <c r="AS217" s="6">
        <f t="shared" si="45"/>
        <v>87.507971087209043</v>
      </c>
      <c r="AT217" s="6">
        <f t="shared" si="45"/>
        <v>87.507971087209043</v>
      </c>
      <c r="AU217" s="6">
        <f t="shared" si="45"/>
        <v>87.507971087209043</v>
      </c>
      <c r="AV217" s="6">
        <f t="shared" si="45"/>
        <v>87.507971087209043</v>
      </c>
      <c r="AW217" s="6">
        <f t="shared" si="45"/>
        <v>87.507971087209043</v>
      </c>
      <c r="AX217" s="6">
        <f t="shared" si="45"/>
        <v>87.507971087209043</v>
      </c>
      <c r="AY217" s="6">
        <f t="shared" si="45"/>
        <v>87.507971087209043</v>
      </c>
      <c r="AZ217" s="6">
        <f t="shared" si="45"/>
        <v>87.507971087209043</v>
      </c>
      <c r="BA217" s="6">
        <f t="shared" si="45"/>
        <v>87.507971087209043</v>
      </c>
      <c r="BB217" s="6">
        <f t="shared" si="45"/>
        <v>87.507971087209043</v>
      </c>
      <c r="BC217" s="6">
        <f t="shared" si="45"/>
        <v>87.507971087209043</v>
      </c>
      <c r="BD217" s="6">
        <f t="shared" si="45"/>
        <v>87.507971087209043</v>
      </c>
      <c r="BE217" s="6">
        <f t="shared" si="45"/>
        <v>87.507971087209043</v>
      </c>
      <c r="BF217" s="6">
        <f t="shared" si="45"/>
        <v>87.507971087209043</v>
      </c>
      <c r="BG217" s="6">
        <f t="shared" si="45"/>
        <v>87.507971087209043</v>
      </c>
      <c r="BH217" s="6">
        <f t="shared" si="45"/>
        <v>87.507971087209043</v>
      </c>
      <c r="BI217" s="6">
        <f t="shared" si="45"/>
        <v>87.507971087209043</v>
      </c>
    </row>
    <row r="218" spans="35:61" ht="16" x14ac:dyDescent="0.2">
      <c r="AI218" s="5" t="s">
        <v>66</v>
      </c>
      <c r="AJ218" s="6">
        <f t="shared" si="45"/>
        <v>0</v>
      </c>
      <c r="AK218" s="6">
        <f t="shared" si="45"/>
        <v>0</v>
      </c>
      <c r="AL218" s="6">
        <f t="shared" si="45"/>
        <v>0</v>
      </c>
      <c r="AM218" s="6">
        <f t="shared" si="45"/>
        <v>0</v>
      </c>
      <c r="AN218" s="6">
        <f t="shared" si="45"/>
        <v>0</v>
      </c>
      <c r="AO218" s="6">
        <f t="shared" si="45"/>
        <v>0</v>
      </c>
      <c r="AP218" s="6">
        <f t="shared" si="45"/>
        <v>0</v>
      </c>
      <c r="AQ218" s="6">
        <f t="shared" si="45"/>
        <v>0</v>
      </c>
      <c r="AR218" s="6">
        <f t="shared" si="45"/>
        <v>0</v>
      </c>
      <c r="AS218" s="6">
        <f t="shared" si="45"/>
        <v>0</v>
      </c>
      <c r="AT218" s="6">
        <f t="shared" si="45"/>
        <v>0</v>
      </c>
      <c r="AU218" s="6">
        <f t="shared" si="45"/>
        <v>0</v>
      </c>
      <c r="AV218" s="6">
        <f t="shared" si="45"/>
        <v>0</v>
      </c>
      <c r="AW218" s="6">
        <f t="shared" si="45"/>
        <v>0</v>
      </c>
      <c r="AX218" s="6">
        <f t="shared" si="45"/>
        <v>0</v>
      </c>
      <c r="AY218" s="6">
        <f t="shared" si="45"/>
        <v>0</v>
      </c>
      <c r="AZ218" s="6">
        <f t="shared" si="45"/>
        <v>0</v>
      </c>
      <c r="BA218" s="6">
        <f t="shared" si="45"/>
        <v>0</v>
      </c>
      <c r="BB218" s="6">
        <f t="shared" si="45"/>
        <v>0</v>
      </c>
      <c r="BC218" s="6">
        <f t="shared" si="45"/>
        <v>0</v>
      </c>
      <c r="BD218" s="6">
        <f t="shared" si="45"/>
        <v>0</v>
      </c>
      <c r="BE218" s="6">
        <f t="shared" si="45"/>
        <v>0</v>
      </c>
      <c r="BF218" s="6">
        <f t="shared" si="45"/>
        <v>0</v>
      </c>
      <c r="BG218" s="6">
        <f t="shared" si="45"/>
        <v>0</v>
      </c>
      <c r="BH218" s="6">
        <f t="shared" si="45"/>
        <v>0</v>
      </c>
      <c r="BI218" s="6">
        <f t="shared" si="45"/>
        <v>0</v>
      </c>
    </row>
    <row r="219" spans="35:61" ht="16" x14ac:dyDescent="0.2">
      <c r="AI219" s="5" t="s">
        <v>67</v>
      </c>
      <c r="AJ219" s="6">
        <f t="shared" si="45"/>
        <v>0</v>
      </c>
      <c r="AK219" s="6">
        <f t="shared" si="45"/>
        <v>0</v>
      </c>
      <c r="AL219" s="6">
        <f t="shared" si="45"/>
        <v>0</v>
      </c>
      <c r="AM219" s="6">
        <f t="shared" si="45"/>
        <v>0</v>
      </c>
      <c r="AN219" s="6">
        <f t="shared" si="45"/>
        <v>0</v>
      </c>
      <c r="AO219" s="6">
        <f t="shared" si="45"/>
        <v>0</v>
      </c>
      <c r="AP219" s="6">
        <f t="shared" si="45"/>
        <v>0</v>
      </c>
      <c r="AQ219" s="6">
        <f t="shared" si="45"/>
        <v>0</v>
      </c>
      <c r="AR219" s="6">
        <f t="shared" si="45"/>
        <v>0</v>
      </c>
      <c r="AS219" s="6">
        <f t="shared" si="45"/>
        <v>0</v>
      </c>
      <c r="AT219" s="6">
        <f t="shared" si="45"/>
        <v>0</v>
      </c>
      <c r="AU219" s="6">
        <f t="shared" si="45"/>
        <v>0</v>
      </c>
      <c r="AV219" s="6">
        <f t="shared" si="45"/>
        <v>0</v>
      </c>
      <c r="AW219" s="6">
        <f t="shared" si="45"/>
        <v>0</v>
      </c>
      <c r="AX219" s="6">
        <f t="shared" si="45"/>
        <v>0</v>
      </c>
      <c r="AY219" s="6">
        <f t="shared" si="45"/>
        <v>0</v>
      </c>
      <c r="AZ219" s="6">
        <f t="shared" si="45"/>
        <v>0</v>
      </c>
      <c r="BA219" s="6">
        <f t="shared" si="45"/>
        <v>0</v>
      </c>
      <c r="BB219" s="6">
        <f t="shared" si="45"/>
        <v>0</v>
      </c>
      <c r="BC219" s="6">
        <f t="shared" si="45"/>
        <v>0</v>
      </c>
      <c r="BD219" s="6">
        <f t="shared" si="45"/>
        <v>0</v>
      </c>
      <c r="BE219" s="6">
        <f t="shared" si="45"/>
        <v>0</v>
      </c>
      <c r="BF219" s="6">
        <f t="shared" si="45"/>
        <v>0</v>
      </c>
      <c r="BG219" s="6">
        <f t="shared" si="45"/>
        <v>0</v>
      </c>
      <c r="BH219" s="6">
        <f t="shared" si="45"/>
        <v>0</v>
      </c>
      <c r="BI219" s="6">
        <f t="shared" si="45"/>
        <v>0</v>
      </c>
    </row>
    <row r="220" spans="35:61" ht="16" x14ac:dyDescent="0.2">
      <c r="AI220" s="5" t="s">
        <v>68</v>
      </c>
      <c r="AJ220" s="6">
        <f t="shared" si="45"/>
        <v>0</v>
      </c>
      <c r="AK220" s="6">
        <f t="shared" si="45"/>
        <v>0</v>
      </c>
      <c r="AL220" s="6">
        <f t="shared" si="45"/>
        <v>0</v>
      </c>
      <c r="AM220" s="6">
        <f t="shared" si="45"/>
        <v>0</v>
      </c>
      <c r="AN220" s="6">
        <f t="shared" si="45"/>
        <v>0</v>
      </c>
      <c r="AO220" s="6">
        <f t="shared" si="45"/>
        <v>0</v>
      </c>
      <c r="AP220" s="6">
        <f t="shared" si="45"/>
        <v>0</v>
      </c>
      <c r="AQ220" s="6">
        <f t="shared" si="45"/>
        <v>0</v>
      </c>
      <c r="AR220" s="6">
        <f t="shared" si="45"/>
        <v>0</v>
      </c>
      <c r="AS220" s="6">
        <f t="shared" si="45"/>
        <v>0</v>
      </c>
      <c r="AT220" s="6">
        <f t="shared" si="45"/>
        <v>0</v>
      </c>
      <c r="AU220" s="6">
        <f t="shared" si="45"/>
        <v>0</v>
      </c>
      <c r="AV220" s="6">
        <f t="shared" si="45"/>
        <v>0</v>
      </c>
      <c r="AW220" s="6">
        <f t="shared" si="45"/>
        <v>0</v>
      </c>
      <c r="AX220" s="6">
        <f t="shared" si="45"/>
        <v>0</v>
      </c>
      <c r="AY220" s="6">
        <f t="shared" si="45"/>
        <v>0</v>
      </c>
      <c r="AZ220" s="6">
        <f t="shared" si="45"/>
        <v>0</v>
      </c>
      <c r="BA220" s="6">
        <f t="shared" si="45"/>
        <v>0</v>
      </c>
      <c r="BB220" s="6">
        <f t="shared" si="45"/>
        <v>0</v>
      </c>
      <c r="BC220" s="6">
        <f t="shared" si="45"/>
        <v>0</v>
      </c>
      <c r="BD220" s="6">
        <f t="shared" si="45"/>
        <v>0</v>
      </c>
      <c r="BE220" s="6">
        <f t="shared" si="45"/>
        <v>0</v>
      </c>
      <c r="BF220" s="6">
        <f t="shared" si="45"/>
        <v>0</v>
      </c>
      <c r="BG220" s="6">
        <f t="shared" si="45"/>
        <v>0</v>
      </c>
      <c r="BH220" s="6">
        <f t="shared" si="45"/>
        <v>0</v>
      </c>
      <c r="BI220" s="6">
        <f t="shared" si="45"/>
        <v>0</v>
      </c>
    </row>
    <row r="221" spans="35:61" ht="16" x14ac:dyDescent="0.2">
      <c r="AI221" s="5" t="s">
        <v>69</v>
      </c>
      <c r="AJ221" s="6">
        <f t="shared" si="45"/>
        <v>0</v>
      </c>
      <c r="AK221" s="6">
        <f t="shared" si="45"/>
        <v>0</v>
      </c>
      <c r="AL221" s="6">
        <f t="shared" si="45"/>
        <v>0</v>
      </c>
      <c r="AM221" s="6">
        <f t="shared" si="45"/>
        <v>0</v>
      </c>
      <c r="AN221" s="6">
        <f t="shared" si="45"/>
        <v>0</v>
      </c>
      <c r="AO221" s="6">
        <f t="shared" si="45"/>
        <v>0</v>
      </c>
      <c r="AP221" s="6">
        <f t="shared" si="45"/>
        <v>0</v>
      </c>
      <c r="AQ221" s="6">
        <f t="shared" si="45"/>
        <v>0</v>
      </c>
      <c r="AR221" s="6">
        <f t="shared" si="45"/>
        <v>0</v>
      </c>
      <c r="AS221" s="6">
        <f t="shared" si="45"/>
        <v>0</v>
      </c>
      <c r="AT221" s="6">
        <f t="shared" si="45"/>
        <v>0</v>
      </c>
      <c r="AU221" s="6">
        <f t="shared" si="45"/>
        <v>0</v>
      </c>
      <c r="AV221" s="6">
        <f t="shared" si="45"/>
        <v>0</v>
      </c>
      <c r="AW221" s="6">
        <f t="shared" si="45"/>
        <v>0</v>
      </c>
      <c r="AX221" s="6">
        <f t="shared" si="45"/>
        <v>0</v>
      </c>
      <c r="AY221" s="6">
        <f t="shared" si="45"/>
        <v>0</v>
      </c>
      <c r="AZ221" s="6">
        <f t="shared" si="45"/>
        <v>0</v>
      </c>
      <c r="BA221" s="6">
        <f t="shared" si="45"/>
        <v>0</v>
      </c>
      <c r="BB221" s="6">
        <f t="shared" si="45"/>
        <v>0</v>
      </c>
      <c r="BC221" s="6">
        <f t="shared" si="45"/>
        <v>0</v>
      </c>
      <c r="BD221" s="6">
        <f t="shared" si="45"/>
        <v>0</v>
      </c>
      <c r="BE221" s="6">
        <f t="shared" si="45"/>
        <v>0</v>
      </c>
      <c r="BF221" s="6">
        <f t="shared" si="45"/>
        <v>0</v>
      </c>
      <c r="BG221" s="6">
        <f t="shared" si="45"/>
        <v>0</v>
      </c>
      <c r="BH221" s="6">
        <f t="shared" si="45"/>
        <v>0</v>
      </c>
      <c r="BI221" s="6">
        <f t="shared" si="45"/>
        <v>0</v>
      </c>
    </row>
    <row r="222" spans="35:61" ht="16" x14ac:dyDescent="0.2">
      <c r="AI222" s="5" t="s">
        <v>70</v>
      </c>
      <c r="AJ222" s="6">
        <f t="shared" si="45"/>
        <v>0</v>
      </c>
      <c r="AK222" s="6">
        <f t="shared" si="45"/>
        <v>0</v>
      </c>
      <c r="AL222" s="6">
        <f t="shared" si="45"/>
        <v>0</v>
      </c>
      <c r="AM222" s="6">
        <f t="shared" si="45"/>
        <v>0</v>
      </c>
      <c r="AN222" s="6">
        <f t="shared" si="45"/>
        <v>0</v>
      </c>
      <c r="AO222" s="6">
        <f t="shared" si="45"/>
        <v>0</v>
      </c>
      <c r="AP222" s="6">
        <f t="shared" si="45"/>
        <v>0</v>
      </c>
      <c r="AQ222" s="6">
        <f t="shared" si="45"/>
        <v>0</v>
      </c>
      <c r="AR222" s="6">
        <f t="shared" si="45"/>
        <v>0</v>
      </c>
      <c r="AS222" s="6">
        <f t="shared" si="45"/>
        <v>0</v>
      </c>
      <c r="AT222" s="6">
        <f t="shared" si="45"/>
        <v>0</v>
      </c>
      <c r="AU222" s="6">
        <f t="shared" si="45"/>
        <v>0</v>
      </c>
      <c r="AV222" s="6">
        <f t="shared" si="45"/>
        <v>0</v>
      </c>
      <c r="AW222" s="6">
        <f t="shared" si="45"/>
        <v>0</v>
      </c>
      <c r="AX222" s="6">
        <f t="shared" si="45"/>
        <v>0</v>
      </c>
      <c r="AY222" s="6">
        <f t="shared" si="45"/>
        <v>0</v>
      </c>
      <c r="AZ222" s="6">
        <f t="shared" si="45"/>
        <v>0</v>
      </c>
      <c r="BA222" s="6">
        <f t="shared" si="45"/>
        <v>0</v>
      </c>
      <c r="BB222" s="6">
        <f t="shared" si="45"/>
        <v>0</v>
      </c>
      <c r="BC222" s="6">
        <f t="shared" si="45"/>
        <v>0</v>
      </c>
      <c r="BD222" s="6">
        <f t="shared" si="45"/>
        <v>0</v>
      </c>
      <c r="BE222" s="6">
        <f t="shared" si="45"/>
        <v>0</v>
      </c>
      <c r="BF222" s="6">
        <f t="shared" si="45"/>
        <v>0</v>
      </c>
      <c r="BG222" s="6">
        <f t="shared" si="45"/>
        <v>0</v>
      </c>
      <c r="BH222" s="6">
        <f t="shared" si="45"/>
        <v>0</v>
      </c>
      <c r="BI222" s="6">
        <f t="shared" si="45"/>
        <v>0</v>
      </c>
    </row>
    <row r="223" spans="35:61" ht="16" x14ac:dyDescent="0.2">
      <c r="AI223" s="5" t="s">
        <v>71</v>
      </c>
      <c r="AJ223" s="6">
        <f t="shared" si="45"/>
        <v>0</v>
      </c>
      <c r="AK223" s="6">
        <f t="shared" si="45"/>
        <v>0</v>
      </c>
      <c r="AL223" s="6">
        <f t="shared" si="45"/>
        <v>0</v>
      </c>
      <c r="AM223" s="6">
        <f t="shared" si="45"/>
        <v>0</v>
      </c>
      <c r="AN223" s="6">
        <f t="shared" si="45"/>
        <v>0</v>
      </c>
      <c r="AO223" s="6">
        <f t="shared" si="45"/>
        <v>0</v>
      </c>
      <c r="AP223" s="6">
        <f t="shared" si="45"/>
        <v>0</v>
      </c>
      <c r="AQ223" s="6">
        <f t="shared" si="45"/>
        <v>0</v>
      </c>
      <c r="AR223" s="6">
        <f t="shared" si="45"/>
        <v>0</v>
      </c>
      <c r="AS223" s="6">
        <f t="shared" si="45"/>
        <v>0</v>
      </c>
      <c r="AT223" s="6">
        <f t="shared" si="45"/>
        <v>0</v>
      </c>
      <c r="AU223" s="6">
        <f t="shared" si="45"/>
        <v>0</v>
      </c>
      <c r="AV223" s="6">
        <f t="shared" si="45"/>
        <v>0</v>
      </c>
      <c r="AW223" s="6">
        <f t="shared" si="45"/>
        <v>0</v>
      </c>
      <c r="AX223" s="6">
        <f t="shared" si="45"/>
        <v>0</v>
      </c>
      <c r="AY223" s="6">
        <f t="shared" si="45"/>
        <v>0</v>
      </c>
      <c r="AZ223" s="6">
        <f t="shared" si="45"/>
        <v>0</v>
      </c>
      <c r="BA223" s="6">
        <f t="shared" si="45"/>
        <v>0</v>
      </c>
      <c r="BB223" s="6">
        <f t="shared" si="45"/>
        <v>0</v>
      </c>
      <c r="BC223" s="6">
        <f t="shared" si="45"/>
        <v>0</v>
      </c>
      <c r="BD223" s="6">
        <f t="shared" si="45"/>
        <v>0</v>
      </c>
      <c r="BE223" s="6">
        <f t="shared" si="45"/>
        <v>0</v>
      </c>
      <c r="BF223" s="6">
        <f t="shared" si="45"/>
        <v>0</v>
      </c>
      <c r="BG223" s="6">
        <f t="shared" si="45"/>
        <v>0</v>
      </c>
      <c r="BH223" s="6">
        <f t="shared" si="45"/>
        <v>0</v>
      </c>
      <c r="BI223" s="6">
        <f t="shared" si="45"/>
        <v>0</v>
      </c>
    </row>
    <row r="224" spans="35:61" ht="16" x14ac:dyDescent="0.2">
      <c r="AI224" s="5" t="s">
        <v>72</v>
      </c>
      <c r="AJ224" s="6">
        <f t="shared" si="45"/>
        <v>0</v>
      </c>
      <c r="AK224" s="6">
        <f t="shared" si="45"/>
        <v>0</v>
      </c>
      <c r="AL224" s="6">
        <f t="shared" si="45"/>
        <v>0</v>
      </c>
      <c r="AM224" s="6">
        <f t="shared" si="45"/>
        <v>0</v>
      </c>
      <c r="AN224" s="6">
        <f t="shared" si="45"/>
        <v>0</v>
      </c>
      <c r="AO224" s="6">
        <f t="shared" si="45"/>
        <v>0</v>
      </c>
      <c r="AP224" s="6">
        <f t="shared" si="45"/>
        <v>0</v>
      </c>
      <c r="AQ224" s="6">
        <f t="shared" si="45"/>
        <v>0</v>
      </c>
      <c r="AR224" s="6">
        <f t="shared" si="45"/>
        <v>0</v>
      </c>
      <c r="AS224" s="6">
        <f t="shared" si="45"/>
        <v>0</v>
      </c>
      <c r="AT224" s="6">
        <f t="shared" si="45"/>
        <v>0</v>
      </c>
      <c r="AU224" s="6">
        <f t="shared" si="45"/>
        <v>0</v>
      </c>
      <c r="AV224" s="6">
        <f t="shared" si="45"/>
        <v>0</v>
      </c>
      <c r="AW224" s="6">
        <f t="shared" si="45"/>
        <v>0</v>
      </c>
      <c r="AX224" s="6">
        <f t="shared" si="45"/>
        <v>0</v>
      </c>
      <c r="AY224" s="6">
        <f t="shared" si="45"/>
        <v>0</v>
      </c>
      <c r="AZ224" s="6">
        <f t="shared" si="45"/>
        <v>0</v>
      </c>
      <c r="BA224" s="6">
        <f t="shared" si="45"/>
        <v>0</v>
      </c>
      <c r="BB224" s="6">
        <f t="shared" si="45"/>
        <v>0</v>
      </c>
      <c r="BC224" s="6">
        <f t="shared" si="45"/>
        <v>0</v>
      </c>
      <c r="BD224" s="6">
        <f t="shared" si="45"/>
        <v>0</v>
      </c>
      <c r="BE224" s="6">
        <f t="shared" si="45"/>
        <v>0</v>
      </c>
      <c r="BF224" s="6">
        <f t="shared" si="45"/>
        <v>0</v>
      </c>
      <c r="BG224" s="6">
        <f t="shared" si="45"/>
        <v>0</v>
      </c>
      <c r="BH224" s="6">
        <f t="shared" si="45"/>
        <v>0</v>
      </c>
      <c r="BI224" s="6">
        <f t="shared" si="45"/>
        <v>0</v>
      </c>
    </row>
    <row r="225" spans="35:61" ht="16" x14ac:dyDescent="0.2">
      <c r="AI225" s="5" t="s">
        <v>73</v>
      </c>
      <c r="AJ225" s="6">
        <f t="shared" si="45"/>
        <v>0</v>
      </c>
      <c r="AK225" s="6">
        <f t="shared" si="45"/>
        <v>0</v>
      </c>
      <c r="AL225" s="6">
        <f t="shared" si="45"/>
        <v>0</v>
      </c>
      <c r="AM225" s="6">
        <f t="shared" si="45"/>
        <v>0</v>
      </c>
      <c r="AN225" s="6">
        <f t="shared" si="45"/>
        <v>0</v>
      </c>
      <c r="AO225" s="6">
        <f t="shared" si="45"/>
        <v>0</v>
      </c>
      <c r="AP225" s="6">
        <f t="shared" si="45"/>
        <v>0</v>
      </c>
      <c r="AQ225" s="6">
        <f t="shared" si="45"/>
        <v>0</v>
      </c>
      <c r="AR225" s="6">
        <f t="shared" si="45"/>
        <v>0</v>
      </c>
      <c r="AS225" s="6">
        <f t="shared" si="45"/>
        <v>0</v>
      </c>
      <c r="AT225" s="6">
        <f t="shared" si="45"/>
        <v>0</v>
      </c>
      <c r="AU225" s="6">
        <f t="shared" si="45"/>
        <v>0</v>
      </c>
      <c r="AV225" s="6">
        <f t="shared" si="45"/>
        <v>0</v>
      </c>
      <c r="AW225" s="6">
        <f t="shared" si="45"/>
        <v>0</v>
      </c>
      <c r="AX225" s="6">
        <f t="shared" si="45"/>
        <v>0</v>
      </c>
      <c r="AY225" s="6">
        <f t="shared" si="45"/>
        <v>0</v>
      </c>
      <c r="AZ225" s="6">
        <f t="shared" si="45"/>
        <v>0</v>
      </c>
      <c r="BA225" s="6">
        <f t="shared" si="45"/>
        <v>0</v>
      </c>
      <c r="BB225" s="6">
        <f t="shared" si="45"/>
        <v>0</v>
      </c>
      <c r="BC225" s="6">
        <f t="shared" si="45"/>
        <v>0</v>
      </c>
      <c r="BD225" s="6">
        <f t="shared" si="45"/>
        <v>0</v>
      </c>
      <c r="BE225" s="6">
        <f t="shared" ref="BE225:BI225" si="46">BE169*BE107/10^6</f>
        <v>0</v>
      </c>
      <c r="BF225" s="6">
        <f t="shared" si="46"/>
        <v>0</v>
      </c>
      <c r="BG225" s="6">
        <f t="shared" si="46"/>
        <v>0</v>
      </c>
      <c r="BH225" s="6">
        <f t="shared" si="46"/>
        <v>0</v>
      </c>
      <c r="BI225" s="6">
        <f t="shared" si="46"/>
        <v>0</v>
      </c>
    </row>
    <row r="226" spans="35:61" ht="16" x14ac:dyDescent="0.2">
      <c r="AI226" s="5" t="s">
        <v>74</v>
      </c>
      <c r="AJ226" s="6">
        <f t="shared" ref="AJ226:BI235" si="47">AJ170*AJ108/10^6</f>
        <v>0</v>
      </c>
      <c r="AK226" s="6">
        <f t="shared" si="47"/>
        <v>0</v>
      </c>
      <c r="AL226" s="6">
        <f t="shared" si="47"/>
        <v>0</v>
      </c>
      <c r="AM226" s="6">
        <f t="shared" si="47"/>
        <v>0</v>
      </c>
      <c r="AN226" s="6">
        <f t="shared" si="47"/>
        <v>0</v>
      </c>
      <c r="AO226" s="6">
        <f t="shared" si="47"/>
        <v>0</v>
      </c>
      <c r="AP226" s="6">
        <f t="shared" si="47"/>
        <v>0</v>
      </c>
      <c r="AQ226" s="6">
        <f t="shared" si="47"/>
        <v>0</v>
      </c>
      <c r="AR226" s="6">
        <f t="shared" si="47"/>
        <v>0</v>
      </c>
      <c r="AS226" s="6">
        <f t="shared" si="47"/>
        <v>0</v>
      </c>
      <c r="AT226" s="6">
        <f t="shared" si="47"/>
        <v>0</v>
      </c>
      <c r="AU226" s="6">
        <f t="shared" si="47"/>
        <v>0</v>
      </c>
      <c r="AV226" s="6">
        <f t="shared" si="47"/>
        <v>0</v>
      </c>
      <c r="AW226" s="6">
        <f t="shared" si="47"/>
        <v>0</v>
      </c>
      <c r="AX226" s="6">
        <f t="shared" si="47"/>
        <v>0</v>
      </c>
      <c r="AY226" s="6">
        <f t="shared" si="47"/>
        <v>0</v>
      </c>
      <c r="AZ226" s="6">
        <f t="shared" si="47"/>
        <v>0</v>
      </c>
      <c r="BA226" s="6">
        <f t="shared" si="47"/>
        <v>0</v>
      </c>
      <c r="BB226" s="6">
        <f t="shared" si="47"/>
        <v>0</v>
      </c>
      <c r="BC226" s="6">
        <f t="shared" si="47"/>
        <v>0</v>
      </c>
      <c r="BD226" s="6">
        <f t="shared" si="47"/>
        <v>0</v>
      </c>
      <c r="BE226" s="6">
        <f t="shared" si="47"/>
        <v>0</v>
      </c>
      <c r="BF226" s="6">
        <f t="shared" si="47"/>
        <v>0</v>
      </c>
      <c r="BG226" s="6">
        <f t="shared" si="47"/>
        <v>0</v>
      </c>
      <c r="BH226" s="6">
        <f t="shared" si="47"/>
        <v>0</v>
      </c>
      <c r="BI226" s="6">
        <f t="shared" si="47"/>
        <v>0</v>
      </c>
    </row>
    <row r="227" spans="35:61" ht="16" x14ac:dyDescent="0.2">
      <c r="AI227" s="5" t="s">
        <v>75</v>
      </c>
      <c r="AJ227" s="6">
        <f t="shared" si="47"/>
        <v>0</v>
      </c>
      <c r="AK227" s="6">
        <f t="shared" si="47"/>
        <v>0</v>
      </c>
      <c r="AL227" s="6">
        <f t="shared" si="47"/>
        <v>0</v>
      </c>
      <c r="AM227" s="6">
        <f t="shared" si="47"/>
        <v>0</v>
      </c>
      <c r="AN227" s="6">
        <f t="shared" si="47"/>
        <v>0</v>
      </c>
      <c r="AO227" s="6">
        <f t="shared" si="47"/>
        <v>0</v>
      </c>
      <c r="AP227" s="6">
        <f t="shared" si="47"/>
        <v>0</v>
      </c>
      <c r="AQ227" s="6">
        <f t="shared" si="47"/>
        <v>0</v>
      </c>
      <c r="AR227" s="6">
        <f t="shared" si="47"/>
        <v>0</v>
      </c>
      <c r="AS227" s="6">
        <f t="shared" si="47"/>
        <v>0</v>
      </c>
      <c r="AT227" s="6">
        <f t="shared" si="47"/>
        <v>0</v>
      </c>
      <c r="AU227" s="6">
        <f t="shared" si="47"/>
        <v>0</v>
      </c>
      <c r="AV227" s="6">
        <f t="shared" si="47"/>
        <v>0</v>
      </c>
      <c r="AW227" s="6">
        <f t="shared" si="47"/>
        <v>0</v>
      </c>
      <c r="AX227" s="6">
        <f t="shared" si="47"/>
        <v>0</v>
      </c>
      <c r="AY227" s="6">
        <f t="shared" si="47"/>
        <v>0</v>
      </c>
      <c r="AZ227" s="6">
        <f t="shared" si="47"/>
        <v>0</v>
      </c>
      <c r="BA227" s="6">
        <f t="shared" si="47"/>
        <v>0</v>
      </c>
      <c r="BB227" s="6">
        <f t="shared" si="47"/>
        <v>0</v>
      </c>
      <c r="BC227" s="6">
        <f t="shared" si="47"/>
        <v>0</v>
      </c>
      <c r="BD227" s="6">
        <f t="shared" si="47"/>
        <v>0</v>
      </c>
      <c r="BE227" s="6">
        <f t="shared" si="47"/>
        <v>0</v>
      </c>
      <c r="BF227" s="6">
        <f t="shared" si="47"/>
        <v>0</v>
      </c>
      <c r="BG227" s="6">
        <f t="shared" si="47"/>
        <v>0</v>
      </c>
      <c r="BH227" s="6">
        <f t="shared" si="47"/>
        <v>0</v>
      </c>
      <c r="BI227" s="6">
        <f t="shared" si="47"/>
        <v>0</v>
      </c>
    </row>
    <row r="228" spans="35:61" ht="16" x14ac:dyDescent="0.2">
      <c r="AI228" s="5" t="s">
        <v>76</v>
      </c>
      <c r="AJ228" s="6">
        <f t="shared" si="47"/>
        <v>0</v>
      </c>
      <c r="AK228" s="6">
        <f t="shared" si="47"/>
        <v>0</v>
      </c>
      <c r="AL228" s="6">
        <f t="shared" si="47"/>
        <v>0</v>
      </c>
      <c r="AM228" s="6">
        <f t="shared" si="47"/>
        <v>0</v>
      </c>
      <c r="AN228" s="6">
        <f t="shared" si="47"/>
        <v>0</v>
      </c>
      <c r="AO228" s="6">
        <f t="shared" si="47"/>
        <v>0</v>
      </c>
      <c r="AP228" s="6">
        <f t="shared" si="47"/>
        <v>0</v>
      </c>
      <c r="AQ228" s="6">
        <f t="shared" si="47"/>
        <v>0</v>
      </c>
      <c r="AR228" s="6">
        <f t="shared" si="47"/>
        <v>0</v>
      </c>
      <c r="AS228" s="6">
        <f t="shared" si="47"/>
        <v>0</v>
      </c>
      <c r="AT228" s="6">
        <f t="shared" si="47"/>
        <v>0</v>
      </c>
      <c r="AU228" s="6">
        <f t="shared" si="47"/>
        <v>0</v>
      </c>
      <c r="AV228" s="6">
        <f t="shared" si="47"/>
        <v>0</v>
      </c>
      <c r="AW228" s="6">
        <f t="shared" si="47"/>
        <v>0</v>
      </c>
      <c r="AX228" s="6">
        <f t="shared" si="47"/>
        <v>0</v>
      </c>
      <c r="AY228" s="6">
        <f t="shared" si="47"/>
        <v>0</v>
      </c>
      <c r="AZ228" s="6">
        <f t="shared" si="47"/>
        <v>0</v>
      </c>
      <c r="BA228" s="6">
        <f t="shared" si="47"/>
        <v>0</v>
      </c>
      <c r="BB228" s="6">
        <f t="shared" si="47"/>
        <v>0</v>
      </c>
      <c r="BC228" s="6">
        <f t="shared" si="47"/>
        <v>0</v>
      </c>
      <c r="BD228" s="6">
        <f t="shared" si="47"/>
        <v>0</v>
      </c>
      <c r="BE228" s="6">
        <f t="shared" si="47"/>
        <v>0</v>
      </c>
      <c r="BF228" s="6">
        <f t="shared" si="47"/>
        <v>0</v>
      </c>
      <c r="BG228" s="6">
        <f t="shared" si="47"/>
        <v>0</v>
      </c>
      <c r="BH228" s="6">
        <f t="shared" si="47"/>
        <v>0</v>
      </c>
      <c r="BI228" s="6">
        <f t="shared" si="47"/>
        <v>0</v>
      </c>
    </row>
    <row r="229" spans="35:61" ht="16" x14ac:dyDescent="0.2">
      <c r="AI229" s="5" t="s">
        <v>77</v>
      </c>
      <c r="AJ229" s="6">
        <f t="shared" si="47"/>
        <v>0</v>
      </c>
      <c r="AK229" s="6">
        <f t="shared" si="47"/>
        <v>0</v>
      </c>
      <c r="AL229" s="6">
        <f t="shared" si="47"/>
        <v>0</v>
      </c>
      <c r="AM229" s="6">
        <f t="shared" si="47"/>
        <v>0</v>
      </c>
      <c r="AN229" s="6">
        <f t="shared" si="47"/>
        <v>0</v>
      </c>
      <c r="AO229" s="6">
        <f t="shared" si="47"/>
        <v>0</v>
      </c>
      <c r="AP229" s="6">
        <f t="shared" si="47"/>
        <v>0</v>
      </c>
      <c r="AQ229" s="6">
        <f t="shared" si="47"/>
        <v>0</v>
      </c>
      <c r="AR229" s="6">
        <f t="shared" si="47"/>
        <v>0</v>
      </c>
      <c r="AS229" s="6">
        <f t="shared" si="47"/>
        <v>0</v>
      </c>
      <c r="AT229" s="6">
        <f t="shared" si="47"/>
        <v>0</v>
      </c>
      <c r="AU229" s="6">
        <f t="shared" si="47"/>
        <v>0</v>
      </c>
      <c r="AV229" s="6">
        <f t="shared" si="47"/>
        <v>0</v>
      </c>
      <c r="AW229" s="6">
        <f t="shared" si="47"/>
        <v>0</v>
      </c>
      <c r="AX229" s="6">
        <f t="shared" si="47"/>
        <v>0</v>
      </c>
      <c r="AY229" s="6">
        <f t="shared" si="47"/>
        <v>0</v>
      </c>
      <c r="AZ229" s="6">
        <f t="shared" si="47"/>
        <v>0</v>
      </c>
      <c r="BA229" s="6">
        <f t="shared" si="47"/>
        <v>0</v>
      </c>
      <c r="BB229" s="6">
        <f t="shared" si="47"/>
        <v>0</v>
      </c>
      <c r="BC229" s="6">
        <f t="shared" si="47"/>
        <v>0</v>
      </c>
      <c r="BD229" s="6">
        <f t="shared" si="47"/>
        <v>0</v>
      </c>
      <c r="BE229" s="6">
        <f t="shared" si="47"/>
        <v>0</v>
      </c>
      <c r="BF229" s="6">
        <f t="shared" si="47"/>
        <v>0</v>
      </c>
      <c r="BG229" s="6">
        <f t="shared" si="47"/>
        <v>0</v>
      </c>
      <c r="BH229" s="6">
        <f t="shared" si="47"/>
        <v>0</v>
      </c>
      <c r="BI229" s="6">
        <f t="shared" si="47"/>
        <v>0</v>
      </c>
    </row>
    <row r="230" spans="35:61" ht="16" x14ac:dyDescent="0.2">
      <c r="AI230" s="5" t="s">
        <v>78</v>
      </c>
      <c r="AJ230" s="6">
        <f t="shared" si="47"/>
        <v>0</v>
      </c>
      <c r="AK230" s="6">
        <f t="shared" si="47"/>
        <v>0</v>
      </c>
      <c r="AL230" s="6">
        <f t="shared" si="47"/>
        <v>0</v>
      </c>
      <c r="AM230" s="6">
        <f t="shared" si="47"/>
        <v>0</v>
      </c>
      <c r="AN230" s="6">
        <f t="shared" si="47"/>
        <v>0</v>
      </c>
      <c r="AO230" s="6">
        <f t="shared" si="47"/>
        <v>0</v>
      </c>
      <c r="AP230" s="6">
        <f t="shared" si="47"/>
        <v>0</v>
      </c>
      <c r="AQ230" s="6">
        <f t="shared" si="47"/>
        <v>0</v>
      </c>
      <c r="AR230" s="6">
        <f t="shared" si="47"/>
        <v>0</v>
      </c>
      <c r="AS230" s="6">
        <f t="shared" si="47"/>
        <v>0</v>
      </c>
      <c r="AT230" s="6">
        <f t="shared" si="47"/>
        <v>0</v>
      </c>
      <c r="AU230" s="6">
        <f t="shared" si="47"/>
        <v>0</v>
      </c>
      <c r="AV230" s="6">
        <f t="shared" si="47"/>
        <v>0</v>
      </c>
      <c r="AW230" s="6">
        <f t="shared" si="47"/>
        <v>0</v>
      </c>
      <c r="AX230" s="6">
        <f t="shared" si="47"/>
        <v>0</v>
      </c>
      <c r="AY230" s="6">
        <f t="shared" si="47"/>
        <v>0</v>
      </c>
      <c r="AZ230" s="6">
        <f t="shared" si="47"/>
        <v>0</v>
      </c>
      <c r="BA230" s="6">
        <f t="shared" si="47"/>
        <v>0</v>
      </c>
      <c r="BB230" s="6">
        <f t="shared" si="47"/>
        <v>0</v>
      </c>
      <c r="BC230" s="6">
        <f t="shared" si="47"/>
        <v>0</v>
      </c>
      <c r="BD230" s="6">
        <f t="shared" si="47"/>
        <v>0</v>
      </c>
      <c r="BE230" s="6">
        <f t="shared" si="47"/>
        <v>0</v>
      </c>
      <c r="BF230" s="6">
        <f t="shared" si="47"/>
        <v>0</v>
      </c>
      <c r="BG230" s="6">
        <f t="shared" si="47"/>
        <v>0</v>
      </c>
      <c r="BH230" s="6">
        <f t="shared" si="47"/>
        <v>0</v>
      </c>
      <c r="BI230" s="6">
        <f t="shared" si="47"/>
        <v>0</v>
      </c>
    </row>
    <row r="231" spans="35:61" ht="16" x14ac:dyDescent="0.2">
      <c r="AI231" s="5" t="s">
        <v>79</v>
      </c>
      <c r="AJ231" s="6">
        <f t="shared" si="47"/>
        <v>0</v>
      </c>
      <c r="AK231" s="6">
        <f t="shared" si="47"/>
        <v>0</v>
      </c>
      <c r="AL231" s="6">
        <f t="shared" si="47"/>
        <v>0</v>
      </c>
      <c r="AM231" s="6">
        <f t="shared" si="47"/>
        <v>0</v>
      </c>
      <c r="AN231" s="6">
        <f t="shared" si="47"/>
        <v>0</v>
      </c>
      <c r="AO231" s="6">
        <f t="shared" si="47"/>
        <v>0</v>
      </c>
      <c r="AP231" s="6">
        <f t="shared" si="47"/>
        <v>0</v>
      </c>
      <c r="AQ231" s="6">
        <f t="shared" si="47"/>
        <v>0</v>
      </c>
      <c r="AR231" s="6">
        <f t="shared" si="47"/>
        <v>0</v>
      </c>
      <c r="AS231" s="6">
        <f t="shared" si="47"/>
        <v>0</v>
      </c>
      <c r="AT231" s="6">
        <f t="shared" si="47"/>
        <v>0</v>
      </c>
      <c r="AU231" s="6">
        <f t="shared" si="47"/>
        <v>0</v>
      </c>
      <c r="AV231" s="6">
        <f t="shared" si="47"/>
        <v>0</v>
      </c>
      <c r="AW231" s="6">
        <f t="shared" si="47"/>
        <v>0</v>
      </c>
      <c r="AX231" s="6">
        <f t="shared" si="47"/>
        <v>0</v>
      </c>
      <c r="AY231" s="6">
        <f t="shared" si="47"/>
        <v>0</v>
      </c>
      <c r="AZ231" s="6">
        <f t="shared" si="47"/>
        <v>0</v>
      </c>
      <c r="BA231" s="6">
        <f t="shared" si="47"/>
        <v>0</v>
      </c>
      <c r="BB231" s="6">
        <f t="shared" si="47"/>
        <v>0</v>
      </c>
      <c r="BC231" s="6">
        <f t="shared" si="47"/>
        <v>0</v>
      </c>
      <c r="BD231" s="6">
        <f t="shared" si="47"/>
        <v>0</v>
      </c>
      <c r="BE231" s="6">
        <f t="shared" si="47"/>
        <v>0</v>
      </c>
      <c r="BF231" s="6">
        <f t="shared" si="47"/>
        <v>0</v>
      </c>
      <c r="BG231" s="6">
        <f t="shared" si="47"/>
        <v>0</v>
      </c>
      <c r="BH231" s="6">
        <f t="shared" si="47"/>
        <v>0</v>
      </c>
      <c r="BI231" s="6">
        <f t="shared" si="47"/>
        <v>0</v>
      </c>
    </row>
    <row r="232" spans="35:61" ht="16" x14ac:dyDescent="0.2">
      <c r="AI232" s="5" t="s">
        <v>80</v>
      </c>
      <c r="AJ232" s="6">
        <f t="shared" si="47"/>
        <v>0</v>
      </c>
      <c r="AK232" s="6">
        <f t="shared" si="47"/>
        <v>0</v>
      </c>
      <c r="AL232" s="6">
        <f t="shared" si="47"/>
        <v>0</v>
      </c>
      <c r="AM232" s="6">
        <f t="shared" si="47"/>
        <v>0</v>
      </c>
      <c r="AN232" s="6">
        <f t="shared" si="47"/>
        <v>0</v>
      </c>
      <c r="AO232" s="6">
        <f t="shared" si="47"/>
        <v>0</v>
      </c>
      <c r="AP232" s="6">
        <f t="shared" si="47"/>
        <v>0</v>
      </c>
      <c r="AQ232" s="6">
        <f t="shared" si="47"/>
        <v>0</v>
      </c>
      <c r="AR232" s="6">
        <f t="shared" si="47"/>
        <v>0</v>
      </c>
      <c r="AS232" s="6">
        <f t="shared" si="47"/>
        <v>0</v>
      </c>
      <c r="AT232" s="6">
        <f t="shared" si="47"/>
        <v>0</v>
      </c>
      <c r="AU232" s="6">
        <f t="shared" si="47"/>
        <v>0</v>
      </c>
      <c r="AV232" s="6">
        <f t="shared" si="47"/>
        <v>0</v>
      </c>
      <c r="AW232" s="6">
        <f t="shared" si="47"/>
        <v>0</v>
      </c>
      <c r="AX232" s="6">
        <f t="shared" si="47"/>
        <v>0</v>
      </c>
      <c r="AY232" s="6">
        <f t="shared" si="47"/>
        <v>0</v>
      </c>
      <c r="AZ232" s="6">
        <f t="shared" si="47"/>
        <v>0</v>
      </c>
      <c r="BA232" s="6">
        <f t="shared" si="47"/>
        <v>0</v>
      </c>
      <c r="BB232" s="6">
        <f t="shared" si="47"/>
        <v>0</v>
      </c>
      <c r="BC232" s="6">
        <f t="shared" si="47"/>
        <v>0</v>
      </c>
      <c r="BD232" s="6">
        <f t="shared" si="47"/>
        <v>0</v>
      </c>
      <c r="BE232" s="6">
        <f t="shared" si="47"/>
        <v>0</v>
      </c>
      <c r="BF232" s="6">
        <f t="shared" si="47"/>
        <v>0</v>
      </c>
      <c r="BG232" s="6">
        <f t="shared" si="47"/>
        <v>0</v>
      </c>
      <c r="BH232" s="6">
        <f t="shared" si="47"/>
        <v>0</v>
      </c>
      <c r="BI232" s="6">
        <f t="shared" si="47"/>
        <v>0</v>
      </c>
    </row>
    <row r="233" spans="35:61" ht="16" x14ac:dyDescent="0.2">
      <c r="AI233" s="5" t="s">
        <v>81</v>
      </c>
      <c r="AJ233" s="6">
        <f t="shared" si="47"/>
        <v>0</v>
      </c>
      <c r="AK233" s="6">
        <f t="shared" si="47"/>
        <v>0</v>
      </c>
      <c r="AL233" s="6">
        <f t="shared" si="47"/>
        <v>12.94527069708721</v>
      </c>
      <c r="AM233" s="6">
        <f t="shared" si="47"/>
        <v>38.52458948076896</v>
      </c>
      <c r="AN233" s="6">
        <f t="shared" si="47"/>
        <v>42.303871367894899</v>
      </c>
      <c r="AO233" s="6">
        <f t="shared" si="47"/>
        <v>38.859792727376657</v>
      </c>
      <c r="AP233" s="6">
        <f t="shared" si="47"/>
        <v>37.279699101442844</v>
      </c>
      <c r="AQ233" s="6">
        <f t="shared" si="47"/>
        <v>33.65435316405523</v>
      </c>
      <c r="AR233" s="6">
        <f t="shared" si="47"/>
        <v>31.530457588000967</v>
      </c>
      <c r="AS233" s="6">
        <f t="shared" si="47"/>
        <v>27.723844419520713</v>
      </c>
      <c r="AT233" s="6">
        <f t="shared" si="47"/>
        <v>35.306388892532119</v>
      </c>
      <c r="AU233" s="6">
        <f t="shared" si="47"/>
        <v>35.025864464409644</v>
      </c>
      <c r="AV233" s="6">
        <f t="shared" si="47"/>
        <v>33.606424365791582</v>
      </c>
      <c r="AW233" s="6">
        <f t="shared" si="47"/>
        <v>32.186984166942239</v>
      </c>
      <c r="AX233" s="6">
        <f t="shared" si="47"/>
        <v>31.729029820459306</v>
      </c>
      <c r="AY233" s="6">
        <f t="shared" si="47"/>
        <v>30.26523211539596</v>
      </c>
      <c r="AZ233" s="6">
        <f t="shared" si="47"/>
        <v>28.801434513696062</v>
      </c>
      <c r="BA233" s="6">
        <f t="shared" si="47"/>
        <v>27.337636808632713</v>
      </c>
      <c r="BB233" s="6">
        <f t="shared" si="47"/>
        <v>25.873839206932832</v>
      </c>
      <c r="BC233" s="6">
        <f t="shared" si="47"/>
        <v>24.410041501869461</v>
      </c>
      <c r="BD233" s="6">
        <f t="shared" si="47"/>
        <v>22.946243900169584</v>
      </c>
      <c r="BE233" s="6">
        <f t="shared" si="47"/>
        <v>21.482446195106228</v>
      </c>
      <c r="BF233" s="6">
        <f t="shared" si="47"/>
        <v>20.018648490042857</v>
      </c>
      <c r="BG233" s="6">
        <f t="shared" si="47"/>
        <v>18.55485088834299</v>
      </c>
      <c r="BH233" s="6">
        <f t="shared" si="47"/>
        <v>17.091053183279623</v>
      </c>
      <c r="BI233" s="6">
        <f t="shared" si="47"/>
        <v>15.62725558157973</v>
      </c>
    </row>
    <row r="234" spans="35:61" ht="16" x14ac:dyDescent="0.2">
      <c r="AI234" s="5" t="s">
        <v>82</v>
      </c>
      <c r="AJ234" s="6">
        <f t="shared" si="47"/>
        <v>0</v>
      </c>
      <c r="AK234" s="6">
        <f t="shared" si="47"/>
        <v>11.327484897195907</v>
      </c>
      <c r="AL234" s="6">
        <f t="shared" si="47"/>
        <v>21.854086258092369</v>
      </c>
      <c r="AM234" s="6">
        <f t="shared" si="47"/>
        <v>26.31650340224116</v>
      </c>
      <c r="AN234" s="6">
        <f t="shared" si="47"/>
        <v>25.315398981866839</v>
      </c>
      <c r="AO234" s="6">
        <f t="shared" si="47"/>
        <v>29.177153473791044</v>
      </c>
      <c r="AP234" s="6">
        <f t="shared" si="47"/>
        <v>33.402831641368316</v>
      </c>
      <c r="AQ234" s="6">
        <f t="shared" si="47"/>
        <v>32.765650853160167</v>
      </c>
      <c r="AR234" s="6">
        <f t="shared" si="47"/>
        <v>32.128470108438947</v>
      </c>
      <c r="AS234" s="6">
        <f t="shared" si="47"/>
        <v>31.491289363717691</v>
      </c>
      <c r="AT234" s="6">
        <f t="shared" si="47"/>
        <v>30.854108618996467</v>
      </c>
      <c r="AU234" s="6">
        <f t="shared" si="47"/>
        <v>30.216927874275228</v>
      </c>
      <c r="AV234" s="6">
        <f t="shared" si="47"/>
        <v>29.57974712955399</v>
      </c>
      <c r="AW234" s="6">
        <f t="shared" si="47"/>
        <v>28.942566341345845</v>
      </c>
      <c r="AX234" s="6">
        <f t="shared" si="47"/>
        <v>28.305385596624628</v>
      </c>
      <c r="AY234" s="6">
        <f t="shared" si="47"/>
        <v>27.668204851903369</v>
      </c>
      <c r="AZ234" s="6">
        <f t="shared" si="47"/>
        <v>27.03102410718213</v>
      </c>
      <c r="BA234" s="6">
        <f t="shared" si="47"/>
        <v>26.393843362460903</v>
      </c>
      <c r="BB234" s="6">
        <f t="shared" si="47"/>
        <v>25.756662617739668</v>
      </c>
      <c r="BC234" s="6">
        <f t="shared" si="47"/>
        <v>25.119481829531519</v>
      </c>
      <c r="BD234" s="6">
        <f t="shared" si="47"/>
        <v>24.482301084810302</v>
      </c>
      <c r="BE234" s="6">
        <f t="shared" si="47"/>
        <v>23.845120340089064</v>
      </c>
      <c r="BF234" s="6">
        <f t="shared" si="47"/>
        <v>23.207939595367804</v>
      </c>
      <c r="BG234" s="6">
        <f t="shared" si="47"/>
        <v>22.57075885064658</v>
      </c>
      <c r="BH234" s="6">
        <f t="shared" si="47"/>
        <v>21.933578105925331</v>
      </c>
      <c r="BI234" s="6">
        <f t="shared" si="47"/>
        <v>21.296397317717201</v>
      </c>
    </row>
    <row r="235" spans="35:61" ht="16" x14ac:dyDescent="0.2">
      <c r="AI235" s="5" t="s">
        <v>83</v>
      </c>
      <c r="AJ235" s="6">
        <f t="shared" si="47"/>
        <v>0</v>
      </c>
      <c r="AK235" s="6">
        <f t="shared" si="47"/>
        <v>0</v>
      </c>
      <c r="AL235" s="6">
        <f t="shared" si="47"/>
        <v>0</v>
      </c>
      <c r="AM235" s="6">
        <f t="shared" si="47"/>
        <v>0</v>
      </c>
      <c r="AN235" s="6">
        <f t="shared" si="47"/>
        <v>0</v>
      </c>
      <c r="AO235" s="6">
        <f t="shared" si="47"/>
        <v>0</v>
      </c>
      <c r="AP235" s="6">
        <f t="shared" si="47"/>
        <v>0</v>
      </c>
      <c r="AQ235" s="6">
        <f t="shared" si="47"/>
        <v>0</v>
      </c>
      <c r="AR235" s="6">
        <f t="shared" si="47"/>
        <v>0</v>
      </c>
      <c r="AS235" s="6">
        <f t="shared" si="47"/>
        <v>0</v>
      </c>
      <c r="AT235" s="6">
        <f t="shared" si="47"/>
        <v>0</v>
      </c>
      <c r="AU235" s="6">
        <f t="shared" si="47"/>
        <v>0</v>
      </c>
      <c r="AV235" s="6">
        <f t="shared" si="47"/>
        <v>0</v>
      </c>
      <c r="AW235" s="6">
        <f t="shared" si="47"/>
        <v>0</v>
      </c>
      <c r="AX235" s="6">
        <f t="shared" si="47"/>
        <v>0</v>
      </c>
      <c r="AY235" s="6">
        <f t="shared" si="47"/>
        <v>0</v>
      </c>
      <c r="AZ235" s="6">
        <f t="shared" si="47"/>
        <v>0</v>
      </c>
      <c r="BA235" s="6">
        <f t="shared" si="47"/>
        <v>0</v>
      </c>
      <c r="BB235" s="6">
        <f t="shared" si="47"/>
        <v>0</v>
      </c>
      <c r="BC235" s="6">
        <f t="shared" si="47"/>
        <v>0</v>
      </c>
      <c r="BD235" s="6">
        <f t="shared" si="47"/>
        <v>0</v>
      </c>
      <c r="BE235" s="6">
        <f t="shared" ref="BE235:BI235" si="48">BE179*BE117/10^6</f>
        <v>0</v>
      </c>
      <c r="BF235" s="6">
        <f t="shared" si="48"/>
        <v>0</v>
      </c>
      <c r="BG235" s="6">
        <f t="shared" si="48"/>
        <v>0</v>
      </c>
      <c r="BH235" s="6">
        <f t="shared" si="48"/>
        <v>0</v>
      </c>
      <c r="BI235" s="6">
        <f t="shared" si="48"/>
        <v>0</v>
      </c>
    </row>
    <row r="236" spans="35:61" ht="16" x14ac:dyDescent="0.2">
      <c r="AI236" s="5" t="s">
        <v>84</v>
      </c>
      <c r="AJ236" s="6">
        <f t="shared" ref="AJ236:BI245" si="49">AJ180*AJ118/10^6</f>
        <v>0</v>
      </c>
      <c r="AK236" s="6">
        <f t="shared" si="49"/>
        <v>0</v>
      </c>
      <c r="AL236" s="6">
        <f t="shared" si="49"/>
        <v>0</v>
      </c>
      <c r="AM236" s="6">
        <f t="shared" si="49"/>
        <v>0</v>
      </c>
      <c r="AN236" s="6">
        <f t="shared" si="49"/>
        <v>0</v>
      </c>
      <c r="AO236" s="6">
        <f t="shared" si="49"/>
        <v>0</v>
      </c>
      <c r="AP236" s="6">
        <f t="shared" si="49"/>
        <v>0</v>
      </c>
      <c r="AQ236" s="6">
        <f t="shared" si="49"/>
        <v>0</v>
      </c>
      <c r="AR236" s="6">
        <f t="shared" si="49"/>
        <v>0</v>
      </c>
      <c r="AS236" s="6">
        <f t="shared" si="49"/>
        <v>0</v>
      </c>
      <c r="AT236" s="6">
        <f t="shared" si="49"/>
        <v>0</v>
      </c>
      <c r="AU236" s="6">
        <f t="shared" si="49"/>
        <v>0</v>
      </c>
      <c r="AV236" s="6">
        <f t="shared" si="49"/>
        <v>0</v>
      </c>
      <c r="AW236" s="6">
        <f t="shared" si="49"/>
        <v>0</v>
      </c>
      <c r="AX236" s="6">
        <f t="shared" si="49"/>
        <v>0</v>
      </c>
      <c r="AY236" s="6">
        <f t="shared" si="49"/>
        <v>0</v>
      </c>
      <c r="AZ236" s="6">
        <f t="shared" si="49"/>
        <v>0</v>
      </c>
      <c r="BA236" s="6">
        <f t="shared" si="49"/>
        <v>0</v>
      </c>
      <c r="BB236" s="6">
        <f t="shared" si="49"/>
        <v>0</v>
      </c>
      <c r="BC236" s="6">
        <f t="shared" si="49"/>
        <v>0</v>
      </c>
      <c r="BD236" s="6">
        <f t="shared" si="49"/>
        <v>0</v>
      </c>
      <c r="BE236" s="6">
        <f t="shared" si="49"/>
        <v>0</v>
      </c>
      <c r="BF236" s="6">
        <f t="shared" si="49"/>
        <v>0</v>
      </c>
      <c r="BG236" s="6">
        <f t="shared" si="49"/>
        <v>0</v>
      </c>
      <c r="BH236" s="6">
        <f t="shared" si="49"/>
        <v>0</v>
      </c>
      <c r="BI236" s="6">
        <f t="shared" si="49"/>
        <v>0</v>
      </c>
    </row>
    <row r="237" spans="35:61" ht="16" x14ac:dyDescent="0.2">
      <c r="AI237" s="5" t="s">
        <v>85</v>
      </c>
      <c r="AJ237" s="6">
        <f t="shared" si="49"/>
        <v>0</v>
      </c>
      <c r="AK237" s="6">
        <f t="shared" si="49"/>
        <v>0</v>
      </c>
      <c r="AL237" s="6">
        <f t="shared" si="49"/>
        <v>0</v>
      </c>
      <c r="AM237" s="6">
        <f t="shared" si="49"/>
        <v>0</v>
      </c>
      <c r="AN237" s="6">
        <f t="shared" si="49"/>
        <v>0</v>
      </c>
      <c r="AO237" s="6">
        <f t="shared" si="49"/>
        <v>0</v>
      </c>
      <c r="AP237" s="6">
        <f t="shared" si="49"/>
        <v>0</v>
      </c>
      <c r="AQ237" s="6">
        <f t="shared" si="49"/>
        <v>0</v>
      </c>
      <c r="AR237" s="6">
        <f t="shared" si="49"/>
        <v>0</v>
      </c>
      <c r="AS237" s="6">
        <f t="shared" si="49"/>
        <v>0</v>
      </c>
      <c r="AT237" s="6">
        <f t="shared" si="49"/>
        <v>0</v>
      </c>
      <c r="AU237" s="6">
        <f t="shared" si="49"/>
        <v>0</v>
      </c>
      <c r="AV237" s="6">
        <f t="shared" si="49"/>
        <v>0</v>
      </c>
      <c r="AW237" s="6">
        <f t="shared" si="49"/>
        <v>0</v>
      </c>
      <c r="AX237" s="6">
        <f t="shared" si="49"/>
        <v>0</v>
      </c>
      <c r="AY237" s="6">
        <f t="shared" si="49"/>
        <v>0</v>
      </c>
      <c r="AZ237" s="6">
        <f t="shared" si="49"/>
        <v>0</v>
      </c>
      <c r="BA237" s="6">
        <f t="shared" si="49"/>
        <v>0</v>
      </c>
      <c r="BB237" s="6">
        <f t="shared" si="49"/>
        <v>0</v>
      </c>
      <c r="BC237" s="6">
        <f t="shared" si="49"/>
        <v>0</v>
      </c>
      <c r="BD237" s="6">
        <f t="shared" si="49"/>
        <v>0</v>
      </c>
      <c r="BE237" s="6">
        <f t="shared" si="49"/>
        <v>0</v>
      </c>
      <c r="BF237" s="6">
        <f t="shared" si="49"/>
        <v>0</v>
      </c>
      <c r="BG237" s="6">
        <f t="shared" si="49"/>
        <v>0</v>
      </c>
      <c r="BH237" s="6">
        <f t="shared" si="49"/>
        <v>0</v>
      </c>
      <c r="BI237" s="6">
        <f t="shared" si="49"/>
        <v>0</v>
      </c>
    </row>
    <row r="238" spans="35:61" ht="16" x14ac:dyDescent="0.2">
      <c r="AI238" s="5" t="s">
        <v>86</v>
      </c>
      <c r="AJ238" s="6">
        <f t="shared" si="49"/>
        <v>0</v>
      </c>
      <c r="AK238" s="6">
        <f t="shared" si="49"/>
        <v>0</v>
      </c>
      <c r="AL238" s="6">
        <f t="shared" si="49"/>
        <v>0</v>
      </c>
      <c r="AM238" s="6">
        <f t="shared" si="49"/>
        <v>0</v>
      </c>
      <c r="AN238" s="6">
        <f t="shared" si="49"/>
        <v>0</v>
      </c>
      <c r="AO238" s="6">
        <f t="shared" si="49"/>
        <v>0</v>
      </c>
      <c r="AP238" s="6">
        <f t="shared" si="49"/>
        <v>0</v>
      </c>
      <c r="AQ238" s="6">
        <f t="shared" si="49"/>
        <v>0</v>
      </c>
      <c r="AR238" s="6">
        <f t="shared" si="49"/>
        <v>0</v>
      </c>
      <c r="AS238" s="6">
        <f t="shared" si="49"/>
        <v>0</v>
      </c>
      <c r="AT238" s="6">
        <f t="shared" si="49"/>
        <v>0</v>
      </c>
      <c r="AU238" s="6">
        <f t="shared" si="49"/>
        <v>0</v>
      </c>
      <c r="AV238" s="6">
        <f t="shared" si="49"/>
        <v>0</v>
      </c>
      <c r="AW238" s="6">
        <f t="shared" si="49"/>
        <v>0</v>
      </c>
      <c r="AX238" s="6">
        <f t="shared" si="49"/>
        <v>0</v>
      </c>
      <c r="AY238" s="6">
        <f t="shared" si="49"/>
        <v>0</v>
      </c>
      <c r="AZ238" s="6">
        <f t="shared" si="49"/>
        <v>0</v>
      </c>
      <c r="BA238" s="6">
        <f t="shared" si="49"/>
        <v>0</v>
      </c>
      <c r="BB238" s="6">
        <f t="shared" si="49"/>
        <v>0</v>
      </c>
      <c r="BC238" s="6">
        <f t="shared" si="49"/>
        <v>0</v>
      </c>
      <c r="BD238" s="6">
        <f t="shared" si="49"/>
        <v>0</v>
      </c>
      <c r="BE238" s="6">
        <f t="shared" si="49"/>
        <v>0</v>
      </c>
      <c r="BF238" s="6">
        <f t="shared" si="49"/>
        <v>0</v>
      </c>
      <c r="BG238" s="6">
        <f t="shared" si="49"/>
        <v>0</v>
      </c>
      <c r="BH238" s="6">
        <f t="shared" si="49"/>
        <v>0</v>
      </c>
      <c r="BI238" s="6">
        <f t="shared" si="49"/>
        <v>0</v>
      </c>
    </row>
    <row r="239" spans="35:61" ht="16" x14ac:dyDescent="0.2">
      <c r="AI239" s="5" t="s">
        <v>87</v>
      </c>
      <c r="AJ239" s="6">
        <f t="shared" si="49"/>
        <v>0</v>
      </c>
      <c r="AK239" s="6">
        <f t="shared" si="49"/>
        <v>0</v>
      </c>
      <c r="AL239" s="6">
        <f t="shared" si="49"/>
        <v>0</v>
      </c>
      <c r="AM239" s="6">
        <f t="shared" si="49"/>
        <v>0</v>
      </c>
      <c r="AN239" s="6">
        <f t="shared" si="49"/>
        <v>0</v>
      </c>
      <c r="AO239" s="6">
        <f t="shared" si="49"/>
        <v>0</v>
      </c>
      <c r="AP239" s="6">
        <f t="shared" si="49"/>
        <v>0</v>
      </c>
      <c r="AQ239" s="6">
        <f t="shared" si="49"/>
        <v>0</v>
      </c>
      <c r="AR239" s="6">
        <f t="shared" si="49"/>
        <v>0</v>
      </c>
      <c r="AS239" s="6">
        <f t="shared" si="49"/>
        <v>0</v>
      </c>
      <c r="AT239" s="6">
        <f t="shared" si="49"/>
        <v>0</v>
      </c>
      <c r="AU239" s="6">
        <f t="shared" si="49"/>
        <v>0</v>
      </c>
      <c r="AV239" s="6">
        <f t="shared" si="49"/>
        <v>0</v>
      </c>
      <c r="AW239" s="6">
        <f t="shared" si="49"/>
        <v>0</v>
      </c>
      <c r="AX239" s="6">
        <f t="shared" si="49"/>
        <v>0</v>
      </c>
      <c r="AY239" s="6">
        <f t="shared" si="49"/>
        <v>0</v>
      </c>
      <c r="AZ239" s="6">
        <f t="shared" si="49"/>
        <v>0</v>
      </c>
      <c r="BA239" s="6">
        <f t="shared" si="49"/>
        <v>0</v>
      </c>
      <c r="BB239" s="6">
        <f t="shared" si="49"/>
        <v>0</v>
      </c>
      <c r="BC239" s="6">
        <f t="shared" si="49"/>
        <v>0</v>
      </c>
      <c r="BD239" s="6">
        <f t="shared" si="49"/>
        <v>0</v>
      </c>
      <c r="BE239" s="6">
        <f t="shared" si="49"/>
        <v>0</v>
      </c>
      <c r="BF239" s="6">
        <f t="shared" si="49"/>
        <v>0</v>
      </c>
      <c r="BG239" s="6">
        <f t="shared" si="49"/>
        <v>0</v>
      </c>
      <c r="BH239" s="6">
        <f t="shared" si="49"/>
        <v>0</v>
      </c>
      <c r="BI239" s="6">
        <f t="shared" si="49"/>
        <v>0</v>
      </c>
    </row>
    <row r="240" spans="35:61" ht="16" x14ac:dyDescent="0.2">
      <c r="AI240" s="5" t="s">
        <v>88</v>
      </c>
      <c r="AJ240" s="6">
        <f t="shared" si="49"/>
        <v>0</v>
      </c>
      <c r="AK240" s="6">
        <f t="shared" si="49"/>
        <v>0</v>
      </c>
      <c r="AL240" s="6">
        <f t="shared" si="49"/>
        <v>0</v>
      </c>
      <c r="AM240" s="6">
        <f t="shared" si="49"/>
        <v>0</v>
      </c>
      <c r="AN240" s="6">
        <f t="shared" si="49"/>
        <v>0</v>
      </c>
      <c r="AO240" s="6">
        <f t="shared" si="49"/>
        <v>0</v>
      </c>
      <c r="AP240" s="6">
        <f t="shared" si="49"/>
        <v>0</v>
      </c>
      <c r="AQ240" s="6">
        <f t="shared" si="49"/>
        <v>0</v>
      </c>
      <c r="AR240" s="6">
        <f t="shared" si="49"/>
        <v>0</v>
      </c>
      <c r="AS240" s="6">
        <f t="shared" si="49"/>
        <v>0</v>
      </c>
      <c r="AT240" s="6">
        <f t="shared" si="49"/>
        <v>0</v>
      </c>
      <c r="AU240" s="6">
        <f t="shared" si="49"/>
        <v>0</v>
      </c>
      <c r="AV240" s="6">
        <f t="shared" si="49"/>
        <v>0</v>
      </c>
      <c r="AW240" s="6">
        <f t="shared" si="49"/>
        <v>0</v>
      </c>
      <c r="AX240" s="6">
        <f t="shared" si="49"/>
        <v>0</v>
      </c>
      <c r="AY240" s="6">
        <f t="shared" si="49"/>
        <v>0</v>
      </c>
      <c r="AZ240" s="6">
        <f t="shared" si="49"/>
        <v>0</v>
      </c>
      <c r="BA240" s="6">
        <f t="shared" si="49"/>
        <v>0</v>
      </c>
      <c r="BB240" s="6">
        <f t="shared" si="49"/>
        <v>0</v>
      </c>
      <c r="BC240" s="6">
        <f t="shared" si="49"/>
        <v>0</v>
      </c>
      <c r="BD240" s="6">
        <f t="shared" si="49"/>
        <v>0</v>
      </c>
      <c r="BE240" s="6">
        <f t="shared" si="49"/>
        <v>0</v>
      </c>
      <c r="BF240" s="6">
        <f t="shared" si="49"/>
        <v>0</v>
      </c>
      <c r="BG240" s="6">
        <f t="shared" si="49"/>
        <v>0</v>
      </c>
      <c r="BH240" s="6">
        <f t="shared" si="49"/>
        <v>0</v>
      </c>
      <c r="BI240" s="6">
        <f t="shared" si="49"/>
        <v>0</v>
      </c>
    </row>
    <row r="241" spans="35:61" ht="16" x14ac:dyDescent="0.2">
      <c r="AI241" s="5" t="s">
        <v>89</v>
      </c>
      <c r="AJ241" s="6">
        <f t="shared" si="49"/>
        <v>0</v>
      </c>
      <c r="AK241" s="6">
        <f t="shared" si="49"/>
        <v>0</v>
      </c>
      <c r="AL241" s="6">
        <f t="shared" si="49"/>
        <v>0</v>
      </c>
      <c r="AM241" s="6">
        <f t="shared" si="49"/>
        <v>0</v>
      </c>
      <c r="AN241" s="6">
        <f t="shared" si="49"/>
        <v>0</v>
      </c>
      <c r="AO241" s="6">
        <f t="shared" si="49"/>
        <v>0</v>
      </c>
      <c r="AP241" s="6">
        <f t="shared" si="49"/>
        <v>0</v>
      </c>
      <c r="AQ241" s="6">
        <f t="shared" si="49"/>
        <v>0</v>
      </c>
      <c r="AR241" s="6">
        <f t="shared" si="49"/>
        <v>0</v>
      </c>
      <c r="AS241" s="6">
        <f t="shared" si="49"/>
        <v>0</v>
      </c>
      <c r="AT241" s="6">
        <f t="shared" si="49"/>
        <v>0</v>
      </c>
      <c r="AU241" s="6">
        <f t="shared" si="49"/>
        <v>0</v>
      </c>
      <c r="AV241" s="6">
        <f t="shared" si="49"/>
        <v>0</v>
      </c>
      <c r="AW241" s="6">
        <f t="shared" si="49"/>
        <v>0</v>
      </c>
      <c r="AX241" s="6">
        <f t="shared" si="49"/>
        <v>0</v>
      </c>
      <c r="AY241" s="6">
        <f t="shared" si="49"/>
        <v>0</v>
      </c>
      <c r="AZ241" s="6">
        <f t="shared" si="49"/>
        <v>0</v>
      </c>
      <c r="BA241" s="6">
        <f t="shared" si="49"/>
        <v>0</v>
      </c>
      <c r="BB241" s="6">
        <f t="shared" si="49"/>
        <v>0</v>
      </c>
      <c r="BC241" s="6">
        <f t="shared" si="49"/>
        <v>0</v>
      </c>
      <c r="BD241" s="6">
        <f t="shared" si="49"/>
        <v>0</v>
      </c>
      <c r="BE241" s="6">
        <f t="shared" si="49"/>
        <v>0</v>
      </c>
      <c r="BF241" s="6">
        <f t="shared" si="49"/>
        <v>0</v>
      </c>
      <c r="BG241" s="6">
        <f t="shared" si="49"/>
        <v>0</v>
      </c>
      <c r="BH241" s="6">
        <f t="shared" si="49"/>
        <v>0</v>
      </c>
      <c r="BI241" s="6">
        <f t="shared" si="49"/>
        <v>0</v>
      </c>
    </row>
    <row r="242" spans="35:61" ht="16" x14ac:dyDescent="0.2">
      <c r="AI242" s="5" t="s">
        <v>90</v>
      </c>
      <c r="AJ242" s="6">
        <f t="shared" si="49"/>
        <v>0</v>
      </c>
      <c r="AK242" s="6">
        <f t="shared" si="49"/>
        <v>0</v>
      </c>
      <c r="AL242" s="6">
        <f t="shared" si="49"/>
        <v>0</v>
      </c>
      <c r="AM242" s="6">
        <f t="shared" si="49"/>
        <v>0</v>
      </c>
      <c r="AN242" s="6">
        <f t="shared" si="49"/>
        <v>0</v>
      </c>
      <c r="AO242" s="6">
        <f t="shared" si="49"/>
        <v>0</v>
      </c>
      <c r="AP242" s="6">
        <f t="shared" si="49"/>
        <v>0</v>
      </c>
      <c r="AQ242" s="6">
        <f t="shared" si="49"/>
        <v>0</v>
      </c>
      <c r="AR242" s="6">
        <f t="shared" si="49"/>
        <v>0</v>
      </c>
      <c r="AS242" s="6">
        <f t="shared" si="49"/>
        <v>0</v>
      </c>
      <c r="AT242" s="6">
        <f t="shared" si="49"/>
        <v>0</v>
      </c>
      <c r="AU242" s="6">
        <f t="shared" si="49"/>
        <v>0</v>
      </c>
      <c r="AV242" s="6">
        <f t="shared" si="49"/>
        <v>0</v>
      </c>
      <c r="AW242" s="6">
        <f t="shared" si="49"/>
        <v>0</v>
      </c>
      <c r="AX242" s="6">
        <f t="shared" si="49"/>
        <v>0</v>
      </c>
      <c r="AY242" s="6">
        <f t="shared" si="49"/>
        <v>0</v>
      </c>
      <c r="AZ242" s="6">
        <f t="shared" si="49"/>
        <v>0</v>
      </c>
      <c r="BA242" s="6">
        <f t="shared" si="49"/>
        <v>0</v>
      </c>
      <c r="BB242" s="6">
        <f t="shared" si="49"/>
        <v>0</v>
      </c>
      <c r="BC242" s="6">
        <f t="shared" si="49"/>
        <v>0</v>
      </c>
      <c r="BD242" s="6">
        <f t="shared" si="49"/>
        <v>0</v>
      </c>
      <c r="BE242" s="6">
        <f t="shared" si="49"/>
        <v>0</v>
      </c>
      <c r="BF242" s="6">
        <f t="shared" si="49"/>
        <v>0</v>
      </c>
      <c r="BG242" s="6">
        <f t="shared" si="49"/>
        <v>0</v>
      </c>
      <c r="BH242" s="6">
        <f t="shared" si="49"/>
        <v>0</v>
      </c>
      <c r="BI242" s="6">
        <f t="shared" si="49"/>
        <v>0</v>
      </c>
    </row>
    <row r="243" spans="35:61" ht="16" x14ac:dyDescent="0.2">
      <c r="AI243" s="5" t="s">
        <v>91</v>
      </c>
      <c r="AJ243" s="6">
        <f t="shared" si="49"/>
        <v>0</v>
      </c>
      <c r="AK243" s="6">
        <f t="shared" si="49"/>
        <v>0</v>
      </c>
      <c r="AL243" s="6">
        <f t="shared" si="49"/>
        <v>0</v>
      </c>
      <c r="AM243" s="6">
        <f t="shared" si="49"/>
        <v>37.547465942706943</v>
      </c>
      <c r="AN243" s="6">
        <f t="shared" si="49"/>
        <v>35.315049056142385</v>
      </c>
      <c r="AO243" s="6">
        <f t="shared" si="49"/>
        <v>33.082398465173398</v>
      </c>
      <c r="AP243" s="6">
        <f t="shared" si="49"/>
        <v>32.190440473768987</v>
      </c>
      <c r="AQ243" s="6">
        <f t="shared" si="49"/>
        <v>31.298510372098448</v>
      </c>
      <c r="AR243" s="6">
        <f t="shared" si="49"/>
        <v>30.406609138748884</v>
      </c>
      <c r="AS243" s="6">
        <f t="shared" si="49"/>
        <v>29.514737885751149</v>
      </c>
      <c r="AT243" s="6">
        <f t="shared" si="49"/>
        <v>63.606439389191422</v>
      </c>
      <c r="AU243" s="6">
        <f t="shared" si="49"/>
        <v>61.624644721743415</v>
      </c>
      <c r="AV243" s="6">
        <f t="shared" si="49"/>
        <v>59.642925079310402</v>
      </c>
      <c r="AW243" s="6">
        <f t="shared" si="49"/>
        <v>57.661283921543969</v>
      </c>
      <c r="AX243" s="6">
        <f t="shared" si="49"/>
        <v>55.679724115012476</v>
      </c>
      <c r="AY243" s="6">
        <f t="shared" si="49"/>
        <v>53.698249613603465</v>
      </c>
      <c r="AZ243" s="6">
        <f t="shared" si="49"/>
        <v>51.716863580426903</v>
      </c>
      <c r="BA243" s="6">
        <f t="shared" si="49"/>
        <v>49.735570167064608</v>
      </c>
      <c r="BB243" s="6">
        <f t="shared" si="49"/>
        <v>47.754373722792891</v>
      </c>
      <c r="BC243" s="6">
        <f t="shared" si="49"/>
        <v>45.773278695735094</v>
      </c>
      <c r="BD243" s="6">
        <f t="shared" si="49"/>
        <v>43.792289534014685</v>
      </c>
      <c r="BE243" s="6">
        <f t="shared" si="49"/>
        <v>41.811410883449412</v>
      </c>
      <c r="BF243" s="6">
        <f t="shared" si="49"/>
        <v>39.830648576023364</v>
      </c>
      <c r="BG243" s="6">
        <f t="shared" si="49"/>
        <v>37.850007850637446</v>
      </c>
      <c r="BH243" s="6">
        <f t="shared" si="49"/>
        <v>35.869495231205946</v>
      </c>
      <c r="BI243" s="6">
        <f t="shared" si="49"/>
        <v>33.889116253171423</v>
      </c>
    </row>
    <row r="244" spans="35:61" ht="16" x14ac:dyDescent="0.2">
      <c r="AI244" s="5" t="s">
        <v>92</v>
      </c>
      <c r="AJ244" s="6">
        <f t="shared" si="49"/>
        <v>0</v>
      </c>
      <c r="AK244" s="6">
        <f t="shared" si="49"/>
        <v>0</v>
      </c>
      <c r="AL244" s="6">
        <f t="shared" si="49"/>
        <v>0</v>
      </c>
      <c r="AM244" s="6">
        <f t="shared" si="49"/>
        <v>0</v>
      </c>
      <c r="AN244" s="6">
        <f t="shared" si="49"/>
        <v>0</v>
      </c>
      <c r="AO244" s="6">
        <f t="shared" si="49"/>
        <v>0</v>
      </c>
      <c r="AP244" s="6">
        <f t="shared" si="49"/>
        <v>0</v>
      </c>
      <c r="AQ244" s="6">
        <f t="shared" si="49"/>
        <v>0</v>
      </c>
      <c r="AR244" s="6">
        <f t="shared" si="49"/>
        <v>0</v>
      </c>
      <c r="AS244" s="6">
        <f t="shared" si="49"/>
        <v>0</v>
      </c>
      <c r="AT244" s="6">
        <f t="shared" si="49"/>
        <v>0</v>
      </c>
      <c r="AU244" s="6">
        <f t="shared" si="49"/>
        <v>0</v>
      </c>
      <c r="AV244" s="6">
        <f t="shared" si="49"/>
        <v>0</v>
      </c>
      <c r="AW244" s="6">
        <f t="shared" si="49"/>
        <v>0</v>
      </c>
      <c r="AX244" s="6">
        <f t="shared" si="49"/>
        <v>0</v>
      </c>
      <c r="AY244" s="6">
        <f t="shared" si="49"/>
        <v>0</v>
      </c>
      <c r="AZ244" s="6">
        <f t="shared" si="49"/>
        <v>0</v>
      </c>
      <c r="BA244" s="6">
        <f t="shared" si="49"/>
        <v>0</v>
      </c>
      <c r="BB244" s="6">
        <f t="shared" si="49"/>
        <v>0</v>
      </c>
      <c r="BC244" s="6">
        <f t="shared" si="49"/>
        <v>0</v>
      </c>
      <c r="BD244" s="6">
        <f t="shared" si="49"/>
        <v>0</v>
      </c>
      <c r="BE244" s="6">
        <f t="shared" si="49"/>
        <v>0</v>
      </c>
      <c r="BF244" s="6">
        <f t="shared" si="49"/>
        <v>0</v>
      </c>
      <c r="BG244" s="6">
        <f t="shared" si="49"/>
        <v>0</v>
      </c>
      <c r="BH244" s="6">
        <f t="shared" si="49"/>
        <v>0</v>
      </c>
      <c r="BI244" s="6">
        <f t="shared" si="49"/>
        <v>0</v>
      </c>
    </row>
    <row r="245" spans="35:61" ht="16" x14ac:dyDescent="0.2">
      <c r="AI245" s="5" t="s">
        <v>93</v>
      </c>
      <c r="AJ245" s="6">
        <f t="shared" si="49"/>
        <v>0</v>
      </c>
      <c r="AK245" s="6">
        <f t="shared" si="49"/>
        <v>0</v>
      </c>
      <c r="AL245" s="6">
        <f t="shared" si="49"/>
        <v>0</v>
      </c>
      <c r="AM245" s="6">
        <f t="shared" si="49"/>
        <v>0</v>
      </c>
      <c r="AN245" s="6">
        <f t="shared" si="49"/>
        <v>0</v>
      </c>
      <c r="AO245" s="6">
        <f t="shared" si="49"/>
        <v>0</v>
      </c>
      <c r="AP245" s="6">
        <f t="shared" si="49"/>
        <v>0</v>
      </c>
      <c r="AQ245" s="6">
        <f t="shared" si="49"/>
        <v>0</v>
      </c>
      <c r="AR245" s="6">
        <f t="shared" si="49"/>
        <v>0</v>
      </c>
      <c r="AS245" s="6">
        <f t="shared" si="49"/>
        <v>0</v>
      </c>
      <c r="AT245" s="6">
        <f t="shared" si="49"/>
        <v>0</v>
      </c>
      <c r="AU245" s="6">
        <f t="shared" si="49"/>
        <v>0</v>
      </c>
      <c r="AV245" s="6">
        <f t="shared" si="49"/>
        <v>0</v>
      </c>
      <c r="AW245" s="6">
        <f t="shared" si="49"/>
        <v>0</v>
      </c>
      <c r="AX245" s="6">
        <f t="shared" si="49"/>
        <v>0</v>
      </c>
      <c r="AY245" s="6">
        <f t="shared" si="49"/>
        <v>0</v>
      </c>
      <c r="AZ245" s="6">
        <f t="shared" si="49"/>
        <v>0</v>
      </c>
      <c r="BA245" s="6">
        <f t="shared" si="49"/>
        <v>0</v>
      </c>
      <c r="BB245" s="6">
        <f t="shared" si="49"/>
        <v>0</v>
      </c>
      <c r="BC245" s="6">
        <f t="shared" si="49"/>
        <v>0</v>
      </c>
      <c r="BD245" s="6">
        <f t="shared" si="49"/>
        <v>0</v>
      </c>
      <c r="BE245" s="6">
        <f t="shared" ref="BE245:BI245" si="50">BE189*BE127/10^6</f>
        <v>0</v>
      </c>
      <c r="BF245" s="6">
        <f t="shared" si="50"/>
        <v>0</v>
      </c>
      <c r="BG245" s="6">
        <f t="shared" si="50"/>
        <v>0</v>
      </c>
      <c r="BH245" s="6">
        <f t="shared" si="50"/>
        <v>0</v>
      </c>
      <c r="BI245" s="6">
        <f t="shared" si="50"/>
        <v>0</v>
      </c>
    </row>
    <row r="246" spans="35:61" ht="16" x14ac:dyDescent="0.2">
      <c r="AI246" s="5" t="s">
        <v>94</v>
      </c>
      <c r="AJ246" s="6">
        <f t="shared" ref="AJ246:BI248" si="51">AJ190*AJ128/10^6</f>
        <v>0</v>
      </c>
      <c r="AK246" s="6">
        <f t="shared" si="51"/>
        <v>0</v>
      </c>
      <c r="AL246" s="6">
        <f t="shared" si="51"/>
        <v>0</v>
      </c>
      <c r="AM246" s="6">
        <f t="shared" si="51"/>
        <v>0</v>
      </c>
      <c r="AN246" s="6">
        <f t="shared" si="51"/>
        <v>0</v>
      </c>
      <c r="AO246" s="6">
        <f t="shared" si="51"/>
        <v>0</v>
      </c>
      <c r="AP246" s="6">
        <f t="shared" si="51"/>
        <v>0</v>
      </c>
      <c r="AQ246" s="6">
        <f t="shared" si="51"/>
        <v>0</v>
      </c>
      <c r="AR246" s="6">
        <f t="shared" si="51"/>
        <v>0</v>
      </c>
      <c r="AS246" s="6">
        <f t="shared" si="51"/>
        <v>0</v>
      </c>
      <c r="AT246" s="6">
        <f t="shared" si="51"/>
        <v>0</v>
      </c>
      <c r="AU246" s="6">
        <f t="shared" si="51"/>
        <v>0</v>
      </c>
      <c r="AV246" s="6">
        <f t="shared" si="51"/>
        <v>0</v>
      </c>
      <c r="AW246" s="6">
        <f t="shared" si="51"/>
        <v>0</v>
      </c>
      <c r="AX246" s="6">
        <f t="shared" si="51"/>
        <v>0</v>
      </c>
      <c r="AY246" s="6">
        <f t="shared" si="51"/>
        <v>0</v>
      </c>
      <c r="AZ246" s="6">
        <f t="shared" si="51"/>
        <v>0</v>
      </c>
      <c r="BA246" s="6">
        <f t="shared" si="51"/>
        <v>0</v>
      </c>
      <c r="BB246" s="6">
        <f t="shared" si="51"/>
        <v>0</v>
      </c>
      <c r="BC246" s="6">
        <f t="shared" si="51"/>
        <v>0</v>
      </c>
      <c r="BD246" s="6">
        <f t="shared" si="51"/>
        <v>0</v>
      </c>
      <c r="BE246" s="6">
        <f t="shared" si="51"/>
        <v>0</v>
      </c>
      <c r="BF246" s="6">
        <f t="shared" si="51"/>
        <v>0</v>
      </c>
      <c r="BG246" s="6">
        <f t="shared" si="51"/>
        <v>0</v>
      </c>
      <c r="BH246" s="6">
        <f t="shared" si="51"/>
        <v>0</v>
      </c>
      <c r="BI246" s="6">
        <f t="shared" si="51"/>
        <v>0</v>
      </c>
    </row>
    <row r="247" spans="35:61" ht="16" x14ac:dyDescent="0.2">
      <c r="AI247" s="5" t="s">
        <v>95</v>
      </c>
      <c r="AJ247" s="6">
        <f t="shared" si="51"/>
        <v>0</v>
      </c>
      <c r="AK247" s="6">
        <f t="shared" si="51"/>
        <v>0</v>
      </c>
      <c r="AL247" s="6">
        <f t="shared" si="51"/>
        <v>0</v>
      </c>
      <c r="AM247" s="6">
        <f t="shared" si="51"/>
        <v>0</v>
      </c>
      <c r="AN247" s="6">
        <f t="shared" si="51"/>
        <v>0</v>
      </c>
      <c r="AO247" s="6">
        <f t="shared" si="51"/>
        <v>0</v>
      </c>
      <c r="AP247" s="6">
        <f t="shared" si="51"/>
        <v>0</v>
      </c>
      <c r="AQ247" s="6">
        <f t="shared" si="51"/>
        <v>0</v>
      </c>
      <c r="AR247" s="6">
        <f t="shared" si="51"/>
        <v>0</v>
      </c>
      <c r="AS247" s="6">
        <f t="shared" si="51"/>
        <v>0</v>
      </c>
      <c r="AT247" s="6">
        <f t="shared" si="51"/>
        <v>0</v>
      </c>
      <c r="AU247" s="6">
        <f t="shared" si="51"/>
        <v>0</v>
      </c>
      <c r="AV247" s="6">
        <f t="shared" si="51"/>
        <v>0</v>
      </c>
      <c r="AW247" s="6">
        <f t="shared" si="51"/>
        <v>0</v>
      </c>
      <c r="AX247" s="6">
        <f t="shared" si="51"/>
        <v>0</v>
      </c>
      <c r="AY247" s="6">
        <f t="shared" si="51"/>
        <v>0</v>
      </c>
      <c r="AZ247" s="6">
        <f t="shared" si="51"/>
        <v>0</v>
      </c>
      <c r="BA247" s="6">
        <f t="shared" si="51"/>
        <v>0</v>
      </c>
      <c r="BB247" s="6">
        <f t="shared" si="51"/>
        <v>0</v>
      </c>
      <c r="BC247" s="6">
        <f t="shared" si="51"/>
        <v>0</v>
      </c>
      <c r="BD247" s="6">
        <f t="shared" si="51"/>
        <v>0</v>
      </c>
      <c r="BE247" s="6">
        <f t="shared" si="51"/>
        <v>0</v>
      </c>
      <c r="BF247" s="6">
        <f t="shared" si="51"/>
        <v>0</v>
      </c>
      <c r="BG247" s="6">
        <f t="shared" si="51"/>
        <v>0</v>
      </c>
      <c r="BH247" s="6">
        <f t="shared" si="51"/>
        <v>0</v>
      </c>
      <c r="BI247" s="6">
        <f t="shared" si="51"/>
        <v>0</v>
      </c>
    </row>
    <row r="248" spans="35:61" ht="16" x14ac:dyDescent="0.2">
      <c r="AI248" s="5" t="s">
        <v>25</v>
      </c>
      <c r="AJ248" s="6">
        <f t="shared" si="51"/>
        <v>0</v>
      </c>
      <c r="AK248" s="6">
        <f t="shared" si="51"/>
        <v>0</v>
      </c>
      <c r="AL248" s="6">
        <f t="shared" si="51"/>
        <v>0</v>
      </c>
      <c r="AM248" s="6">
        <f t="shared" si="51"/>
        <v>0</v>
      </c>
      <c r="AN248" s="6">
        <f t="shared" si="51"/>
        <v>0</v>
      </c>
      <c r="AO248" s="6">
        <f t="shared" si="51"/>
        <v>0</v>
      </c>
      <c r="AP248" s="6">
        <f t="shared" si="51"/>
        <v>0</v>
      </c>
      <c r="AQ248" s="6">
        <f t="shared" si="51"/>
        <v>0</v>
      </c>
      <c r="AR248" s="6">
        <f t="shared" si="51"/>
        <v>0</v>
      </c>
      <c r="AS248" s="6">
        <f t="shared" si="51"/>
        <v>0</v>
      </c>
      <c r="AT248" s="6">
        <f t="shared" si="51"/>
        <v>0</v>
      </c>
      <c r="AU248" s="6">
        <f t="shared" si="51"/>
        <v>0</v>
      </c>
      <c r="AV248" s="6">
        <f t="shared" si="51"/>
        <v>0</v>
      </c>
      <c r="AW248" s="6">
        <f t="shared" si="51"/>
        <v>0</v>
      </c>
      <c r="AX248" s="6">
        <f t="shared" si="51"/>
        <v>0</v>
      </c>
      <c r="AY248" s="6">
        <f t="shared" si="51"/>
        <v>0</v>
      </c>
      <c r="AZ248" s="6">
        <f t="shared" si="51"/>
        <v>0</v>
      </c>
      <c r="BA248" s="6">
        <f t="shared" si="51"/>
        <v>0</v>
      </c>
      <c r="BB248" s="6">
        <f t="shared" si="51"/>
        <v>0</v>
      </c>
      <c r="BC248" s="6">
        <f t="shared" si="51"/>
        <v>0</v>
      </c>
      <c r="BD248" s="6">
        <f t="shared" si="51"/>
        <v>0</v>
      </c>
      <c r="BE248" s="6">
        <f t="shared" si="51"/>
        <v>0</v>
      </c>
      <c r="BF248" s="6">
        <f t="shared" si="51"/>
        <v>0</v>
      </c>
      <c r="BG248" s="6">
        <f t="shared" si="51"/>
        <v>0</v>
      </c>
      <c r="BH248" s="6">
        <f t="shared" si="51"/>
        <v>0</v>
      </c>
      <c r="BI248" s="6">
        <f t="shared" si="51"/>
        <v>0</v>
      </c>
    </row>
  </sheetData>
  <autoFilter ref="C77:FU135" xr:uid="{AB27CBC1-605E-1947-AB15-E9158208477E}"/>
  <conditionalFormatting sqref="EQ78:EQ135">
    <cfRule type="cellIs" dxfId="0" priority="1" operator="equal">
      <formula>FALSE</formula>
    </cfRule>
  </conditionalFormatting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Summary</vt:lpstr>
      <vt:lpstr>IRP Plan (default)</vt:lpstr>
      <vt:lpstr>'IRP Plan (default)'!capacities</vt:lpstr>
      <vt:lpstr>'IRP Plan (default)'!capacities_multi_stage</vt:lpstr>
      <vt:lpstr>'IRP Plan (default)'!cfs</vt:lpstr>
      <vt:lpstr>'IRP Plan (default)'!costs_multi_stage</vt:lpstr>
      <vt:lpstr>'IRP Plan (default)'!generation</vt:lpstr>
      <vt:lpstr>'IRP Plan (default)'!ResultsName</vt:lpstr>
      <vt:lpstr>'IRP Plan (default)'!summaryCosts</vt:lpstr>
      <vt:lpstr>'IRP Plan (default)'!summaryGeneration</vt:lpstr>
      <vt:lpstr>'IRP Plan (default)'!summaryNewBuild</vt:lpstr>
      <vt:lpstr>'IRP Plan (default)'!summaryTotalBuild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Roderick Go</dc:creator>
  <cp:lastModifiedBy>Roderick Go</cp:lastModifiedBy>
  <dcterms:created xsi:type="dcterms:W3CDTF">2025-06-04T18:35:16Z</dcterms:created>
  <dcterms:modified xsi:type="dcterms:W3CDTF">2025-07-06T18:31:20Z</dcterms:modified>
</cp:coreProperties>
</file>